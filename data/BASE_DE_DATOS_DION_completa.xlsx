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 y Resumen" sheetId="1" state="visible" r:id="rId1"/>
    <sheet xmlns:r="http://schemas.openxmlformats.org/officeDocument/2006/relationships" name="Instalaciones Eléctricas" sheetId="2" state="visible" r:id="rId2"/>
    <sheet xmlns:r="http://schemas.openxmlformats.org/officeDocument/2006/relationships" name="Agua Potable (Fría y Caliente)" sheetId="3" state="visible" r:id="rId3"/>
    <sheet xmlns:r="http://schemas.openxmlformats.org/officeDocument/2006/relationships" name="Aguas Grises y Servidas" sheetId="4" state="visible" r:id="rId4"/>
    <sheet xmlns:r="http://schemas.openxmlformats.org/officeDocument/2006/relationships" name="Red de Gas GLP y Natural" sheetId="5" state="visible" r:id="rId5"/>
    <sheet xmlns:r="http://schemas.openxmlformats.org/officeDocument/2006/relationships" name="Aguas Lluvias y Pluvial" sheetId="6" state="visible" r:id="rId6"/>
    <sheet xmlns:r="http://schemas.openxmlformats.org/officeDocument/2006/relationships" name="Aguas Residuales (PTAR)" sheetId="7" state="visible" r:id="rId7"/>
    <sheet xmlns:r="http://schemas.openxmlformats.org/officeDocument/2006/relationships" name="Instalaciones de Piscina" sheetId="8" state="visible" r:id="rId8"/>
    <sheet xmlns:r="http://schemas.openxmlformats.org/officeDocument/2006/relationships" name="Estructuras Metálicas" sheetId="9" state="visible" r:id="rId9"/>
    <sheet xmlns:r="http://schemas.openxmlformats.org/officeDocument/2006/relationships" name="Hormigón Armado (H.A.)" sheetId="10" state="visible" r:id="rId10"/>
    <sheet xmlns:r="http://schemas.openxmlformats.org/officeDocument/2006/relationships" name="Concreto en General" sheetId="11" state="visible" r:id="rId11"/>
    <sheet xmlns:r="http://schemas.openxmlformats.org/officeDocument/2006/relationships" name="Ebanistería" sheetId="12" state="visible" r:id="rId12"/>
    <sheet xmlns:r="http://schemas.openxmlformats.org/officeDocument/2006/relationships" name="Gypsum" sheetId="13" state="visible" r:id="rId13"/>
    <sheet xmlns:r="http://schemas.openxmlformats.org/officeDocument/2006/relationships" name="Fibrocemento" sheetId="14" state="visible" r:id="rId14"/>
    <sheet xmlns:r="http://schemas.openxmlformats.org/officeDocument/2006/relationships" name="Mampostería y Enlucidos" sheetId="15" state="visible" r:id="rId15"/>
    <sheet xmlns:r="http://schemas.openxmlformats.org/officeDocument/2006/relationships" name="Pisos y Revestimientos" sheetId="16" state="visible" r:id="rId16"/>
    <sheet xmlns:r="http://schemas.openxmlformats.org/officeDocument/2006/relationships" name="Cubiertas e Impermeabilización" sheetId="17" state="visible" r:id="rId17"/>
    <sheet xmlns:r="http://schemas.openxmlformats.org/officeDocument/2006/relationships" name="Carpintería Aluminio y Vidrio" sheetId="18" state="visible" r:id="rId18"/>
    <sheet xmlns:r="http://schemas.openxmlformats.org/officeDocument/2006/relationships" name="Carpintería Metálica" sheetId="19" state="visible" r:id="rId19"/>
    <sheet xmlns:r="http://schemas.openxmlformats.org/officeDocument/2006/relationships" name="Pintura" sheetId="20" state="visible" r:id="rId20"/>
    <sheet xmlns:r="http://schemas.openxmlformats.org/officeDocument/2006/relationships" name="Aparatos Sanitarios y Grifería" sheetId="21" state="visible" r:id="rId21"/>
    <sheet xmlns:r="http://schemas.openxmlformats.org/officeDocument/2006/relationships" name="Voz Datos CCTV y Seguridad" sheetId="22" state="visible" r:id="rId22"/>
    <sheet xmlns:r="http://schemas.openxmlformats.org/officeDocument/2006/relationships" name="Sistema Contra Incendios" sheetId="23" state="visible" r:id="rId23"/>
    <sheet xmlns:r="http://schemas.openxmlformats.org/officeDocument/2006/relationships" name="HVAC y Climatización" sheetId="24" state="visible" r:id="rId24"/>
    <sheet xmlns:r="http://schemas.openxmlformats.org/officeDocument/2006/relationships" name="Mov. Tierras y Preliminares" sheetId="25" state="visible" r:id="rId25"/>
    <sheet xmlns:r="http://schemas.openxmlformats.org/officeDocument/2006/relationships" name="Mano de Obra" sheetId="26" state="visible" r:id="rId26"/>
    <sheet xmlns:r="http://schemas.openxmlformats.org/officeDocument/2006/relationships" name="Equipos y Herramientas" sheetId="27" state="visible" r:id="rId27"/>
    <sheet xmlns:r="http://schemas.openxmlformats.org/officeDocument/2006/relationships" name="Paisajismo" sheetId="28" state="visible" r:id="rId28"/>
    <sheet xmlns:r="http://schemas.openxmlformats.org/officeDocument/2006/relationships" name="Ascensores (Referencial)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5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b val="1"/>
      <color rgb="001F4E78"/>
      <sz val="12"/>
    </font>
    <font>
      <name val="Calibri"/>
      <b val="1"/>
      <color rgb="00FFFFFF"/>
      <sz val="10"/>
    </font>
    <font>
      <name val="Calibri"/>
      <color rgb="000000FF"/>
      <sz val="10"/>
      <u val="single"/>
    </font>
    <font>
      <name val="Calibri"/>
      <b val="1"/>
      <color rgb="00FFFFFF"/>
      <sz val="11"/>
    </font>
    <font>
      <name val="Calibri"/>
      <b val="1"/>
      <i val="1"/>
      <color rgb="00000000"/>
      <sz val="10"/>
    </font>
    <font>
      <name val="Calibri"/>
      <b val="1"/>
      <color rgb="001F4E78"/>
      <sz val="9"/>
    </font>
    <font>
      <name val="Calibri"/>
      <b val="1"/>
      <sz val="10"/>
    </font>
    <font>
      <name val="Calibri"/>
      <sz val="10"/>
    </font>
    <font>
      <name val="Calibri"/>
      <b val="1"/>
      <color rgb="001F4E78"/>
      <sz val="11"/>
    </font>
    <font>
      <name val="Calibri"/>
      <b val="1"/>
      <color rgb="FF1F4E78"/>
      <sz val="10"/>
    </font>
    <font>
      <b val="1"/>
      <color rgb="FF1F4E78"/>
      <sz val="10"/>
    </font>
    <font>
      <color rgb="FF595959"/>
      <sz val="10"/>
    </font>
  </fonts>
  <fills count="11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512E5F"/>
        <bgColor rgb="00512E5F"/>
      </patternFill>
    </fill>
    <fill>
      <patternFill patternType="solid">
        <fgColor rgb="0076448A"/>
        <bgColor rgb="0076448A"/>
      </patternFill>
    </fill>
    <fill>
      <patternFill patternType="solid">
        <fgColor rgb="00BB8FCE"/>
        <bgColor rgb="00BB8FCE"/>
      </patternFill>
    </fill>
    <fill>
      <patternFill patternType="solid">
        <fgColor rgb="00F5EEF8"/>
        <bgColor rgb="00F5EEF8"/>
      </patternFill>
    </fill>
    <fill>
      <patternFill patternType="solid">
        <fgColor rgb="00E2EFDA"/>
        <bgColor rgb="00E2EFDA"/>
      </patternFill>
    </fill>
    <fill>
      <patternFill patternType="solid">
        <fgColor rgb="001B4F72"/>
        <bgColor rgb="001B4F72"/>
      </patternFill>
    </fill>
    <fill>
      <patternFill patternType="solid">
        <fgColor rgb="002874A6"/>
        <bgColor rgb="002874A6"/>
      </patternFill>
    </fill>
    <fill>
      <patternFill patternType="solid">
        <fgColor rgb="007FB3D5"/>
        <bgColor rgb="007FB3D5"/>
      </patternFill>
    </fill>
    <fill>
      <patternFill patternType="solid">
        <fgColor rgb="00EBF5FB"/>
        <bgColor rgb="00EBF5FB"/>
      </patternFill>
    </fill>
    <fill>
      <patternFill patternType="solid">
        <fgColor rgb="0078281F"/>
        <bgColor rgb="0078281F"/>
      </patternFill>
    </fill>
    <fill>
      <patternFill patternType="solid">
        <fgColor rgb="00B03A2E"/>
        <bgColor rgb="00B03A2E"/>
      </patternFill>
    </fill>
    <fill>
      <patternFill patternType="solid">
        <fgColor rgb="00E6B0AA"/>
        <bgColor rgb="00E6B0AA"/>
      </patternFill>
    </fill>
    <fill>
      <patternFill patternType="solid">
        <fgColor rgb="00FDEDEC"/>
        <bgColor rgb="00FDEDEC"/>
      </patternFill>
    </fill>
    <fill>
      <patternFill patternType="solid">
        <fgColor rgb="002E4053"/>
        <bgColor rgb="002E4053"/>
      </patternFill>
    </fill>
    <fill>
      <patternFill patternType="solid">
        <fgColor rgb="005D6D7E"/>
        <bgColor rgb="005D6D7E"/>
      </patternFill>
    </fill>
    <fill>
      <patternFill patternType="solid">
        <fgColor rgb="00AED6F1"/>
        <bgColor rgb="00AED6F1"/>
      </patternFill>
    </fill>
    <fill>
      <patternFill patternType="solid">
        <fgColor rgb="00F2F4F4"/>
        <bgColor rgb="00F2F4F4"/>
      </patternFill>
    </fill>
    <fill>
      <patternFill patternType="solid">
        <fgColor rgb="007D6608"/>
        <bgColor rgb="007D6608"/>
      </patternFill>
    </fill>
    <fill>
      <patternFill patternType="solid">
        <fgColor rgb="00B7950B"/>
        <bgColor rgb="00B7950B"/>
      </patternFill>
    </fill>
    <fill>
      <patternFill patternType="solid">
        <fgColor rgb="00F9E79F"/>
        <bgColor rgb="00F9E79F"/>
      </patternFill>
    </fill>
    <fill>
      <patternFill patternType="solid">
        <fgColor rgb="00FEF9E7"/>
        <bgColor rgb="00FEF9E7"/>
      </patternFill>
    </fill>
    <fill>
      <patternFill patternType="solid">
        <fgColor rgb="00145A32"/>
        <bgColor rgb="00145A32"/>
      </patternFill>
    </fill>
    <fill>
      <patternFill patternType="solid">
        <fgColor rgb="001E8449"/>
        <bgColor rgb="001E8449"/>
      </patternFill>
    </fill>
    <fill>
      <patternFill patternType="solid">
        <fgColor rgb="00A9DFBF"/>
        <bgColor rgb="00A9DFBF"/>
      </patternFill>
    </fill>
    <fill>
      <patternFill patternType="solid">
        <fgColor rgb="00E8F8F5"/>
        <bgColor rgb="00E8F8F5"/>
      </patternFill>
    </fill>
    <fill>
      <patternFill patternType="solid">
        <fgColor rgb="004A235A"/>
        <bgColor rgb="004A235A"/>
      </patternFill>
    </fill>
    <fill>
      <patternFill patternType="solid">
        <fgColor rgb="006E2C00"/>
        <bgColor rgb="006E2C00"/>
      </patternFill>
    </fill>
    <fill>
      <patternFill patternType="solid">
        <fgColor rgb="00EDBB99"/>
        <bgColor rgb="00EDBB99"/>
      </patternFill>
    </fill>
    <fill>
      <patternFill patternType="solid">
        <fgColor rgb="00FADBD8"/>
        <bgColor rgb="00FADBD8"/>
      </patternFill>
    </fill>
    <fill>
      <patternFill patternType="solid">
        <fgColor rgb="000E6251"/>
        <bgColor rgb="000E6251"/>
      </patternFill>
    </fill>
    <fill>
      <patternFill patternType="solid">
        <fgColor rgb="00117A65"/>
        <bgColor rgb="00117A65"/>
      </patternFill>
    </fill>
    <fill>
      <patternFill patternType="solid">
        <fgColor rgb="00A3E4D7"/>
        <bgColor rgb="00A3E4D7"/>
      </patternFill>
    </fill>
    <fill>
      <patternFill patternType="solid">
        <fgColor rgb="0034495E"/>
        <bgColor rgb="0034495E"/>
      </patternFill>
    </fill>
    <fill>
      <patternFill patternType="solid">
        <fgColor rgb="0085929E"/>
        <bgColor rgb="0085929E"/>
      </patternFill>
    </fill>
    <fill>
      <patternFill patternType="solid">
        <fgColor rgb="00E5E8E8"/>
        <bgColor rgb="00E5E8E8"/>
      </patternFill>
    </fill>
    <fill>
      <patternFill patternType="solid">
        <fgColor rgb="001C2833"/>
        <bgColor rgb="001C2833"/>
      </patternFill>
    </fill>
    <fill>
      <patternFill patternType="solid">
        <fgColor rgb="00273746"/>
        <bgColor rgb="00273746"/>
      </patternFill>
    </fill>
    <fill>
      <patternFill patternType="solid">
        <fgColor rgb="00566573"/>
        <bgColor rgb="00566573"/>
      </patternFill>
    </fill>
    <fill>
      <patternFill patternType="solid">
        <fgColor rgb="00EBEDEF"/>
        <bgColor rgb="00EBEDEF"/>
      </patternFill>
    </fill>
    <fill>
      <patternFill patternType="solid">
        <fgColor rgb="00707B7C"/>
        <bgColor rgb="00707B7C"/>
      </patternFill>
    </fill>
    <fill>
      <patternFill patternType="solid">
        <fgColor rgb="0099A3A4"/>
        <bgColor rgb="0099A3A4"/>
      </patternFill>
    </fill>
    <fill>
      <patternFill patternType="solid">
        <fgColor rgb="00BDC3C7"/>
        <bgColor rgb="00BDC3C7"/>
      </patternFill>
    </fill>
    <fill>
      <patternFill patternType="solid">
        <fgColor rgb="00F2F3F4"/>
        <bgColor rgb="00F2F3F4"/>
      </patternFill>
    </fill>
    <fill>
      <patternFill patternType="solid">
        <fgColor rgb="005C4033"/>
        <bgColor rgb="005C4033"/>
      </patternFill>
    </fill>
    <fill>
      <patternFill patternType="solid">
        <fgColor rgb="008B5A2B"/>
        <bgColor rgb="008B5A2B"/>
      </patternFill>
    </fill>
    <fill>
      <patternFill patternType="solid">
        <fgColor rgb="00CD853F"/>
        <bgColor rgb="00CD853F"/>
      </patternFill>
    </fill>
    <fill>
      <patternFill patternType="solid">
        <fgColor rgb="00F5DEB3"/>
        <bgColor rgb="00F5DEB3"/>
      </patternFill>
    </fill>
    <fill>
      <patternFill patternType="solid">
        <fgColor rgb="00888582"/>
        <bgColor rgb="00888582"/>
      </patternFill>
    </fill>
    <fill>
      <patternFill patternType="solid">
        <fgColor rgb="00A8A5A2"/>
        <bgColor rgb="00A8A5A2"/>
      </patternFill>
    </fill>
    <fill>
      <patternFill patternType="solid">
        <fgColor rgb="00D8D5D2"/>
        <bgColor rgb="00D8D5D2"/>
      </patternFill>
    </fill>
    <fill>
      <patternFill patternType="solid">
        <fgColor rgb="00F7F5F0"/>
        <bgColor rgb="00F7F5F0"/>
      </patternFill>
    </fill>
    <fill>
      <patternFill patternType="solid">
        <fgColor rgb="00424949"/>
        <bgColor rgb="00424949"/>
      </patternFill>
    </fill>
    <fill>
      <patternFill patternType="solid">
        <fgColor rgb="00616A6B"/>
        <bgColor rgb="00616A6B"/>
      </patternFill>
    </fill>
    <fill>
      <patternFill patternType="solid">
        <fgColor rgb="0095A5A6"/>
        <bgColor rgb="0095A5A6"/>
      </patternFill>
    </fill>
    <fill>
      <patternFill patternType="solid">
        <fgColor rgb="00EAEDED"/>
        <bgColor rgb="00EAEDED"/>
      </patternFill>
    </fill>
    <fill>
      <patternFill patternType="solid">
        <fgColor rgb="FF7B3F2A"/>
      </patternFill>
    </fill>
    <fill>
      <patternFill patternType="solid">
        <fgColor rgb="FFA0522D"/>
      </patternFill>
    </fill>
    <fill>
      <patternFill patternType="solid">
        <fgColor rgb="FFE3A587"/>
      </patternFill>
    </fill>
    <fill>
      <patternFill patternType="solid">
        <fgColor rgb="FFFBEEE6"/>
      </patternFill>
    </fill>
    <fill>
      <patternFill patternType="solid">
        <fgColor rgb="FF8D6E4A"/>
      </patternFill>
    </fill>
    <fill>
      <patternFill patternType="solid">
        <fgColor rgb="FFB08D64"/>
      </patternFill>
    </fill>
    <fill>
      <patternFill patternType="solid">
        <fgColor rgb="FFE6D3B8"/>
      </patternFill>
    </fill>
    <fill>
      <patternFill patternType="solid">
        <fgColor rgb="FFFAF5EE"/>
      </patternFill>
    </fill>
    <fill>
      <patternFill patternType="solid">
        <fgColor rgb="FF1F3A5F"/>
      </patternFill>
    </fill>
    <fill>
      <patternFill patternType="solid">
        <fgColor rgb="FF2E5C8A"/>
      </patternFill>
    </fill>
    <fill>
      <patternFill patternType="solid">
        <fgColor rgb="FF9DB8D9"/>
      </patternFill>
    </fill>
    <fill>
      <patternFill patternType="solid">
        <fgColor rgb="FFEEF3F9"/>
      </patternFill>
    </fill>
    <fill>
      <patternFill patternType="solid">
        <fgColor rgb="FF3B5566"/>
      </patternFill>
    </fill>
    <fill>
      <patternFill patternType="solid">
        <fgColor rgb="FF5F7F93"/>
      </patternFill>
    </fill>
    <fill>
      <patternFill patternType="solid">
        <fgColor rgb="FFB9CDD9"/>
      </patternFill>
    </fill>
    <fill>
      <patternFill patternType="solid">
        <fgColor rgb="FFF0F5F8"/>
      </patternFill>
    </fill>
    <fill>
      <patternFill patternType="solid">
        <fgColor rgb="FF2B2B2B"/>
      </patternFill>
    </fill>
    <fill>
      <patternFill patternType="solid">
        <fgColor rgb="FF4D4D4D"/>
      </patternFill>
    </fill>
    <fill>
      <patternFill patternType="solid">
        <fgColor rgb="FFA6A6A6"/>
      </patternFill>
    </fill>
    <fill>
      <patternFill patternType="solid">
        <fgColor rgb="FFF2F2F2"/>
      </patternFill>
    </fill>
    <fill>
      <patternFill patternType="solid">
        <fgColor rgb="FF6C1F4F"/>
      </patternFill>
    </fill>
    <fill>
      <patternFill patternType="solid">
        <fgColor rgb="FF93306E"/>
      </patternFill>
    </fill>
    <fill>
      <patternFill patternType="solid">
        <fgColor rgb="FFD9A3C4"/>
      </patternFill>
    </fill>
    <fill>
      <patternFill patternType="solid">
        <fgColor rgb="FFFAF0F6"/>
      </patternFill>
    </fill>
    <fill>
      <patternFill patternType="solid">
        <fgColor rgb="FF0B5345"/>
      </patternFill>
    </fill>
    <fill>
      <patternFill patternType="solid">
        <fgColor rgb="FF148F77"/>
      </patternFill>
    </fill>
    <fill>
      <patternFill patternType="solid">
        <fgColor rgb="FFA2D9CE"/>
      </patternFill>
    </fill>
    <fill>
      <patternFill patternType="solid">
        <fgColor rgb="FFEAF7F4"/>
      </patternFill>
    </fill>
    <fill>
      <patternFill patternType="solid">
        <fgColor rgb="FF1A237E"/>
      </patternFill>
    </fill>
    <fill>
      <patternFill patternType="solid">
        <fgColor rgb="FF3949AB"/>
      </patternFill>
    </fill>
    <fill>
      <patternFill patternType="solid">
        <fgColor rgb="FF9FA8DA"/>
      </patternFill>
    </fill>
    <fill>
      <patternFill patternType="solid">
        <fgColor rgb="FFEEF0FA"/>
      </patternFill>
    </fill>
    <fill>
      <patternFill patternType="solid">
        <fgColor rgb="FF7B0000"/>
      </patternFill>
    </fill>
    <fill>
      <patternFill patternType="solid">
        <fgColor rgb="FFB71C1C"/>
      </patternFill>
    </fill>
    <fill>
      <patternFill patternType="solid">
        <fgColor rgb="FFEF9A9A"/>
      </patternFill>
    </fill>
    <fill>
      <patternFill patternType="solid">
        <fgColor rgb="FFFDECEC"/>
      </patternFill>
    </fill>
    <fill>
      <patternFill patternType="solid">
        <fgColor rgb="FF01579B"/>
      </patternFill>
    </fill>
    <fill>
      <patternFill patternType="solid">
        <fgColor rgb="FF0288D1"/>
      </patternFill>
    </fill>
    <fill>
      <patternFill patternType="solid">
        <fgColor rgb="FF81D4FA"/>
      </patternFill>
    </fill>
    <fill>
      <patternFill patternType="solid">
        <fgColor rgb="FFE8F6FD"/>
      </patternFill>
    </fill>
    <fill>
      <patternFill patternType="solid">
        <fgColor rgb="FF6E4B1F"/>
      </patternFill>
    </fill>
    <fill>
      <patternFill patternType="solid">
        <fgColor rgb="FF9C6B30"/>
      </patternFill>
    </fill>
    <fill>
      <patternFill patternType="solid">
        <fgColor rgb="FFD9BC8C"/>
      </patternFill>
    </fill>
    <fill>
      <patternFill patternType="solid">
        <fgColor rgb="FFFAF3E8"/>
      </patternFill>
    </fill>
    <fill>
      <patternFill patternType="solid">
        <fgColor rgb="FF4A148C"/>
      </patternFill>
    </fill>
    <fill>
      <patternFill patternType="solid">
        <fgColor rgb="FF6A1B9A"/>
      </patternFill>
    </fill>
    <fill>
      <patternFill patternType="solid">
        <fgColor rgb="FFCE93D8"/>
      </patternFill>
    </fill>
    <fill>
      <patternFill patternType="solid">
        <fgColor rgb="FFF6EEF9"/>
      </patternFill>
    </fill>
    <fill>
      <patternFill patternType="solid">
        <fgColor rgb="FF8A3B00"/>
      </patternFill>
    </fill>
    <fill>
      <patternFill patternType="solid">
        <fgColor rgb="FFD35400"/>
      </patternFill>
    </fill>
    <fill>
      <patternFill patternType="solid">
        <fgColor rgb="FFF5B041"/>
      </patternFill>
    </fill>
    <fill>
      <patternFill patternType="solid">
        <fgColor rgb="FFFEF5E7"/>
      </patternFill>
    </fill>
    <fill>
      <patternFill patternType="solid">
        <fgColor rgb="FF1B5E20"/>
      </patternFill>
    </fill>
    <fill>
      <patternFill patternType="solid">
        <fgColor rgb="FF2E7D32"/>
      </patternFill>
    </fill>
    <fill>
      <patternFill patternType="solid">
        <fgColor rgb="FFA5D6A7"/>
      </patternFill>
    </fill>
    <fill>
      <patternFill patternType="solid">
        <fgColor rgb="FFEDF7EE"/>
      </patternFill>
    </fill>
    <fill>
      <patternFill patternType="solid">
        <fgColor rgb="FF37474F"/>
      </patternFill>
    </fill>
    <fill>
      <patternFill patternType="solid">
        <fgColor rgb="FF546E7A"/>
      </patternFill>
    </fill>
    <fill>
      <patternFill patternType="solid">
        <fgColor rgb="FFB0BEC5"/>
      </patternFill>
    </fill>
    <fill>
      <patternFill patternType="solid">
        <fgColor rgb="FFEEF2F4"/>
      </patternFill>
    </fill>
  </fills>
  <borders count="10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medium">
        <color rgb="001F4E78"/>
      </top>
      <bottom style="double">
        <color rgb="001F4E78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medium">
        <color rgb="001F4E78"/>
      </top>
      <bottom/>
      <diagonal/>
    </border>
    <border>
      <left/>
      <right/>
      <top style="medium">
        <color rgb="001F4E78"/>
      </top>
      <bottom style="double">
        <color rgb="001F4E78"/>
      </bottom>
      <diagonal/>
    </border>
    <border>
      <right/>
      <top style="medium">
        <color rgb="001F4E78"/>
      </top>
      <bottom style="double">
        <color rgb="001F4E78"/>
      </bottom>
    </border>
  </borders>
  <cellStyleXfs count="1">
    <xf numFmtId="0" fontId="0" fillId="0" borderId="0"/>
  </cellStyleXfs>
  <cellXfs count="3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9" fillId="0" borderId="1" pivotButton="0" quotePrefix="0" xfId="0"/>
    <xf numFmtId="0" fontId="10" fillId="0" borderId="1" pivotButton="0" quotePrefix="0" xfId="0"/>
    <xf numFmtId="164" fontId="9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9" fillId="0" borderId="2" pivotButton="0" quotePrefix="0" xfId="0"/>
    <xf numFmtId="164" fontId="3" fillId="7" borderId="2" applyAlignment="1" pivotButton="0" quotePrefix="0" xfId="0">
      <alignment horizontal="right" vertical="center"/>
    </xf>
    <xf numFmtId="0" fontId="5" fillId="0" borderId="0" pivotButton="0" quotePrefix="0" xfId="0"/>
    <xf numFmtId="0" fontId="6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4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 wrapText="1"/>
    </xf>
    <xf numFmtId="4" fontId="10" fillId="0" borderId="1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 wrapText="1"/>
    </xf>
    <xf numFmtId="4" fontId="10" fillId="6" borderId="1" applyAlignment="1" pivotButton="0" quotePrefix="0" xfId="0">
      <alignment horizontal="right" vertical="center"/>
    </xf>
    <xf numFmtId="164" fontId="10" fillId="6" borderId="1" applyAlignment="1" pivotButton="0" quotePrefix="0" xfId="0">
      <alignment horizontal="right" vertical="center"/>
    </xf>
    <xf numFmtId="164" fontId="9" fillId="6" borderId="1" applyAlignment="1" pivotButton="0" quotePrefix="0" xfId="0">
      <alignment horizontal="right" vertical="center"/>
    </xf>
    <xf numFmtId="0" fontId="9" fillId="0" borderId="2" applyAlignment="1" pivotButton="0" quotePrefix="0" xfId="0">
      <alignment horizontal="right" vertical="center"/>
    </xf>
    <xf numFmtId="164" fontId="11" fillId="7" borderId="2" applyAlignment="1" pivotButton="0" quotePrefix="0" xfId="0">
      <alignment horizontal="right" vertical="center"/>
    </xf>
    <xf numFmtId="0" fontId="6" fillId="8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left" vertical="center"/>
    </xf>
    <xf numFmtId="0" fontId="10" fillId="11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left" vertical="center"/>
    </xf>
    <xf numFmtId="0" fontId="8" fillId="11" borderId="1" applyAlignment="1" pivotButton="0" quotePrefix="0" xfId="0">
      <alignment horizontal="center" vertical="center" wrapText="1"/>
    </xf>
    <xf numFmtId="4" fontId="10" fillId="11" borderId="1" applyAlignment="1" pivotButton="0" quotePrefix="0" xfId="0">
      <alignment horizontal="right" vertical="center"/>
    </xf>
    <xf numFmtId="164" fontId="10" fillId="11" borderId="1" applyAlignment="1" pivotButton="0" quotePrefix="0" xfId="0">
      <alignment horizontal="right" vertical="center"/>
    </xf>
    <xf numFmtId="164" fontId="9" fillId="11" borderId="1" applyAlignment="1" pivotButton="0" quotePrefix="0" xfId="0">
      <alignment horizontal="right" vertical="center"/>
    </xf>
    <xf numFmtId="0" fontId="6" fillId="12" borderId="1" applyAlignment="1" pivotButton="0" quotePrefix="0" xfId="0">
      <alignment horizontal="left" vertical="center"/>
    </xf>
    <xf numFmtId="0" fontId="4" fillId="13" borderId="1" applyAlignment="1" pivotButton="0" quotePrefix="0" xfId="0">
      <alignment horizontal="left" vertical="center"/>
    </xf>
    <xf numFmtId="0" fontId="7" fillId="14" borderId="1" applyAlignment="1" pivotButton="0" quotePrefix="0" xfId="0">
      <alignment horizontal="left" vertical="center"/>
    </xf>
    <xf numFmtId="0" fontId="10" fillId="15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left" vertical="center"/>
    </xf>
    <xf numFmtId="0" fontId="8" fillId="15" borderId="1" applyAlignment="1" pivotButton="0" quotePrefix="0" xfId="0">
      <alignment horizontal="center" vertical="center" wrapText="1"/>
    </xf>
    <xf numFmtId="4" fontId="10" fillId="15" borderId="1" applyAlignment="1" pivotButton="0" quotePrefix="0" xfId="0">
      <alignment horizontal="right" vertical="center"/>
    </xf>
    <xf numFmtId="164" fontId="10" fillId="15" borderId="1" applyAlignment="1" pivotButton="0" quotePrefix="0" xfId="0">
      <alignment horizontal="right" vertical="center"/>
    </xf>
    <xf numFmtId="164" fontId="9" fillId="15" borderId="1" applyAlignment="1" pivotButton="0" quotePrefix="0" xfId="0">
      <alignment horizontal="right" vertical="center"/>
    </xf>
    <xf numFmtId="0" fontId="6" fillId="16" borderId="1" applyAlignment="1" pivotButton="0" quotePrefix="0" xfId="0">
      <alignment horizontal="left" vertical="center"/>
    </xf>
    <xf numFmtId="0" fontId="4" fillId="17" borderId="1" applyAlignment="1" pivotButton="0" quotePrefix="0" xfId="0">
      <alignment horizontal="left" vertical="center"/>
    </xf>
    <xf numFmtId="0" fontId="7" fillId="18" borderId="1" applyAlignment="1" pivotButton="0" quotePrefix="0" xfId="0">
      <alignment horizontal="left" vertical="center"/>
    </xf>
    <xf numFmtId="0" fontId="10" fillId="19" borderId="1" applyAlignment="1" pivotButton="0" quotePrefix="0" xfId="0">
      <alignment horizontal="center" vertical="center" wrapText="1"/>
    </xf>
    <xf numFmtId="0" fontId="10" fillId="19" borderId="1" applyAlignment="1" pivotButton="0" quotePrefix="0" xfId="0">
      <alignment horizontal="left" vertical="center"/>
    </xf>
    <xf numFmtId="0" fontId="8" fillId="19" borderId="1" applyAlignment="1" pivotButton="0" quotePrefix="0" xfId="0">
      <alignment horizontal="center" vertical="center" wrapText="1"/>
    </xf>
    <xf numFmtId="4" fontId="10" fillId="19" borderId="1" applyAlignment="1" pivotButton="0" quotePrefix="0" xfId="0">
      <alignment horizontal="right" vertical="center"/>
    </xf>
    <xf numFmtId="164" fontId="10" fillId="19" borderId="1" applyAlignment="1" pivotButton="0" quotePrefix="0" xfId="0">
      <alignment horizontal="right" vertical="center"/>
    </xf>
    <xf numFmtId="164" fontId="9" fillId="19" borderId="1" applyAlignment="1" pivotButton="0" quotePrefix="0" xfId="0">
      <alignment horizontal="right" vertical="center"/>
    </xf>
    <xf numFmtId="0" fontId="6" fillId="20" borderId="1" applyAlignment="1" pivotButton="0" quotePrefix="0" xfId="0">
      <alignment horizontal="left" vertical="center"/>
    </xf>
    <xf numFmtId="0" fontId="4" fillId="21" borderId="1" applyAlignment="1" pivotButton="0" quotePrefix="0" xfId="0">
      <alignment horizontal="left" vertical="center"/>
    </xf>
    <xf numFmtId="0" fontId="7" fillId="22" borderId="1" applyAlignment="1" pivotButton="0" quotePrefix="0" xfId="0">
      <alignment horizontal="left" vertical="center"/>
    </xf>
    <xf numFmtId="0" fontId="10" fillId="23" borderId="1" applyAlignment="1" pivotButton="0" quotePrefix="0" xfId="0">
      <alignment horizontal="center" vertical="center" wrapText="1"/>
    </xf>
    <xf numFmtId="0" fontId="10" fillId="23" borderId="1" applyAlignment="1" pivotButton="0" quotePrefix="0" xfId="0">
      <alignment horizontal="left" vertical="center"/>
    </xf>
    <xf numFmtId="0" fontId="8" fillId="23" borderId="1" applyAlignment="1" pivotButton="0" quotePrefix="0" xfId="0">
      <alignment horizontal="center" vertical="center" wrapText="1"/>
    </xf>
    <xf numFmtId="4" fontId="10" fillId="23" borderId="1" applyAlignment="1" pivotButton="0" quotePrefix="0" xfId="0">
      <alignment horizontal="right" vertical="center"/>
    </xf>
    <xf numFmtId="164" fontId="10" fillId="23" borderId="1" applyAlignment="1" pivotButton="0" quotePrefix="0" xfId="0">
      <alignment horizontal="right" vertical="center"/>
    </xf>
    <xf numFmtId="164" fontId="9" fillId="23" borderId="1" applyAlignment="1" pivotButton="0" quotePrefix="0" xfId="0">
      <alignment horizontal="right" vertical="center"/>
    </xf>
    <xf numFmtId="0" fontId="6" fillId="24" borderId="1" applyAlignment="1" pivotButton="0" quotePrefix="0" xfId="0">
      <alignment horizontal="left" vertical="center"/>
    </xf>
    <xf numFmtId="0" fontId="4" fillId="25" borderId="1" applyAlignment="1" pivotButton="0" quotePrefix="0" xfId="0">
      <alignment horizontal="left" vertical="center"/>
    </xf>
    <xf numFmtId="0" fontId="7" fillId="26" borderId="1" applyAlignment="1" pivotButton="0" quotePrefix="0" xfId="0">
      <alignment horizontal="left" vertical="center"/>
    </xf>
    <xf numFmtId="0" fontId="10" fillId="27" borderId="1" applyAlignment="1" pivotButton="0" quotePrefix="0" xfId="0">
      <alignment horizontal="center" vertical="center" wrapText="1"/>
    </xf>
    <xf numFmtId="0" fontId="10" fillId="27" borderId="1" applyAlignment="1" pivotButton="0" quotePrefix="0" xfId="0">
      <alignment horizontal="left" vertical="center"/>
    </xf>
    <xf numFmtId="0" fontId="8" fillId="27" borderId="1" applyAlignment="1" pivotButton="0" quotePrefix="0" xfId="0">
      <alignment horizontal="center" vertical="center" wrapText="1"/>
    </xf>
    <xf numFmtId="4" fontId="10" fillId="27" borderId="1" applyAlignment="1" pivotButton="0" quotePrefix="0" xfId="0">
      <alignment horizontal="right" vertical="center"/>
    </xf>
    <xf numFmtId="164" fontId="10" fillId="27" borderId="1" applyAlignment="1" pivotButton="0" quotePrefix="0" xfId="0">
      <alignment horizontal="right" vertical="center"/>
    </xf>
    <xf numFmtId="164" fontId="9" fillId="27" borderId="1" applyAlignment="1" pivotButton="0" quotePrefix="0" xfId="0">
      <alignment horizontal="right" vertical="center"/>
    </xf>
    <xf numFmtId="0" fontId="6" fillId="28" borderId="1" applyAlignment="1" pivotButton="0" quotePrefix="0" xfId="0">
      <alignment horizontal="left" vertical="center"/>
    </xf>
    <xf numFmtId="0" fontId="4" fillId="29" borderId="1" applyAlignment="1" pivotButton="0" quotePrefix="0" xfId="0">
      <alignment horizontal="left" vertical="center"/>
    </xf>
    <xf numFmtId="0" fontId="7" fillId="30" borderId="1" applyAlignment="1" pivotButton="0" quotePrefix="0" xfId="0">
      <alignment horizontal="left" vertical="center"/>
    </xf>
    <xf numFmtId="0" fontId="10" fillId="31" borderId="1" applyAlignment="1" pivotButton="0" quotePrefix="0" xfId="0">
      <alignment horizontal="center" vertical="center" wrapText="1"/>
    </xf>
    <xf numFmtId="0" fontId="10" fillId="31" borderId="1" applyAlignment="1" pivotButton="0" quotePrefix="0" xfId="0">
      <alignment horizontal="left" vertical="center"/>
    </xf>
    <xf numFmtId="0" fontId="8" fillId="31" borderId="1" applyAlignment="1" pivotButton="0" quotePrefix="0" xfId="0">
      <alignment horizontal="center" vertical="center" wrapText="1"/>
    </xf>
    <xf numFmtId="4" fontId="10" fillId="31" borderId="1" applyAlignment="1" pivotButton="0" quotePrefix="0" xfId="0">
      <alignment horizontal="right" vertical="center"/>
    </xf>
    <xf numFmtId="164" fontId="10" fillId="31" borderId="1" applyAlignment="1" pivotButton="0" quotePrefix="0" xfId="0">
      <alignment horizontal="right" vertical="center"/>
    </xf>
    <xf numFmtId="164" fontId="9" fillId="31" borderId="1" applyAlignment="1" pivotButton="0" quotePrefix="0" xfId="0">
      <alignment horizontal="right" vertical="center"/>
    </xf>
    <xf numFmtId="0" fontId="6" fillId="32" borderId="1" applyAlignment="1" pivotButton="0" quotePrefix="0" xfId="0">
      <alignment horizontal="left" vertical="center"/>
    </xf>
    <xf numFmtId="0" fontId="4" fillId="33" borderId="1" applyAlignment="1" pivotButton="0" quotePrefix="0" xfId="0">
      <alignment horizontal="left" vertical="center"/>
    </xf>
    <xf numFmtId="0" fontId="7" fillId="34" borderId="1" applyAlignment="1" pivotButton="0" quotePrefix="0" xfId="0">
      <alignment horizontal="left" vertical="center"/>
    </xf>
    <xf numFmtId="0" fontId="6" fillId="35" borderId="1" applyAlignment="1" pivotButton="0" quotePrefix="0" xfId="0">
      <alignment horizontal="left" vertical="center"/>
    </xf>
    <xf numFmtId="0" fontId="7" fillId="36" borderId="1" applyAlignment="1" pivotButton="0" quotePrefix="0" xfId="0">
      <alignment horizontal="left" vertical="center"/>
    </xf>
    <xf numFmtId="0" fontId="10" fillId="37" borderId="1" applyAlignment="1" pivotButton="0" quotePrefix="0" xfId="0">
      <alignment horizontal="center" vertical="center" wrapText="1"/>
    </xf>
    <xf numFmtId="0" fontId="10" fillId="37" borderId="1" applyAlignment="1" pivotButton="0" quotePrefix="0" xfId="0">
      <alignment horizontal="left" vertical="center"/>
    </xf>
    <xf numFmtId="0" fontId="8" fillId="37" borderId="1" applyAlignment="1" pivotButton="0" quotePrefix="0" xfId="0">
      <alignment horizontal="center" vertical="center" wrapText="1"/>
    </xf>
    <xf numFmtId="4" fontId="10" fillId="37" borderId="1" applyAlignment="1" pivotButton="0" quotePrefix="0" xfId="0">
      <alignment horizontal="right" vertical="center"/>
    </xf>
    <xf numFmtId="164" fontId="10" fillId="37" borderId="1" applyAlignment="1" pivotButton="0" quotePrefix="0" xfId="0">
      <alignment horizontal="right" vertical="center"/>
    </xf>
    <xf numFmtId="164" fontId="9" fillId="37" borderId="1" applyAlignment="1" pivotButton="0" quotePrefix="0" xfId="0">
      <alignment horizontal="right" vertical="center"/>
    </xf>
    <xf numFmtId="0" fontId="6" fillId="38" borderId="1" applyAlignment="1" pivotButton="0" quotePrefix="0" xfId="0">
      <alignment horizontal="left" vertical="center"/>
    </xf>
    <xf numFmtId="0" fontId="4" fillId="39" borderId="1" applyAlignment="1" pivotButton="0" quotePrefix="0" xfId="0">
      <alignment horizontal="left" vertical="center"/>
    </xf>
    <xf numFmtId="0" fontId="7" fillId="40" borderId="1" applyAlignment="1" pivotButton="0" quotePrefix="0" xfId="0">
      <alignment horizontal="left" vertical="center"/>
    </xf>
    <xf numFmtId="0" fontId="10" fillId="41" borderId="1" applyAlignment="1" pivotButton="0" quotePrefix="0" xfId="0">
      <alignment horizontal="center" vertical="center" wrapText="1"/>
    </xf>
    <xf numFmtId="0" fontId="10" fillId="41" borderId="1" applyAlignment="1" pivotButton="0" quotePrefix="0" xfId="0">
      <alignment horizontal="left" vertical="center"/>
    </xf>
    <xf numFmtId="0" fontId="8" fillId="41" borderId="1" applyAlignment="1" pivotButton="0" quotePrefix="0" xfId="0">
      <alignment horizontal="center" vertical="center" wrapText="1"/>
    </xf>
    <xf numFmtId="4" fontId="10" fillId="41" borderId="1" applyAlignment="1" pivotButton="0" quotePrefix="0" xfId="0">
      <alignment horizontal="right" vertical="center"/>
    </xf>
    <xf numFmtId="164" fontId="10" fillId="41" borderId="1" applyAlignment="1" pivotButton="0" quotePrefix="0" xfId="0">
      <alignment horizontal="right" vertical="center"/>
    </xf>
    <xf numFmtId="164" fontId="9" fillId="41" borderId="1" applyAlignment="1" pivotButton="0" quotePrefix="0" xfId="0">
      <alignment horizontal="right" vertical="center"/>
    </xf>
    <xf numFmtId="0" fontId="6" fillId="42" borderId="1" applyAlignment="1" pivotButton="0" quotePrefix="0" xfId="0">
      <alignment horizontal="left" vertical="center"/>
    </xf>
    <xf numFmtId="0" fontId="4" fillId="43" borderId="1" applyAlignment="1" pivotButton="0" quotePrefix="0" xfId="0">
      <alignment horizontal="left" vertical="center"/>
    </xf>
    <xf numFmtId="0" fontId="7" fillId="44" borderId="1" applyAlignment="1" pivotButton="0" quotePrefix="0" xfId="0">
      <alignment horizontal="left" vertical="center"/>
    </xf>
    <xf numFmtId="0" fontId="10" fillId="45" borderId="1" applyAlignment="1" pivotButton="0" quotePrefix="0" xfId="0">
      <alignment horizontal="center" vertical="center" wrapText="1"/>
    </xf>
    <xf numFmtId="0" fontId="10" fillId="45" borderId="1" applyAlignment="1" pivotButton="0" quotePrefix="0" xfId="0">
      <alignment horizontal="left" vertical="center"/>
    </xf>
    <xf numFmtId="0" fontId="8" fillId="45" borderId="1" applyAlignment="1" pivotButton="0" quotePrefix="0" xfId="0">
      <alignment horizontal="center" vertical="center" wrapText="1"/>
    </xf>
    <xf numFmtId="4" fontId="10" fillId="45" borderId="1" applyAlignment="1" pivotButton="0" quotePrefix="0" xfId="0">
      <alignment horizontal="right" vertical="center"/>
    </xf>
    <xf numFmtId="164" fontId="10" fillId="45" borderId="1" applyAlignment="1" pivotButton="0" quotePrefix="0" xfId="0">
      <alignment horizontal="right" vertical="center"/>
    </xf>
    <xf numFmtId="164" fontId="9" fillId="45" borderId="1" applyAlignment="1" pivotButton="0" quotePrefix="0" xfId="0">
      <alignment horizontal="right" vertical="center"/>
    </xf>
    <xf numFmtId="0" fontId="6" fillId="46" borderId="1" applyAlignment="1" pivotButton="0" quotePrefix="0" xfId="0">
      <alignment horizontal="left" vertical="center"/>
    </xf>
    <xf numFmtId="0" fontId="4" fillId="47" borderId="1" applyAlignment="1" pivotButton="0" quotePrefix="0" xfId="0">
      <alignment horizontal="left" vertical="center"/>
    </xf>
    <xf numFmtId="0" fontId="7" fillId="48" borderId="1" applyAlignment="1" pivotButton="0" quotePrefix="0" xfId="0">
      <alignment horizontal="left" vertical="center"/>
    </xf>
    <xf numFmtId="0" fontId="10" fillId="49" borderId="1" applyAlignment="1" pivotButton="0" quotePrefix="0" xfId="0">
      <alignment horizontal="center" vertical="center" wrapText="1"/>
    </xf>
    <xf numFmtId="0" fontId="10" fillId="49" borderId="1" applyAlignment="1" pivotButton="0" quotePrefix="0" xfId="0">
      <alignment horizontal="left" vertical="center"/>
    </xf>
    <xf numFmtId="0" fontId="8" fillId="49" borderId="1" applyAlignment="1" pivotButton="0" quotePrefix="0" xfId="0">
      <alignment horizontal="center" vertical="center" wrapText="1"/>
    </xf>
    <xf numFmtId="4" fontId="10" fillId="49" borderId="1" applyAlignment="1" pivotButton="0" quotePrefix="0" xfId="0">
      <alignment horizontal="right" vertical="center"/>
    </xf>
    <xf numFmtId="164" fontId="10" fillId="49" borderId="1" applyAlignment="1" pivotButton="0" quotePrefix="0" xfId="0">
      <alignment horizontal="right" vertical="center"/>
    </xf>
    <xf numFmtId="164" fontId="9" fillId="49" borderId="1" applyAlignment="1" pivotButton="0" quotePrefix="0" xfId="0">
      <alignment horizontal="right" vertical="center"/>
    </xf>
    <xf numFmtId="0" fontId="6" fillId="50" borderId="1" applyAlignment="1" pivotButton="0" quotePrefix="0" xfId="0">
      <alignment horizontal="left" vertical="center"/>
    </xf>
    <xf numFmtId="0" fontId="4" fillId="51" borderId="1" applyAlignment="1" pivotButton="0" quotePrefix="0" xfId="0">
      <alignment horizontal="left" vertical="center"/>
    </xf>
    <xf numFmtId="0" fontId="7" fillId="52" borderId="1" applyAlignment="1" pivotButton="0" quotePrefix="0" xfId="0">
      <alignment horizontal="left" vertical="center"/>
    </xf>
    <xf numFmtId="0" fontId="10" fillId="53" borderId="1" applyAlignment="1" pivotButton="0" quotePrefix="0" xfId="0">
      <alignment horizontal="center" vertical="center" wrapText="1"/>
    </xf>
    <xf numFmtId="0" fontId="10" fillId="53" borderId="1" applyAlignment="1" pivotButton="0" quotePrefix="0" xfId="0">
      <alignment horizontal="left" vertical="center"/>
    </xf>
    <xf numFmtId="0" fontId="8" fillId="53" borderId="1" applyAlignment="1" pivotButton="0" quotePrefix="0" xfId="0">
      <alignment horizontal="center" vertical="center" wrapText="1"/>
    </xf>
    <xf numFmtId="4" fontId="10" fillId="53" borderId="1" applyAlignment="1" pivotButton="0" quotePrefix="0" xfId="0">
      <alignment horizontal="right" vertical="center"/>
    </xf>
    <xf numFmtId="164" fontId="10" fillId="53" borderId="1" applyAlignment="1" pivotButton="0" quotePrefix="0" xfId="0">
      <alignment horizontal="right" vertical="center"/>
    </xf>
    <xf numFmtId="164" fontId="9" fillId="53" borderId="1" applyAlignment="1" pivotButton="0" quotePrefix="0" xfId="0">
      <alignment horizontal="right" vertical="center"/>
    </xf>
    <xf numFmtId="0" fontId="6" fillId="54" borderId="1" applyAlignment="1" pivotButton="0" quotePrefix="0" xfId="0">
      <alignment horizontal="left" vertical="center"/>
    </xf>
    <xf numFmtId="0" fontId="4" fillId="55" borderId="1" applyAlignment="1" pivotButton="0" quotePrefix="0" xfId="0">
      <alignment horizontal="left" vertical="center"/>
    </xf>
    <xf numFmtId="0" fontId="7" fillId="56" borderId="1" applyAlignment="1" pivotButton="0" quotePrefix="0" xfId="0">
      <alignment horizontal="left" vertical="center"/>
    </xf>
    <xf numFmtId="0" fontId="10" fillId="57" borderId="1" applyAlignment="1" pivotButton="0" quotePrefix="0" xfId="0">
      <alignment horizontal="center" vertical="center" wrapText="1"/>
    </xf>
    <xf numFmtId="0" fontId="10" fillId="57" borderId="1" applyAlignment="1" pivotButton="0" quotePrefix="0" xfId="0">
      <alignment horizontal="left" vertical="center"/>
    </xf>
    <xf numFmtId="0" fontId="8" fillId="57" borderId="1" applyAlignment="1" pivotButton="0" quotePrefix="0" xfId="0">
      <alignment horizontal="center" vertical="center" wrapText="1"/>
    </xf>
    <xf numFmtId="4" fontId="10" fillId="57" borderId="1" applyAlignment="1" pivotButton="0" quotePrefix="0" xfId="0">
      <alignment horizontal="right" vertical="center"/>
    </xf>
    <xf numFmtId="164" fontId="10" fillId="57" borderId="1" applyAlignment="1" pivotButton="0" quotePrefix="0" xfId="0">
      <alignment horizontal="right" vertical="center"/>
    </xf>
    <xf numFmtId="164" fontId="9" fillId="57" borderId="1" applyAlignment="1" pivotButton="0" quotePrefix="0" xfId="0">
      <alignment horizontal="right" vertical="center"/>
    </xf>
    <xf numFmtId="0" fontId="13" fillId="0" borderId="0" pivotButton="0" quotePrefix="0" xfId="0"/>
    <xf numFmtId="0" fontId="14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12" fillId="0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right" vertical="center"/>
    </xf>
    <xf numFmtId="0" fontId="0" fillId="0" borderId="8" pivotButton="0" quotePrefix="0" xfId="0"/>
    <xf numFmtId="0" fontId="12" fillId="11" borderId="1" applyAlignment="1" pivotButton="0" quotePrefix="0" xfId="0">
      <alignment horizontal="center" vertical="center" wrapText="1"/>
    </xf>
    <xf numFmtId="0" fontId="12" fillId="15" borderId="1" applyAlignment="1" pivotButton="0" quotePrefix="0" xfId="0">
      <alignment horizontal="center" vertical="center" wrapText="1"/>
    </xf>
    <xf numFmtId="0" fontId="12" fillId="19" borderId="1" applyAlignment="1" pivotButton="0" quotePrefix="0" xfId="0">
      <alignment horizontal="center" vertical="center" wrapText="1"/>
    </xf>
    <xf numFmtId="0" fontId="12" fillId="23" borderId="1" applyAlignment="1" pivotButton="0" quotePrefix="0" xfId="0">
      <alignment horizontal="center" vertical="center" wrapText="1"/>
    </xf>
    <xf numFmtId="0" fontId="12" fillId="27" borderId="1" applyAlignment="1" pivotButton="0" quotePrefix="0" xfId="0">
      <alignment horizontal="center" vertical="center" wrapText="1"/>
    </xf>
    <xf numFmtId="0" fontId="12" fillId="31" borderId="1" applyAlignment="1" pivotButton="0" quotePrefix="0" xfId="0">
      <alignment horizontal="center" vertical="center" wrapText="1"/>
    </xf>
    <xf numFmtId="0" fontId="12" fillId="37" borderId="1" applyAlignment="1" pivotButton="0" quotePrefix="0" xfId="0">
      <alignment horizontal="center" vertical="center" wrapText="1"/>
    </xf>
    <xf numFmtId="0" fontId="12" fillId="41" borderId="1" applyAlignment="1" pivotButton="0" quotePrefix="0" xfId="0">
      <alignment horizontal="center" vertical="center" wrapText="1"/>
    </xf>
    <xf numFmtId="0" fontId="12" fillId="45" borderId="1" applyAlignment="1" pivotButton="0" quotePrefix="0" xfId="0">
      <alignment horizontal="center" vertical="center" wrapText="1"/>
    </xf>
    <xf numFmtId="0" fontId="12" fillId="49" borderId="1" applyAlignment="1" pivotButton="0" quotePrefix="0" xfId="0">
      <alignment horizontal="center" vertical="center" wrapText="1"/>
    </xf>
    <xf numFmtId="0" fontId="12" fillId="53" borderId="1" applyAlignment="1" pivotButton="0" quotePrefix="0" xfId="0">
      <alignment horizontal="center" vertical="center" wrapText="1"/>
    </xf>
    <xf numFmtId="0" fontId="12" fillId="57" borderId="1" applyAlignment="1" pivotButton="0" quotePrefix="0" xfId="0">
      <alignment horizontal="center" vertical="center" wrapText="1"/>
    </xf>
    <xf numFmtId="0" fontId="6" fillId="58" borderId="1" applyAlignment="1" pivotButton="0" quotePrefix="0" xfId="0">
      <alignment horizontal="left" vertical="center"/>
    </xf>
    <xf numFmtId="0" fontId="4" fillId="59" borderId="1" applyAlignment="1" pivotButton="0" quotePrefix="0" xfId="0">
      <alignment horizontal="left" vertical="center"/>
    </xf>
    <xf numFmtId="0" fontId="7" fillId="60" borderId="1" applyAlignment="1" pivotButton="0" quotePrefix="0" xfId="0">
      <alignment horizontal="left" vertical="center"/>
    </xf>
    <xf numFmtId="0" fontId="10" fillId="61" borderId="1" applyAlignment="1" pivotButton="0" quotePrefix="0" xfId="0">
      <alignment horizontal="center" vertical="center" wrapText="1"/>
    </xf>
    <xf numFmtId="0" fontId="10" fillId="61" borderId="1" applyAlignment="1" pivotButton="0" quotePrefix="0" xfId="0">
      <alignment horizontal="left" vertical="center"/>
    </xf>
    <xf numFmtId="0" fontId="8" fillId="61" borderId="1" applyAlignment="1" pivotButton="0" quotePrefix="0" xfId="0">
      <alignment horizontal="center" vertical="center" wrapText="1"/>
    </xf>
    <xf numFmtId="4" fontId="10" fillId="61" borderId="1" applyAlignment="1" pivotButton="0" quotePrefix="0" xfId="0">
      <alignment horizontal="right" vertical="center"/>
    </xf>
    <xf numFmtId="164" fontId="10" fillId="61" borderId="1" applyAlignment="1" pivotButton="0" quotePrefix="0" xfId="0">
      <alignment horizontal="right" vertical="center"/>
    </xf>
    <xf numFmtId="164" fontId="9" fillId="61" borderId="1" applyAlignment="1" pivotButton="0" quotePrefix="0" xfId="0">
      <alignment horizontal="right" vertical="center"/>
    </xf>
    <xf numFmtId="0" fontId="12" fillId="61" borderId="1" applyAlignment="1" pivotButton="0" quotePrefix="0" xfId="0">
      <alignment horizontal="center" vertical="center" wrapText="1"/>
    </xf>
    <xf numFmtId="0" fontId="6" fillId="62" borderId="1" applyAlignment="1" pivotButton="0" quotePrefix="0" xfId="0">
      <alignment horizontal="left" vertical="center"/>
    </xf>
    <xf numFmtId="0" fontId="4" fillId="63" borderId="1" applyAlignment="1" pivotButton="0" quotePrefix="0" xfId="0">
      <alignment horizontal="left" vertical="center"/>
    </xf>
    <xf numFmtId="0" fontId="7" fillId="64" borderId="1" applyAlignment="1" pivotButton="0" quotePrefix="0" xfId="0">
      <alignment horizontal="left" vertical="center"/>
    </xf>
    <xf numFmtId="0" fontId="10" fillId="65" borderId="1" applyAlignment="1" pivotButton="0" quotePrefix="0" xfId="0">
      <alignment horizontal="center" vertical="center" wrapText="1"/>
    </xf>
    <xf numFmtId="0" fontId="10" fillId="65" borderId="1" applyAlignment="1" pivotButton="0" quotePrefix="0" xfId="0">
      <alignment horizontal="left" vertical="center"/>
    </xf>
    <xf numFmtId="0" fontId="8" fillId="65" borderId="1" applyAlignment="1" pivotButton="0" quotePrefix="0" xfId="0">
      <alignment horizontal="center" vertical="center" wrapText="1"/>
    </xf>
    <xf numFmtId="4" fontId="10" fillId="65" borderId="1" applyAlignment="1" pivotButton="0" quotePrefix="0" xfId="0">
      <alignment horizontal="right" vertical="center"/>
    </xf>
    <xf numFmtId="164" fontId="10" fillId="65" borderId="1" applyAlignment="1" pivotButton="0" quotePrefix="0" xfId="0">
      <alignment horizontal="right" vertical="center"/>
    </xf>
    <xf numFmtId="164" fontId="9" fillId="65" borderId="1" applyAlignment="1" pivotButton="0" quotePrefix="0" xfId="0">
      <alignment horizontal="right" vertical="center"/>
    </xf>
    <xf numFmtId="0" fontId="12" fillId="65" borderId="1" applyAlignment="1" pivotButton="0" quotePrefix="0" xfId="0">
      <alignment horizontal="center" vertical="center" wrapText="1"/>
    </xf>
    <xf numFmtId="0" fontId="6" fillId="66" borderId="1" applyAlignment="1" pivotButton="0" quotePrefix="0" xfId="0">
      <alignment horizontal="left" vertical="center"/>
    </xf>
    <xf numFmtId="0" fontId="4" fillId="67" borderId="1" applyAlignment="1" pivotButton="0" quotePrefix="0" xfId="0">
      <alignment horizontal="left" vertical="center"/>
    </xf>
    <xf numFmtId="0" fontId="7" fillId="68" borderId="1" applyAlignment="1" pivotButton="0" quotePrefix="0" xfId="0">
      <alignment horizontal="left" vertical="center"/>
    </xf>
    <xf numFmtId="0" fontId="10" fillId="69" borderId="1" applyAlignment="1" pivotButton="0" quotePrefix="0" xfId="0">
      <alignment horizontal="center" vertical="center" wrapText="1"/>
    </xf>
    <xf numFmtId="0" fontId="10" fillId="69" borderId="1" applyAlignment="1" pivotButton="0" quotePrefix="0" xfId="0">
      <alignment horizontal="left" vertical="center"/>
    </xf>
    <xf numFmtId="0" fontId="8" fillId="69" borderId="1" applyAlignment="1" pivotButton="0" quotePrefix="0" xfId="0">
      <alignment horizontal="center" vertical="center" wrapText="1"/>
    </xf>
    <xf numFmtId="4" fontId="10" fillId="69" borderId="1" applyAlignment="1" pivotButton="0" quotePrefix="0" xfId="0">
      <alignment horizontal="right" vertical="center"/>
    </xf>
    <xf numFmtId="164" fontId="10" fillId="69" borderId="1" applyAlignment="1" pivotButton="0" quotePrefix="0" xfId="0">
      <alignment horizontal="right" vertical="center"/>
    </xf>
    <xf numFmtId="164" fontId="9" fillId="69" borderId="1" applyAlignment="1" pivotButton="0" quotePrefix="0" xfId="0">
      <alignment horizontal="right" vertical="center"/>
    </xf>
    <xf numFmtId="0" fontId="12" fillId="69" borderId="1" applyAlignment="1" pivotButton="0" quotePrefix="0" xfId="0">
      <alignment horizontal="center" vertical="center" wrapText="1"/>
    </xf>
    <xf numFmtId="0" fontId="6" fillId="70" borderId="1" applyAlignment="1" pivotButton="0" quotePrefix="0" xfId="0">
      <alignment horizontal="left" vertical="center"/>
    </xf>
    <xf numFmtId="0" fontId="4" fillId="71" borderId="1" applyAlignment="1" pivotButton="0" quotePrefix="0" xfId="0">
      <alignment horizontal="left" vertical="center"/>
    </xf>
    <xf numFmtId="0" fontId="7" fillId="72" borderId="1" applyAlignment="1" pivotButton="0" quotePrefix="0" xfId="0">
      <alignment horizontal="left" vertical="center"/>
    </xf>
    <xf numFmtId="0" fontId="10" fillId="73" borderId="1" applyAlignment="1" pivotButton="0" quotePrefix="0" xfId="0">
      <alignment horizontal="center" vertical="center" wrapText="1"/>
    </xf>
    <xf numFmtId="0" fontId="10" fillId="73" borderId="1" applyAlignment="1" pivotButton="0" quotePrefix="0" xfId="0">
      <alignment horizontal="left" vertical="center"/>
    </xf>
    <xf numFmtId="0" fontId="8" fillId="73" borderId="1" applyAlignment="1" pivotButton="0" quotePrefix="0" xfId="0">
      <alignment horizontal="center" vertical="center" wrapText="1"/>
    </xf>
    <xf numFmtId="4" fontId="10" fillId="73" borderId="1" applyAlignment="1" pivotButton="0" quotePrefix="0" xfId="0">
      <alignment horizontal="right" vertical="center"/>
    </xf>
    <xf numFmtId="164" fontId="10" fillId="73" borderId="1" applyAlignment="1" pivotButton="0" quotePrefix="0" xfId="0">
      <alignment horizontal="right" vertical="center"/>
    </xf>
    <xf numFmtId="164" fontId="9" fillId="73" borderId="1" applyAlignment="1" pivotButton="0" quotePrefix="0" xfId="0">
      <alignment horizontal="right" vertical="center"/>
    </xf>
    <xf numFmtId="0" fontId="12" fillId="73" borderId="1" applyAlignment="1" pivotButton="0" quotePrefix="0" xfId="0">
      <alignment horizontal="center" vertical="center" wrapText="1"/>
    </xf>
    <xf numFmtId="0" fontId="6" fillId="74" borderId="1" applyAlignment="1" pivotButton="0" quotePrefix="0" xfId="0">
      <alignment horizontal="left" vertical="center"/>
    </xf>
    <xf numFmtId="0" fontId="4" fillId="75" borderId="1" applyAlignment="1" pivotButton="0" quotePrefix="0" xfId="0">
      <alignment horizontal="left" vertical="center"/>
    </xf>
    <xf numFmtId="0" fontId="7" fillId="76" borderId="1" applyAlignment="1" pivotButton="0" quotePrefix="0" xfId="0">
      <alignment horizontal="left" vertical="center"/>
    </xf>
    <xf numFmtId="0" fontId="10" fillId="77" borderId="1" applyAlignment="1" pivotButton="0" quotePrefix="0" xfId="0">
      <alignment horizontal="center" vertical="center" wrapText="1"/>
    </xf>
    <xf numFmtId="0" fontId="10" fillId="77" borderId="1" applyAlignment="1" pivotButton="0" quotePrefix="0" xfId="0">
      <alignment horizontal="left" vertical="center"/>
    </xf>
    <xf numFmtId="0" fontId="8" fillId="77" borderId="1" applyAlignment="1" pivotButton="0" quotePrefix="0" xfId="0">
      <alignment horizontal="center" vertical="center" wrapText="1"/>
    </xf>
    <xf numFmtId="4" fontId="10" fillId="77" borderId="1" applyAlignment="1" pivotButton="0" quotePrefix="0" xfId="0">
      <alignment horizontal="right" vertical="center"/>
    </xf>
    <xf numFmtId="164" fontId="10" fillId="77" borderId="1" applyAlignment="1" pivotButton="0" quotePrefix="0" xfId="0">
      <alignment horizontal="right" vertical="center"/>
    </xf>
    <xf numFmtId="164" fontId="9" fillId="77" borderId="1" applyAlignment="1" pivotButton="0" quotePrefix="0" xfId="0">
      <alignment horizontal="right" vertical="center"/>
    </xf>
    <xf numFmtId="0" fontId="12" fillId="77" borderId="1" applyAlignment="1" pivotButton="0" quotePrefix="0" xfId="0">
      <alignment horizontal="center" vertical="center" wrapText="1"/>
    </xf>
    <xf numFmtId="0" fontId="6" fillId="78" borderId="1" applyAlignment="1" pivotButton="0" quotePrefix="0" xfId="0">
      <alignment horizontal="left" vertical="center"/>
    </xf>
    <xf numFmtId="0" fontId="4" fillId="79" borderId="1" applyAlignment="1" pivotButton="0" quotePrefix="0" xfId="0">
      <alignment horizontal="left" vertical="center"/>
    </xf>
    <xf numFmtId="0" fontId="7" fillId="80" borderId="1" applyAlignment="1" pivotButton="0" quotePrefix="0" xfId="0">
      <alignment horizontal="left" vertical="center"/>
    </xf>
    <xf numFmtId="0" fontId="10" fillId="81" borderId="1" applyAlignment="1" pivotButton="0" quotePrefix="0" xfId="0">
      <alignment horizontal="center" vertical="center" wrapText="1"/>
    </xf>
    <xf numFmtId="0" fontId="10" fillId="81" borderId="1" applyAlignment="1" pivotButton="0" quotePrefix="0" xfId="0">
      <alignment horizontal="left" vertical="center"/>
    </xf>
    <xf numFmtId="0" fontId="8" fillId="81" borderId="1" applyAlignment="1" pivotButton="0" quotePrefix="0" xfId="0">
      <alignment horizontal="center" vertical="center" wrapText="1"/>
    </xf>
    <xf numFmtId="4" fontId="10" fillId="81" borderId="1" applyAlignment="1" pivotButton="0" quotePrefix="0" xfId="0">
      <alignment horizontal="right" vertical="center"/>
    </xf>
    <xf numFmtId="164" fontId="10" fillId="81" borderId="1" applyAlignment="1" pivotButton="0" quotePrefix="0" xfId="0">
      <alignment horizontal="right" vertical="center"/>
    </xf>
    <xf numFmtId="164" fontId="9" fillId="81" borderId="1" applyAlignment="1" pivotButton="0" quotePrefix="0" xfId="0">
      <alignment horizontal="right" vertical="center"/>
    </xf>
    <xf numFmtId="0" fontId="12" fillId="81" borderId="1" applyAlignment="1" pivotButton="0" quotePrefix="0" xfId="0">
      <alignment horizontal="center" vertical="center" wrapText="1"/>
    </xf>
    <xf numFmtId="0" fontId="6" fillId="82" borderId="1" applyAlignment="1" pivotButton="0" quotePrefix="0" xfId="0">
      <alignment horizontal="left" vertical="center"/>
    </xf>
    <xf numFmtId="0" fontId="4" fillId="83" borderId="1" applyAlignment="1" pivotButton="0" quotePrefix="0" xfId="0">
      <alignment horizontal="left" vertical="center"/>
    </xf>
    <xf numFmtId="0" fontId="7" fillId="84" borderId="1" applyAlignment="1" pivotButton="0" quotePrefix="0" xfId="0">
      <alignment horizontal="left" vertical="center"/>
    </xf>
    <xf numFmtId="0" fontId="10" fillId="85" borderId="1" applyAlignment="1" pivotButton="0" quotePrefix="0" xfId="0">
      <alignment horizontal="center" vertical="center" wrapText="1"/>
    </xf>
    <xf numFmtId="0" fontId="10" fillId="85" borderId="1" applyAlignment="1" pivotButton="0" quotePrefix="0" xfId="0">
      <alignment horizontal="left" vertical="center"/>
    </xf>
    <xf numFmtId="0" fontId="8" fillId="85" borderId="1" applyAlignment="1" pivotButton="0" quotePrefix="0" xfId="0">
      <alignment horizontal="center" vertical="center" wrapText="1"/>
    </xf>
    <xf numFmtId="4" fontId="10" fillId="85" borderId="1" applyAlignment="1" pivotButton="0" quotePrefix="0" xfId="0">
      <alignment horizontal="right" vertical="center"/>
    </xf>
    <xf numFmtId="164" fontId="10" fillId="85" borderId="1" applyAlignment="1" pivotButton="0" quotePrefix="0" xfId="0">
      <alignment horizontal="right" vertical="center"/>
    </xf>
    <xf numFmtId="164" fontId="9" fillId="85" borderId="1" applyAlignment="1" pivotButton="0" quotePrefix="0" xfId="0">
      <alignment horizontal="right" vertical="center"/>
    </xf>
    <xf numFmtId="0" fontId="12" fillId="85" borderId="1" applyAlignment="1" pivotButton="0" quotePrefix="0" xfId="0">
      <alignment horizontal="center" vertical="center" wrapText="1"/>
    </xf>
    <xf numFmtId="0" fontId="6" fillId="86" borderId="1" applyAlignment="1" pivotButton="0" quotePrefix="0" xfId="0">
      <alignment horizontal="left" vertical="center"/>
    </xf>
    <xf numFmtId="0" fontId="4" fillId="87" borderId="1" applyAlignment="1" pivotButton="0" quotePrefix="0" xfId="0">
      <alignment horizontal="left" vertical="center"/>
    </xf>
    <xf numFmtId="0" fontId="7" fillId="88" borderId="1" applyAlignment="1" pivotButton="0" quotePrefix="0" xfId="0">
      <alignment horizontal="left" vertical="center"/>
    </xf>
    <xf numFmtId="0" fontId="10" fillId="89" borderId="1" applyAlignment="1" pivotButton="0" quotePrefix="0" xfId="0">
      <alignment horizontal="center" vertical="center" wrapText="1"/>
    </xf>
    <xf numFmtId="0" fontId="10" fillId="89" borderId="1" applyAlignment="1" pivotButton="0" quotePrefix="0" xfId="0">
      <alignment horizontal="left" vertical="center"/>
    </xf>
    <xf numFmtId="0" fontId="8" fillId="89" borderId="1" applyAlignment="1" pivotButton="0" quotePrefix="0" xfId="0">
      <alignment horizontal="center" vertical="center" wrapText="1"/>
    </xf>
    <xf numFmtId="4" fontId="10" fillId="89" borderId="1" applyAlignment="1" pivotButton="0" quotePrefix="0" xfId="0">
      <alignment horizontal="right" vertical="center"/>
    </xf>
    <xf numFmtId="164" fontId="10" fillId="89" borderId="1" applyAlignment="1" pivotButton="0" quotePrefix="0" xfId="0">
      <alignment horizontal="right" vertical="center"/>
    </xf>
    <xf numFmtId="164" fontId="9" fillId="89" borderId="1" applyAlignment="1" pivotButton="0" quotePrefix="0" xfId="0">
      <alignment horizontal="right" vertical="center"/>
    </xf>
    <xf numFmtId="0" fontId="12" fillId="89" borderId="1" applyAlignment="1" pivotButton="0" quotePrefix="0" xfId="0">
      <alignment horizontal="center" vertical="center" wrapText="1"/>
    </xf>
    <xf numFmtId="0" fontId="6" fillId="90" borderId="1" applyAlignment="1" pivotButton="0" quotePrefix="0" xfId="0">
      <alignment horizontal="left" vertical="center"/>
    </xf>
    <xf numFmtId="0" fontId="4" fillId="91" borderId="1" applyAlignment="1" pivotButton="0" quotePrefix="0" xfId="0">
      <alignment horizontal="left" vertical="center"/>
    </xf>
    <xf numFmtId="0" fontId="7" fillId="92" borderId="1" applyAlignment="1" pivotButton="0" quotePrefix="0" xfId="0">
      <alignment horizontal="left" vertical="center"/>
    </xf>
    <xf numFmtId="0" fontId="10" fillId="93" borderId="1" applyAlignment="1" pivotButton="0" quotePrefix="0" xfId="0">
      <alignment horizontal="center" vertical="center" wrapText="1"/>
    </xf>
    <xf numFmtId="0" fontId="10" fillId="93" borderId="1" applyAlignment="1" pivotButton="0" quotePrefix="0" xfId="0">
      <alignment horizontal="left" vertical="center"/>
    </xf>
    <xf numFmtId="0" fontId="8" fillId="93" borderId="1" applyAlignment="1" pivotButton="0" quotePrefix="0" xfId="0">
      <alignment horizontal="center" vertical="center" wrapText="1"/>
    </xf>
    <xf numFmtId="4" fontId="10" fillId="93" borderId="1" applyAlignment="1" pivotButton="0" quotePrefix="0" xfId="0">
      <alignment horizontal="right" vertical="center"/>
    </xf>
    <xf numFmtId="164" fontId="10" fillId="93" borderId="1" applyAlignment="1" pivotButton="0" quotePrefix="0" xfId="0">
      <alignment horizontal="right" vertical="center"/>
    </xf>
    <xf numFmtId="164" fontId="9" fillId="93" borderId="1" applyAlignment="1" pivotButton="0" quotePrefix="0" xfId="0">
      <alignment horizontal="right" vertical="center"/>
    </xf>
    <xf numFmtId="0" fontId="12" fillId="93" borderId="1" applyAlignment="1" pivotButton="0" quotePrefix="0" xfId="0">
      <alignment horizontal="center" vertical="center" wrapText="1"/>
    </xf>
    <xf numFmtId="0" fontId="6" fillId="94" borderId="1" applyAlignment="1" pivotButton="0" quotePrefix="0" xfId="0">
      <alignment horizontal="left" vertical="center"/>
    </xf>
    <xf numFmtId="0" fontId="4" fillId="95" borderId="1" applyAlignment="1" pivotButton="0" quotePrefix="0" xfId="0">
      <alignment horizontal="left" vertical="center"/>
    </xf>
    <xf numFmtId="0" fontId="7" fillId="96" borderId="1" applyAlignment="1" pivotButton="0" quotePrefix="0" xfId="0">
      <alignment horizontal="left" vertical="center"/>
    </xf>
    <xf numFmtId="0" fontId="10" fillId="97" borderId="1" applyAlignment="1" pivotButton="0" quotePrefix="0" xfId="0">
      <alignment horizontal="center" vertical="center" wrapText="1"/>
    </xf>
    <xf numFmtId="0" fontId="10" fillId="97" borderId="1" applyAlignment="1" pivotButton="0" quotePrefix="0" xfId="0">
      <alignment horizontal="left" vertical="center"/>
    </xf>
    <xf numFmtId="0" fontId="8" fillId="97" borderId="1" applyAlignment="1" pivotButton="0" quotePrefix="0" xfId="0">
      <alignment horizontal="center" vertical="center" wrapText="1"/>
    </xf>
    <xf numFmtId="4" fontId="10" fillId="97" borderId="1" applyAlignment="1" pivotButton="0" quotePrefix="0" xfId="0">
      <alignment horizontal="right" vertical="center"/>
    </xf>
    <xf numFmtId="164" fontId="10" fillId="97" borderId="1" applyAlignment="1" pivotButton="0" quotePrefix="0" xfId="0">
      <alignment horizontal="right" vertical="center"/>
    </xf>
    <xf numFmtId="164" fontId="9" fillId="97" borderId="1" applyAlignment="1" pivotButton="0" quotePrefix="0" xfId="0">
      <alignment horizontal="right" vertical="center"/>
    </xf>
    <xf numFmtId="0" fontId="12" fillId="97" borderId="1" applyAlignment="1" pivotButton="0" quotePrefix="0" xfId="0">
      <alignment horizontal="center" vertical="center" wrapText="1"/>
    </xf>
    <xf numFmtId="0" fontId="6" fillId="98" borderId="1" applyAlignment="1" pivotButton="0" quotePrefix="0" xfId="0">
      <alignment horizontal="left" vertical="center"/>
    </xf>
    <xf numFmtId="0" fontId="4" fillId="99" borderId="1" applyAlignment="1" pivotButton="0" quotePrefix="0" xfId="0">
      <alignment horizontal="left" vertical="center"/>
    </xf>
    <xf numFmtId="0" fontId="7" fillId="100" borderId="1" applyAlignment="1" pivotButton="0" quotePrefix="0" xfId="0">
      <alignment horizontal="left" vertical="center"/>
    </xf>
    <xf numFmtId="0" fontId="10" fillId="101" borderId="1" applyAlignment="1" pivotButton="0" quotePrefix="0" xfId="0">
      <alignment horizontal="center" vertical="center" wrapText="1"/>
    </xf>
    <xf numFmtId="0" fontId="10" fillId="101" borderId="1" applyAlignment="1" pivotButton="0" quotePrefix="0" xfId="0">
      <alignment horizontal="left" vertical="center"/>
    </xf>
    <xf numFmtId="0" fontId="8" fillId="101" borderId="1" applyAlignment="1" pivotButton="0" quotePrefix="0" xfId="0">
      <alignment horizontal="center" vertical="center" wrapText="1"/>
    </xf>
    <xf numFmtId="4" fontId="10" fillId="101" borderId="1" applyAlignment="1" pivotButton="0" quotePrefix="0" xfId="0">
      <alignment horizontal="right" vertical="center"/>
    </xf>
    <xf numFmtId="164" fontId="10" fillId="101" borderId="1" applyAlignment="1" pivotButton="0" quotePrefix="0" xfId="0">
      <alignment horizontal="right" vertical="center"/>
    </xf>
    <xf numFmtId="164" fontId="9" fillId="101" borderId="1" applyAlignment="1" pivotButton="0" quotePrefix="0" xfId="0">
      <alignment horizontal="right" vertical="center"/>
    </xf>
    <xf numFmtId="0" fontId="12" fillId="101" borderId="1" applyAlignment="1" pivotButton="0" quotePrefix="0" xfId="0">
      <alignment horizontal="center" vertical="center" wrapText="1"/>
    </xf>
    <xf numFmtId="0" fontId="6" fillId="102" borderId="1" applyAlignment="1" pivotButton="0" quotePrefix="0" xfId="0">
      <alignment horizontal="left" vertical="center"/>
    </xf>
    <xf numFmtId="0" fontId="4" fillId="103" borderId="1" applyAlignment="1" pivotButton="0" quotePrefix="0" xfId="0">
      <alignment horizontal="left" vertical="center"/>
    </xf>
    <xf numFmtId="0" fontId="7" fillId="104" borderId="1" applyAlignment="1" pivotButton="0" quotePrefix="0" xfId="0">
      <alignment horizontal="left" vertical="center"/>
    </xf>
    <xf numFmtId="0" fontId="10" fillId="105" borderId="1" applyAlignment="1" pivotButton="0" quotePrefix="0" xfId="0">
      <alignment horizontal="center" vertical="center" wrapText="1"/>
    </xf>
    <xf numFmtId="0" fontId="10" fillId="105" borderId="1" applyAlignment="1" pivotButton="0" quotePrefix="0" xfId="0">
      <alignment horizontal="left" vertical="center"/>
    </xf>
    <xf numFmtId="0" fontId="8" fillId="105" borderId="1" applyAlignment="1" pivotButton="0" quotePrefix="0" xfId="0">
      <alignment horizontal="center" vertical="center" wrapText="1"/>
    </xf>
    <xf numFmtId="4" fontId="10" fillId="105" borderId="1" applyAlignment="1" pivotButton="0" quotePrefix="0" xfId="0">
      <alignment horizontal="right" vertical="center"/>
    </xf>
    <xf numFmtId="164" fontId="10" fillId="105" borderId="1" applyAlignment="1" pivotButton="0" quotePrefix="0" xfId="0">
      <alignment horizontal="right" vertical="center"/>
    </xf>
    <xf numFmtId="164" fontId="9" fillId="105" borderId="1" applyAlignment="1" pivotButton="0" quotePrefix="0" xfId="0">
      <alignment horizontal="right" vertical="center"/>
    </xf>
    <xf numFmtId="0" fontId="12" fillId="105" borderId="1" applyAlignment="1" pivotButton="0" quotePrefix="0" xfId="0">
      <alignment horizontal="center" vertical="center" wrapText="1"/>
    </xf>
    <xf numFmtId="0" fontId="6" fillId="106" borderId="1" applyAlignment="1" pivotButton="0" quotePrefix="0" xfId="0">
      <alignment horizontal="left" vertical="center"/>
    </xf>
    <xf numFmtId="0" fontId="4" fillId="107" borderId="1" applyAlignment="1" pivotButton="0" quotePrefix="0" xfId="0">
      <alignment horizontal="left" vertical="center"/>
    </xf>
    <xf numFmtId="0" fontId="7" fillId="108" borderId="1" applyAlignment="1" pivotButton="0" quotePrefix="0" xfId="0">
      <alignment horizontal="left" vertical="center"/>
    </xf>
    <xf numFmtId="0" fontId="10" fillId="109" borderId="1" applyAlignment="1" pivotButton="0" quotePrefix="0" xfId="0">
      <alignment horizontal="center" vertical="center" wrapText="1"/>
    </xf>
    <xf numFmtId="0" fontId="10" fillId="109" borderId="1" applyAlignment="1" pivotButton="0" quotePrefix="0" xfId="0">
      <alignment horizontal="left" vertical="center"/>
    </xf>
    <xf numFmtId="0" fontId="8" fillId="109" borderId="1" applyAlignment="1" pivotButton="0" quotePrefix="0" xfId="0">
      <alignment horizontal="center" vertical="center" wrapText="1"/>
    </xf>
    <xf numFmtId="4" fontId="10" fillId="109" borderId="1" applyAlignment="1" pivotButton="0" quotePrefix="0" xfId="0">
      <alignment horizontal="right" vertical="center"/>
    </xf>
    <xf numFmtId="164" fontId="10" fillId="109" borderId="1" applyAlignment="1" pivotButton="0" quotePrefix="0" xfId="0">
      <alignment horizontal="right" vertical="center"/>
    </xf>
    <xf numFmtId="164" fontId="9" fillId="109" borderId="1" applyAlignment="1" pivotButton="0" quotePrefix="0" xfId="0">
      <alignment horizontal="right" vertical="center"/>
    </xf>
    <xf numFmtId="0" fontId="12" fillId="109" borderId="1" applyAlignment="1" pivotButton="0" quotePrefix="0" xfId="0">
      <alignment horizontal="center" vertical="center" wrapText="1"/>
    </xf>
    <xf numFmtId="0" fontId="6" fillId="110" borderId="1" applyAlignment="1" pivotButton="0" quotePrefix="0" xfId="0">
      <alignment horizontal="left" vertical="center"/>
    </xf>
    <xf numFmtId="0" fontId="4" fillId="111" borderId="1" applyAlignment="1" pivotButton="0" quotePrefix="0" xfId="0">
      <alignment horizontal="left" vertical="center"/>
    </xf>
    <xf numFmtId="0" fontId="7" fillId="112" borderId="1" applyAlignment="1" pivotButton="0" quotePrefix="0" xfId="0">
      <alignment horizontal="left" vertical="center"/>
    </xf>
    <xf numFmtId="0" fontId="10" fillId="113" borderId="1" applyAlignment="1" pivotButton="0" quotePrefix="0" xfId="0">
      <alignment horizontal="center" vertical="center" wrapText="1"/>
    </xf>
    <xf numFmtId="0" fontId="10" fillId="113" borderId="1" applyAlignment="1" pivotButton="0" quotePrefix="0" xfId="0">
      <alignment horizontal="left" vertical="center"/>
    </xf>
    <xf numFmtId="0" fontId="8" fillId="113" borderId="1" applyAlignment="1" pivotButton="0" quotePrefix="0" xfId="0">
      <alignment horizontal="center" vertical="center" wrapText="1"/>
    </xf>
    <xf numFmtId="4" fontId="10" fillId="113" borderId="1" applyAlignment="1" pivotButton="0" quotePrefix="0" xfId="0">
      <alignment horizontal="right" vertical="center"/>
    </xf>
    <xf numFmtId="164" fontId="10" fillId="113" borderId="1" applyAlignment="1" pivotButton="0" quotePrefix="0" xfId="0">
      <alignment horizontal="right" vertical="center"/>
    </xf>
    <xf numFmtId="164" fontId="9" fillId="113" borderId="1" applyAlignment="1" pivotButton="0" quotePrefix="0" xfId="0">
      <alignment horizontal="right" vertical="center"/>
    </xf>
    <xf numFmtId="0" fontId="12" fillId="113" borderId="1" applyAlignment="1" pivotButton="0" quotePrefix="0" xfId="0">
      <alignment horizontal="center" vertical="center" wrapText="1"/>
    </xf>
    <xf numFmtId="0" fontId="6" fillId="114" borderId="1" applyAlignment="1" pivotButton="0" quotePrefix="0" xfId="0">
      <alignment horizontal="left" vertical="center"/>
    </xf>
    <xf numFmtId="0" fontId="4" fillId="115" borderId="1" applyAlignment="1" pivotButton="0" quotePrefix="0" xfId="0">
      <alignment horizontal="left" vertical="center"/>
    </xf>
    <xf numFmtId="0" fontId="7" fillId="116" borderId="1" applyAlignment="1" pivotButton="0" quotePrefix="0" xfId="0">
      <alignment horizontal="left" vertical="center"/>
    </xf>
    <xf numFmtId="0" fontId="10" fillId="117" borderId="1" applyAlignment="1" pivotButton="0" quotePrefix="0" xfId="0">
      <alignment horizontal="center" vertical="center" wrapText="1"/>
    </xf>
    <xf numFmtId="0" fontId="10" fillId="117" borderId="1" applyAlignment="1" pivotButton="0" quotePrefix="0" xfId="0">
      <alignment horizontal="left" vertical="center"/>
    </xf>
    <xf numFmtId="0" fontId="8" fillId="117" borderId="1" applyAlignment="1" pivotButton="0" quotePrefix="0" xfId="0">
      <alignment horizontal="center" vertical="center" wrapText="1"/>
    </xf>
    <xf numFmtId="4" fontId="10" fillId="117" borderId="1" applyAlignment="1" pivotButton="0" quotePrefix="0" xfId="0">
      <alignment horizontal="right" vertical="center"/>
    </xf>
    <xf numFmtId="164" fontId="10" fillId="117" borderId="1" applyAlignment="1" pivotButton="0" quotePrefix="0" xfId="0">
      <alignment horizontal="right" vertical="center"/>
    </xf>
    <xf numFmtId="164" fontId="9" fillId="117" borderId="1" applyAlignment="1" pivotButton="0" quotePrefix="0" xfId="0">
      <alignment horizontal="right" vertical="center"/>
    </xf>
    <xf numFmtId="0" fontId="12" fillId="11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Presupuestaria de la Base de Datos Maestra (USD)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'Índice y Resumen'!D6</f>
            </strRef>
          </tx>
          <spPr>
            <a:ln xmlns:a="http://schemas.openxmlformats.org/drawingml/2006/main">
              <a:prstDash val="solid"/>
            </a:ln>
          </spPr>
          <cat>
            <numRef>
              <f>'Índice y Resumen'!$B$7:$B$34</f>
            </numRef>
          </cat>
          <val>
            <numRef>
              <f>'Índice y Resumen'!$D$7:$D$34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Especialidad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Costo Total ($)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43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Instalaciones El&#233;ctricas'!A1" TargetMode="External" Id="rId1"/><Relationship Type="http://schemas.openxmlformats.org/officeDocument/2006/relationships/hyperlink" Target="#'Agua Potable (Fr&#237;a y Caliente)'!A1" TargetMode="External" Id="rId2"/><Relationship Type="http://schemas.openxmlformats.org/officeDocument/2006/relationships/hyperlink" Target="#'Aguas Grises y Servidas'!A1" TargetMode="External" Id="rId3"/><Relationship Type="http://schemas.openxmlformats.org/officeDocument/2006/relationships/hyperlink" Target="#'Red de Gas GLP y Natural'!A1" TargetMode="External" Id="rId4"/><Relationship Type="http://schemas.openxmlformats.org/officeDocument/2006/relationships/hyperlink" Target="#'Aguas Lluvias y Pluvial'!A1" TargetMode="External" Id="rId5"/><Relationship Type="http://schemas.openxmlformats.org/officeDocument/2006/relationships/hyperlink" Target="#'Aguas Residuales (PTAR)'!A1" TargetMode="External" Id="rId6"/><Relationship Type="http://schemas.openxmlformats.org/officeDocument/2006/relationships/hyperlink" Target="#'Instalaciones de Piscina'!A1" TargetMode="External" Id="rId7"/><Relationship Type="http://schemas.openxmlformats.org/officeDocument/2006/relationships/hyperlink" Target="#'Estructuras Met&#225;licas'!A1" TargetMode="External" Id="rId8"/><Relationship Type="http://schemas.openxmlformats.org/officeDocument/2006/relationships/hyperlink" Target="#'Hormig&#243;n Armado (H.A.)'!A1" TargetMode="External" Id="rId9"/><Relationship Type="http://schemas.openxmlformats.org/officeDocument/2006/relationships/hyperlink" Target="#'Concreto en General'!A1" TargetMode="External" Id="rId10"/><Relationship Type="http://schemas.openxmlformats.org/officeDocument/2006/relationships/hyperlink" Target="#'Ebanister&#237;a'!A1" TargetMode="External" Id="rId11"/><Relationship Type="http://schemas.openxmlformats.org/officeDocument/2006/relationships/hyperlink" Target="#'Gypsum'!A1" TargetMode="External" Id="rId12"/><Relationship Type="http://schemas.openxmlformats.org/officeDocument/2006/relationships/hyperlink" Target="#'Fibrocemento'!A1" TargetMode="External" Id="rId13"/><Relationship Type="http://schemas.openxmlformats.org/officeDocument/2006/relationships/hyperlink" Target="#'Mamposter&#237;a y Enlucidos'!A1" TargetMode="External" Id="rId14"/><Relationship Type="http://schemas.openxmlformats.org/officeDocument/2006/relationships/hyperlink" Target="#'Pisos y Revestimientos'!A1" TargetMode="External" Id="rId15"/><Relationship Type="http://schemas.openxmlformats.org/officeDocument/2006/relationships/hyperlink" Target="#'Cubiertas e Impermeabilizaci&#243;n'!A1" TargetMode="External" Id="rId16"/><Relationship Type="http://schemas.openxmlformats.org/officeDocument/2006/relationships/hyperlink" Target="#'Carpinter&#237;a Aluminio y Vidrio'!A1" TargetMode="External" Id="rId17"/><Relationship Type="http://schemas.openxmlformats.org/officeDocument/2006/relationships/hyperlink" Target="#'Carpinter&#237;a Met&#225;lica'!A1" TargetMode="External" Id="rId18"/><Relationship Type="http://schemas.openxmlformats.org/officeDocument/2006/relationships/hyperlink" Target="#'Pintura'!A1" TargetMode="External" Id="rId19"/><Relationship Type="http://schemas.openxmlformats.org/officeDocument/2006/relationships/hyperlink" Target="#'Aparatos Sanitarios y Grifer&#237;a'!A1" TargetMode="External" Id="rId20"/><Relationship Type="http://schemas.openxmlformats.org/officeDocument/2006/relationships/hyperlink" Target="#'Voz Datos CCTV y Seguridad'!A1" TargetMode="External" Id="rId21"/><Relationship Type="http://schemas.openxmlformats.org/officeDocument/2006/relationships/hyperlink" Target="#'Sistema Contra Incendios'!A1" TargetMode="External" Id="rId22"/><Relationship Type="http://schemas.openxmlformats.org/officeDocument/2006/relationships/hyperlink" Target="#'HVAC y Climatizaci&#243;n'!A1" TargetMode="External" Id="rId23"/><Relationship Type="http://schemas.openxmlformats.org/officeDocument/2006/relationships/hyperlink" Target="#'Mov. Tierras y Preliminares'!A1" TargetMode="External" Id="rId24"/><Relationship Type="http://schemas.openxmlformats.org/officeDocument/2006/relationships/hyperlink" Target="#'Mano de Obra'!A1" TargetMode="External" Id="rId25"/><Relationship Type="http://schemas.openxmlformats.org/officeDocument/2006/relationships/hyperlink" Target="#'Equipos y Herramientas'!A1" TargetMode="External" Id="rId26"/><Relationship Type="http://schemas.openxmlformats.org/officeDocument/2006/relationships/hyperlink" Target="#'Paisajismo'!A1" TargetMode="External" Id="rId27"/><Relationship Type="http://schemas.openxmlformats.org/officeDocument/2006/relationships/hyperlink" Target="#'Ascensores (Referencial)'!A1" TargetMode="External" Id="rId28"/><Relationship Type="http://schemas.openxmlformats.org/officeDocument/2006/relationships/drawing" Target="/xl/drawings/drawing1.xml" Id="rId29"/></Relationships>
</file>

<file path=xl/worksheets/_rels/sheet2.xml.rels><Relationships xmlns="http://schemas.openxmlformats.org/package/2006/relationships"><Relationship Type="http://schemas.openxmlformats.org/officeDocument/2006/relationships/hyperlink" Target="#'&#205;ndice y Resumen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 y Resumen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 y Resumen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 y Resumen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 y Resumen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 y Resumen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 y Resumen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 y Resumen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&#205;ndice y Resumen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&#205;ndice y Resumen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&#205;ndice y Resumen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&#205;ndice y Resumen'!A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#'&#205;ndice y Resumen'!A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#'&#205;ndice y Resumen'!A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#'&#205;ndice y Resumen'!A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#'&#205;ndice y Resumen'!A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#'&#205;ndice y Resumen'!A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#'&#205;ndice y Resumen'!A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#'&#205;ndice y Resumen'!A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#'&#205;ndice y Resumen'!A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#'&#205;ndice y Resumen'!A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#'&#205;ndice y Resumen'!A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#'&#205;ndice y Resumen'!A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#'&#205;ndice y Resumen'!A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#'&#205;ndice y Resumen'!A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#'&#205;ndice y Resumen'!A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#'&#205;ndice y Resumen'!A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#'&#205;ndice y Resumen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85" customWidth="1" min="3" max="3"/>
    <col width="22" customWidth="1" min="4" max="4"/>
    <col width="22" customWidth="1" min="5" max="5"/>
  </cols>
  <sheetData>
    <row r="1">
      <c r="A1" s="1" t="inlineStr">
        <is>
          <t>BASE DE DATOS MAESTRA TOTAL DE INSTALACIONES, ESTRUCTURAS Y ACABADOS (MEP + ESTRO + ACABADOS)</t>
        </is>
      </c>
    </row>
    <row r="2">
      <c r="A2" s="2" t="inlineStr">
        <is>
          <t>Desglose 100% Exhaustivo y Agrupado Homogéneamente: Accesorios &gt; Tuberías &gt; Equipos &gt; Conexiones &gt; Equipos Especializados</t>
        </is>
      </c>
    </row>
    <row r="3">
      <c r="A3" s="2" t="inlineStr">
        <is>
          <t>Codificación de Colores en Degradé Jerárquico | Ubicación: Ecuador (Guayaquil / Samborondón) | Moneda: USD ($)</t>
        </is>
      </c>
    </row>
    <row r="5">
      <c r="A5" s="3" t="inlineStr">
        <is>
          <t>ÍNDICE DE HOJAS, COLORES Y NAVEGACIÓN DEDICADA</t>
        </is>
      </c>
    </row>
    <row r="6">
      <c r="A6" s="4" t="inlineStr">
        <is>
          <t>N°</t>
        </is>
      </c>
      <c r="B6" s="4" t="inlineStr">
        <is>
          <t>Especialidad / Hoja</t>
        </is>
      </c>
      <c r="C6" s="4" t="inlineStr">
        <is>
          <t>Código de Color de Red</t>
        </is>
      </c>
      <c r="D6" s="4" t="inlineStr">
        <is>
          <t>Costo Total Est. ($)</t>
        </is>
      </c>
      <c r="E6" s="4" t="inlineStr">
        <is>
          <t>Enlace Directo</t>
        </is>
      </c>
    </row>
    <row r="7">
      <c r="A7" s="5" t="n">
        <v>1</v>
      </c>
      <c r="B7" s="6" t="inlineStr">
        <is>
          <t>Instalaciones Eléctricas</t>
        </is>
      </c>
      <c r="C7" s="7" t="inlineStr">
        <is>
          <t>MORADO (Paneles, Breakers, Cables, Ductos, Tiras LED, Spots, Solar, CCTV)</t>
        </is>
      </c>
      <c r="D7" s="8">
        <f>'Instalaciones Eléctricas'!L506</f>
        <v/>
      </c>
      <c r="E7" s="9" t="inlineStr">
        <is>
          <t>Ir a Instalaciones Eléctricas →</t>
        </is>
      </c>
    </row>
    <row r="8">
      <c r="A8" s="5" t="n">
        <v>2</v>
      </c>
      <c r="B8" s="6" t="inlineStr">
        <is>
          <t>Agua Potable (Fría y Caliente)</t>
        </is>
      </c>
      <c r="C8" s="7" t="inlineStr">
        <is>
          <t>AZUL (Fría) / ROJA (Caliente - Separadas en Misma Hoja)</t>
        </is>
      </c>
      <c r="D8" s="8">
        <f>'Agua Potable (Fría y Caliente)'!L455</f>
        <v/>
      </c>
      <c r="E8" s="9" t="inlineStr">
        <is>
          <t>Ir a Agua Potable (Fría y Caliente) →</t>
        </is>
      </c>
    </row>
    <row r="9">
      <c r="A9" s="5" t="n">
        <v>3</v>
      </c>
      <c r="B9" s="6" t="inlineStr">
        <is>
          <t>Aguas Grises y Servidas</t>
        </is>
      </c>
      <c r="C9" s="7" t="inlineStr">
        <is>
          <t>GRIS (Lavamanos, Duchas, Fregaderos, Sifones, Trampas Grasa)</t>
        </is>
      </c>
      <c r="D9" s="8">
        <f>'Aguas Grises y Servidas'!L99</f>
        <v/>
      </c>
      <c r="E9" s="9" t="inlineStr">
        <is>
          <t>Ir a Aguas Grises y Servidas →</t>
        </is>
      </c>
    </row>
    <row r="10">
      <c r="A10" s="5" t="n">
        <v>4</v>
      </c>
      <c r="B10" s="6" t="inlineStr">
        <is>
          <t>Red de Gas GLP y Natural</t>
        </is>
      </c>
      <c r="C10" s="7" t="inlineStr">
        <is>
          <t>AMARILLO (Cobre L, PE-AL-PE, Reguladores, Detectores)</t>
        </is>
      </c>
      <c r="D10" s="8">
        <f>'Red de Gas GLP y Natural'!L79</f>
        <v/>
      </c>
      <c r="E10" s="9" t="inlineStr">
        <is>
          <t>Ir a Red de Gas GLP y Natural →</t>
        </is>
      </c>
    </row>
    <row r="11">
      <c r="A11" s="5" t="n">
        <v>5</v>
      </c>
      <c r="B11" s="6" t="inlineStr">
        <is>
          <t>Aguas Lluvias y Pluvial</t>
        </is>
      </c>
      <c r="C11" s="7" t="inlineStr">
        <is>
          <t>VERDE (Canaletas, Bajantes, Canales C250, Drenaje Francés)</t>
        </is>
      </c>
      <c r="D11" s="8">
        <f>'Aguas Lluvias y Pluvial'!L76</f>
        <v/>
      </c>
      <c r="E11" s="9" t="inlineStr">
        <is>
          <t>Ir a Aguas Lluvias y Pluvial →</t>
        </is>
      </c>
    </row>
    <row r="12">
      <c r="A12" s="5" t="n">
        <v>6</v>
      </c>
      <c r="B12" s="6" t="inlineStr">
        <is>
          <t>Aguas Residuales (PTAR)</t>
        </is>
      </c>
      <c r="C12" s="7" t="inlineStr">
        <is>
          <t>CAFÉ CLARO (Colectores 8"-10", Biodigestores, PTAR, Separadores)</t>
        </is>
      </c>
      <c r="D12" s="8">
        <f>'Aguas Residuales (PTAR)'!L61</f>
        <v/>
      </c>
      <c r="E12" s="9" t="inlineStr">
        <is>
          <t>Ir a Aguas Residuales (PTAR) →</t>
        </is>
      </c>
    </row>
    <row r="13">
      <c r="A13" s="5" t="n">
        <v>7</v>
      </c>
      <c r="B13" s="6" t="inlineStr">
        <is>
          <t>Instalaciones de Piscina</t>
        </is>
      </c>
      <c r="C13" s="7" t="inlineStr">
        <is>
          <t>CELESTE / TEAL (Vaso, Bombas, Filtros, Clorador Salino, Climatización)</t>
        </is>
      </c>
      <c r="D13" s="8">
        <f>'Instalaciones de Piscina'!L77</f>
        <v/>
      </c>
      <c r="E13" s="9" t="inlineStr">
        <is>
          <t>Ir a Instalaciones de Piscina →</t>
        </is>
      </c>
    </row>
    <row r="14">
      <c r="A14" s="5" t="n">
        <v>8</v>
      </c>
      <c r="B14" s="6" t="inlineStr">
        <is>
          <t>Estructuras Metálicas</t>
        </is>
      </c>
      <c r="C14" s="7" t="inlineStr">
        <is>
          <t>GRIS METÁLICO (Perfiles IPE/HEA, Tubos, Correas G, Pernos A325, Intumescente)</t>
        </is>
      </c>
      <c r="D14" s="8">
        <f>'Estructuras Metálicas'!L195</f>
        <v/>
      </c>
      <c r="E14" s="9" t="inlineStr">
        <is>
          <t>Ir a Estructuras Metálicas →</t>
        </is>
      </c>
    </row>
    <row r="15">
      <c r="A15" s="5" t="n">
        <v>9</v>
      </c>
      <c r="B15" s="6" t="inlineStr">
        <is>
          <t>Hormigón Armado (H.A.)</t>
        </is>
      </c>
      <c r="C15" s="7" t="inlineStr">
        <is>
          <t>GRIS OSCURO CEMENTO (Columnas, Vigas, Losas, Varillas Grado 60, Estribos)</t>
        </is>
      </c>
      <c r="D15" s="8">
        <f>'Hormigón Armado (H.A.)'!L94</f>
        <v/>
      </c>
      <c r="E15" s="9" t="inlineStr">
        <is>
          <t>Ir a Hormigón Armado (H.A.) →</t>
        </is>
      </c>
    </row>
    <row r="16">
      <c r="A16" s="5" t="n">
        <v>10</v>
      </c>
      <c r="B16" s="6" t="inlineStr">
        <is>
          <t>Concreto en General</t>
        </is>
      </c>
      <c r="C16" s="7" t="inlineStr">
        <is>
          <t>BLANCO / GRIS CLARO (Bloques, Adoquines, Premezclados, Allanadoras)</t>
        </is>
      </c>
      <c r="D16" s="8">
        <f>'Concreto en General'!L67</f>
        <v/>
      </c>
      <c r="E16" s="9" t="inlineStr">
        <is>
          <t>Ir a Concreto en General →</t>
        </is>
      </c>
    </row>
    <row r="17">
      <c r="A17" s="5" t="n">
        <v>11</v>
      </c>
      <c r="B17" s="6" t="inlineStr">
        <is>
          <t>Ebanistería</t>
        </is>
      </c>
      <c r="C17" s="7" t="inlineStr">
        <is>
          <t>MARRÓN MADERA (Melamina, MDF, Triplex RH, Bisagras Cierre Lento, Router CNC)</t>
        </is>
      </c>
      <c r="D17" s="8">
        <f>'Ebanistería'!L105</f>
        <v/>
      </c>
      <c r="E17" s="9" t="inlineStr">
        <is>
          <t>Ir a Ebanistería →</t>
        </is>
      </c>
    </row>
    <row r="18">
      <c r="A18" s="5" t="n">
        <v>12</v>
      </c>
      <c r="B18" s="6" t="inlineStr">
        <is>
          <t>Gypsum</t>
        </is>
      </c>
      <c r="C18" s="7" t="inlineStr">
        <is>
          <t>BLANCO HUESO (Placas ST/RH/RF, Perfilería Omega/Canal, Masillas, Jirafas)</t>
        </is>
      </c>
      <c r="D18" s="8">
        <f>'Gypsum'!L81</f>
        <v/>
      </c>
      <c r="E18" s="9" t="inlineStr">
        <is>
          <t>Ir a Gypsum →</t>
        </is>
      </c>
    </row>
    <row r="19">
      <c r="A19" s="5" t="n">
        <v>13</v>
      </c>
      <c r="B19" s="6" t="inlineStr">
        <is>
          <t>Fibrocemento</t>
        </is>
      </c>
      <c r="C19" s="7" t="inlineStr">
        <is>
          <t>GRIS CEMENTO (Placas Plycem/Superboard 6-20mm, Perfiles Fachada, Cortadoras)</t>
        </is>
      </c>
      <c r="D19" s="8">
        <f>'Fibrocemento'!L58</f>
        <v/>
      </c>
      <c r="E19" s="9" t="inlineStr">
        <is>
          <t>Ir a Fibrocemento →</t>
        </is>
      </c>
    </row>
    <row r="20">
      <c r="A20" s="5" t="n">
        <v>14</v>
      </c>
      <c r="B20" s="6" t="inlineStr">
        <is>
          <t>Mampostería y Enlucidos</t>
        </is>
      </c>
      <c r="C20" s="7" t="inlineStr">
        <is>
          <t>TERRACOTA (Bloques, Ladrillos, Cemento, Arena, Morteros, Enlucidos)</t>
        </is>
      </c>
      <c r="D20" s="8">
        <f>'Mampostería y Enlucidos'!L73</f>
        <v/>
      </c>
      <c r="E20" s="9" t="inlineStr">
        <is>
          <t>Ir a Mampostería y Enlucidos →</t>
        </is>
      </c>
    </row>
    <row r="21">
      <c r="A21" s="5" t="n">
        <v>15</v>
      </c>
      <c r="B21" s="6" t="inlineStr">
        <is>
          <t>Pisos y Revestimientos</t>
        </is>
      </c>
      <c r="C21" s="7" t="inlineStr">
        <is>
          <t>ARENA / BEIGE (Porcelanatos, Cerámicas, Vinílicos, Laminados, Zócalos, Adhesivos)</t>
        </is>
      </c>
      <c r="D21" s="8">
        <f>'Pisos y Revestimientos'!L101</f>
        <v/>
      </c>
      <c r="E21" s="9" t="inlineStr">
        <is>
          <t>Ir a Pisos y Revestimientos →</t>
        </is>
      </c>
    </row>
    <row r="22">
      <c r="A22" s="5" t="n">
        <v>16</v>
      </c>
      <c r="B22" s="6" t="inlineStr">
        <is>
          <t>Cubiertas e Impermeabilización</t>
        </is>
      </c>
      <c r="C22" s="7" t="inlineStr">
        <is>
          <t>AZUL ACERO (Galvalume, Sándwich, Tejas, Policarbonato, Membranas, Canales)</t>
        </is>
      </c>
      <c r="D22" s="8">
        <f>'Cubiertas e Impermeabilización'!L76</f>
        <v/>
      </c>
      <c r="E22" s="9" t="inlineStr">
        <is>
          <t>Ir a Cubiertas e Impermeabilización →</t>
        </is>
      </c>
    </row>
    <row r="23">
      <c r="A23" s="5" t="n">
        <v>17</v>
      </c>
      <c r="B23" s="6" t="inlineStr">
        <is>
          <t>Carpintería Aluminio y Vidrio</t>
        </is>
      </c>
      <c r="C23" s="7" t="inlineStr">
        <is>
          <t>PLATA / CELESTE VIDRIO (Ventanas, Puertas, Fachadas, Vidrios, Mamparas)</t>
        </is>
      </c>
      <c r="D23" s="8">
        <f>'Carpintería Aluminio y Vidrio'!L90</f>
        <v/>
      </c>
      <c r="E23" s="9" t="inlineStr">
        <is>
          <t>Ir a Carpintería Aluminio y Vidrio →</t>
        </is>
      </c>
    </row>
    <row r="24">
      <c r="A24" s="5" t="n">
        <v>18</v>
      </c>
      <c r="B24" s="6" t="inlineStr">
        <is>
          <t>Carpintería Metálica</t>
        </is>
      </c>
      <c r="C24" s="7" t="inlineStr">
        <is>
          <t>NEGRO GRAFITO (Puertas Metálicas, Rejas, Portones, Barandas, Escaleras, Cerrajería)</t>
        </is>
      </c>
      <c r="D24" s="8">
        <f>'Carpintería Metálica'!L79</f>
        <v/>
      </c>
      <c r="E24" s="9" t="inlineStr">
        <is>
          <t>Ir a Carpintería Metálica →</t>
        </is>
      </c>
    </row>
    <row r="25">
      <c r="A25" s="5" t="n">
        <v>19</v>
      </c>
      <c r="B25" s="6" t="inlineStr">
        <is>
          <t>Pintura</t>
        </is>
      </c>
      <c r="C25" s="7" t="inlineStr">
        <is>
          <t>MAGENTA (Látex, Esmaltes, Epóxicos, Impermeabilizantes, Barnices, Selladores)</t>
        </is>
      </c>
      <c r="D25" s="8">
        <f>'Pintura'!L70</f>
        <v/>
      </c>
      <c r="E25" s="9" t="inlineStr">
        <is>
          <t>Ir a Pintura →</t>
        </is>
      </c>
    </row>
    <row r="26">
      <c r="A26" s="5" t="n">
        <v>20</v>
      </c>
      <c r="B26" s="6" t="inlineStr">
        <is>
          <t>Aparatos Sanitarios y Grifería</t>
        </is>
      </c>
      <c r="C26" s="7" t="inlineStr">
        <is>
          <t>TURQUESA (Inodoros, Lavamanos, Urinarios, Duchas, Grifería, Fluxómetros, Accesorios)</t>
        </is>
      </c>
      <c r="D26" s="8">
        <f>'Aparatos Sanitarios y Grifería'!L95</f>
        <v/>
      </c>
      <c r="E26" s="9" t="inlineStr">
        <is>
          <t>Ir a Aparatos Sanitarios y Grifería →</t>
        </is>
      </c>
    </row>
    <row r="27">
      <c r="A27" s="5" t="n">
        <v>21</v>
      </c>
      <c r="B27" s="6" t="inlineStr">
        <is>
          <t>Voz Datos CCTV y Seguridad</t>
        </is>
      </c>
      <c r="C27" s="7" t="inlineStr">
        <is>
          <t>AZUL ÍNDIGO (Cableado Estructurado, Racks, WiFi, CCTV, Accesos, Intrusión, Audio, Llamado)</t>
        </is>
      </c>
      <c r="D27" s="8">
        <f>'Voz Datos CCTV y Seguridad'!L104</f>
        <v/>
      </c>
      <c r="E27" s="9" t="inlineStr">
        <is>
          <t>Ir a Voz Datos CCTV y Seguridad →</t>
        </is>
      </c>
    </row>
    <row r="28">
      <c r="A28" s="5" t="n">
        <v>22</v>
      </c>
      <c r="B28" s="6" t="inlineStr">
        <is>
          <t>Sistema Contra Incendios</t>
        </is>
      </c>
      <c r="C28" s="7" t="inlineStr">
        <is>
          <t>ROJO BOMBERO (Rociadores, Tubería Ranurada, Gabinetes, Bombas, Extintores, Detección y Alarma)</t>
        </is>
      </c>
      <c r="D28" s="8">
        <f>'Sistema Contra Incendios'!L135</f>
        <v/>
      </c>
      <c r="E28" s="9" t="inlineStr">
        <is>
          <t>Ir a Sistema Contra Incendios →</t>
        </is>
      </c>
    </row>
    <row r="29">
      <c r="A29" s="5" t="n">
        <v>23</v>
      </c>
      <c r="B29" s="6" t="inlineStr">
        <is>
          <t>HVAC y Climatización</t>
        </is>
      </c>
      <c r="C29" s="7" t="inlineStr">
        <is>
          <t>CIAN HIELO (Splits, VRF, Chillers, Manejadoras, Ductos, Difusores, Extracción)</t>
        </is>
      </c>
      <c r="D29" s="8">
        <f>'HVAC y Climatización'!L124</f>
        <v/>
      </c>
      <c r="E29" s="9" t="inlineStr">
        <is>
          <t>Ir a HVAC y Climatización →</t>
        </is>
      </c>
    </row>
    <row r="30">
      <c r="A30" s="5" t="n">
        <v>24</v>
      </c>
      <c r="B30" s="6" t="inlineStr">
        <is>
          <t>Mov. Tierras y Preliminares</t>
        </is>
      </c>
      <c r="C30" s="7" t="inlineStr">
        <is>
          <t>OCRE TIERRA (Limpieza, Replanteo, Cerramiento Provisional, Excavación, Rellenos, Desalojo)</t>
        </is>
      </c>
      <c r="D30" s="8">
        <f>'Mov. Tierras y Preliminares'!L69</f>
        <v/>
      </c>
      <c r="E30" s="9" t="inlineStr">
        <is>
          <t>Ir a Mov. Tierras y Preliminares →</t>
        </is>
      </c>
    </row>
    <row r="31">
      <c r="A31" s="5" t="n">
        <v>25</v>
      </c>
      <c r="B31" s="6" t="inlineStr">
        <is>
          <t>Mano de Obra</t>
        </is>
      </c>
      <c r="C31" s="7" t="inlineStr">
        <is>
          <t>VIOLETA (Costo Horario por Categoría · Base SBU 2026 USD 482 · Contraloría)</t>
        </is>
      </c>
      <c r="D31" s="8">
        <f>'Mano de Obra'!L59</f>
        <v/>
      </c>
      <c r="E31" s="9" t="inlineStr">
        <is>
          <t>Ir a Mano de Obra →</t>
        </is>
      </c>
    </row>
    <row r="32">
      <c r="A32" s="5" t="n">
        <v>26</v>
      </c>
      <c r="B32" s="6" t="inlineStr">
        <is>
          <t>Equipos y Herramientas</t>
        </is>
      </c>
      <c r="C32" s="7" t="inlineStr">
        <is>
          <t>NARANJA SEGURIDAD (Alquiler Diario/Mensual de Equipos Livianos, Andamios, Encofrados y EPP)</t>
        </is>
      </c>
      <c r="D32" s="8">
        <f>'Equipos y Herramientas'!L69</f>
        <v/>
      </c>
      <c r="E32" s="9" t="inlineStr">
        <is>
          <t>Ir a Equipos y Herramientas →</t>
        </is>
      </c>
    </row>
    <row r="33">
      <c r="A33" s="5" t="n">
        <v>27</v>
      </c>
      <c r="B33" s="6" t="inlineStr">
        <is>
          <t>Paisajismo</t>
        </is>
      </c>
      <c r="C33" s="7" t="inlineStr">
        <is>
          <t>VERDE BOSQUE (Vegetación Nativa, Césped, Sustratos, Riego, Mobiliario Urbano, Pavimentos Exteriores)</t>
        </is>
      </c>
      <c r="D33" s="8">
        <f>'Paisajismo'!L88</f>
        <v/>
      </c>
      <c r="E33" s="9" t="inlineStr">
        <is>
          <t>Ir a Paisajismo →</t>
        </is>
      </c>
    </row>
    <row r="34">
      <c r="A34" s="5" t="n">
        <v>28</v>
      </c>
      <c r="B34" s="6" t="inlineStr">
        <is>
          <t>Ascensores (Referencial)</t>
        </is>
      </c>
      <c r="C34" s="7" t="inlineStr">
        <is>
          <t>GRIS TITANIO (Ascensores, Montacamillas, Montacargas, Plataformas, Escaleras Mecánicas)</t>
        </is>
      </c>
      <c r="D34" s="8">
        <f>'Ascensores (Referencial)'!L50</f>
        <v/>
      </c>
      <c r="E34" s="9" t="inlineStr">
        <is>
          <t>Ir a Ascensores (Referencial) →</t>
        </is>
      </c>
    </row>
    <row r="35">
      <c r="A35" s="10" t="n"/>
      <c r="B35" s="11" t="inlineStr">
        <is>
          <t>PRESUPUESTO TOTAL CONSOLIDADO</t>
        </is>
      </c>
      <c r="C35" s="11" t="inlineStr">
        <is>
          <t>Suma de todas las especialidades MEP, Estructurales, Acabados, Mano de Obra y Equipos</t>
        </is>
      </c>
      <c r="D35" s="12">
        <f>SUM(D7:D34)</f>
        <v/>
      </c>
      <c r="E35" s="10" t="n"/>
    </row>
    <row r="37">
      <c r="B37" s="141" t="inlineStr">
        <is>
          <t>NOTAS DE LA BASE DE DATOS DION (oct-2026)</t>
        </is>
      </c>
    </row>
    <row r="38">
      <c r="B38" s="142" t="inlineStr">
        <is>
          <t>Columna "Código DION": esquema DISC-SIS-FAM-VAR de data/codigos.json (Revit: Type Mark / DION_Codigo / Keynote). Códigos nuevos marcados origen "excel" en codigos.json.</t>
        </is>
      </c>
    </row>
    <row r="39">
      <c r="B39" s="142" t="inlineStr">
        <is>
          <t>Precios: la mayoría son ESTIMADOS (ver columna "Fuente del precio"); verificar con cotización de Megametales / Kywi / Ferrisariato / Disensa antes de licitar.</t>
        </is>
      </c>
    </row>
    <row r="40">
      <c r="B40" s="142" t="inlineStr">
        <is>
          <t>IVA 15 % no incluido en los precios unitarios (aplicarlo al total del presupuesto).</t>
        </is>
      </c>
    </row>
    <row r="41">
      <c r="B41" s="142" t="inlineStr">
        <is>
          <t>Cant. = cantidad tipo editable; Subtotal = Cant. × P. Ref. Est.</t>
        </is>
      </c>
    </row>
  </sheetData>
  <hyperlinks>
    <hyperlink xmlns:r="http://schemas.openxmlformats.org/officeDocument/2006/relationships" ref="E7" r:id="rId1"/>
    <hyperlink xmlns:r="http://schemas.openxmlformats.org/officeDocument/2006/relationships" ref="E8" r:id="rId2"/>
    <hyperlink xmlns:r="http://schemas.openxmlformats.org/officeDocument/2006/relationships" ref="E9" r:id="rId3"/>
    <hyperlink xmlns:r="http://schemas.openxmlformats.org/officeDocument/2006/relationships" ref="E10" r:id="rId4"/>
    <hyperlink xmlns:r="http://schemas.openxmlformats.org/officeDocument/2006/relationships" ref="E11" r:id="rId5"/>
    <hyperlink xmlns:r="http://schemas.openxmlformats.org/officeDocument/2006/relationships" ref="E12" r:id="rId6"/>
    <hyperlink xmlns:r="http://schemas.openxmlformats.org/officeDocument/2006/relationships" ref="E13" r:id="rId7"/>
    <hyperlink xmlns:r="http://schemas.openxmlformats.org/officeDocument/2006/relationships" ref="E14" r:id="rId8"/>
    <hyperlink xmlns:r="http://schemas.openxmlformats.org/officeDocument/2006/relationships" ref="E15" r:id="rId9"/>
    <hyperlink xmlns:r="http://schemas.openxmlformats.org/officeDocument/2006/relationships" ref="E16" r:id="rId10"/>
    <hyperlink xmlns:r="http://schemas.openxmlformats.org/officeDocument/2006/relationships" ref="E17" r:id="rId11"/>
    <hyperlink xmlns:r="http://schemas.openxmlformats.org/officeDocument/2006/relationships" ref="E18" r:id="rId12"/>
    <hyperlink xmlns:r="http://schemas.openxmlformats.org/officeDocument/2006/relationships" ref="E19" r:id="rId13"/>
    <hyperlink xmlns:r="http://schemas.openxmlformats.org/officeDocument/2006/relationships" ref="E20" r:id="rId14"/>
    <hyperlink xmlns:r="http://schemas.openxmlformats.org/officeDocument/2006/relationships" ref="E21" r:id="rId15"/>
    <hyperlink xmlns:r="http://schemas.openxmlformats.org/officeDocument/2006/relationships" ref="E22" r:id="rId16"/>
    <hyperlink xmlns:r="http://schemas.openxmlformats.org/officeDocument/2006/relationships" ref="E23" r:id="rId17"/>
    <hyperlink xmlns:r="http://schemas.openxmlformats.org/officeDocument/2006/relationships" ref="E24" r:id="rId18"/>
    <hyperlink xmlns:r="http://schemas.openxmlformats.org/officeDocument/2006/relationships" ref="E25" r:id="rId19"/>
    <hyperlink xmlns:r="http://schemas.openxmlformats.org/officeDocument/2006/relationships" ref="E26" r:id="rId20"/>
    <hyperlink xmlns:r="http://schemas.openxmlformats.org/officeDocument/2006/relationships" ref="E27" r:id="rId21"/>
    <hyperlink xmlns:r="http://schemas.openxmlformats.org/officeDocument/2006/relationships" ref="E28" r:id="rId22"/>
    <hyperlink xmlns:r="http://schemas.openxmlformats.org/officeDocument/2006/relationships" ref="E29" r:id="rId23"/>
    <hyperlink xmlns:r="http://schemas.openxmlformats.org/officeDocument/2006/relationships" ref="E30" r:id="rId24"/>
    <hyperlink xmlns:r="http://schemas.openxmlformats.org/officeDocument/2006/relationships" ref="E31" r:id="rId25"/>
    <hyperlink xmlns:r="http://schemas.openxmlformats.org/officeDocument/2006/relationships" ref="E32" r:id="rId26"/>
    <hyperlink xmlns:r="http://schemas.openxmlformats.org/officeDocument/2006/relationships" ref="E33" r:id="rId27"/>
    <hyperlink xmlns:r="http://schemas.openxmlformats.org/officeDocument/2006/relationships" ref="E34" r:id="rId28"/>
  </hyperlinks>
  <pageMargins left="0.75" right="0.75" top="1" bottom="1" header="0.5" footer="0.5"/>
  <drawing xmlns:r="http://schemas.openxmlformats.org/officeDocument/2006/relationships" r:id="rId2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06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8" customWidth="1" min="2" max="2"/>
    <col width="30" customWidth="1" min="3" max="3"/>
    <col width="32" customWidth="1" min="4" max="4"/>
    <col width="8" customWidth="1" min="5" max="5"/>
    <col width="10" customWidth="1" min="6" max="6"/>
    <col width="15" customWidth="1" min="7" max="7"/>
    <col width="16" customWidth="1" min="8" max="8"/>
    <col width="22" customWidth="1" min="9" max="9"/>
    <col width="16" customWidth="1" min="10" max="10"/>
    <col width="20" customWidth="1" min="11" max="11"/>
    <col width="16" customWidth="1" min="12" max="12"/>
    <col width="27" customWidth="1" min="13" max="13"/>
    <col width="30" customWidth="1" min="14" max="14"/>
    <col width="44" customWidth="1" min="15" max="15"/>
    <col width="15" customWidth="1" min="16" max="16"/>
    <col width="14" customWidth="1" min="17" max="17"/>
  </cols>
  <sheetData>
    <row r="1">
      <c r="A1" s="1" t="inlineStr">
        <is>
          <t>BASE DE DATOS COMPLETA DE CATALOGACIÓN: INSTALACIONES ELÉCTRICAS</t>
        </is>
      </c>
    </row>
    <row r="2">
      <c r="A2" s="2" t="inlineStr">
        <is>
          <t>Estructura Jerárquica Homogénea: Accesorios &gt; Tuberías &gt; Equipos &gt; Conexiones &gt; Equipos Especializados | Degradé por Niveles (Ecuador - USD)</t>
        </is>
      </c>
    </row>
    <row r="3">
      <c r="A3" s="13" t="inlineStr">
        <is>
          <t>« Volver al Índice General</t>
        </is>
      </c>
    </row>
    <row r="5" ht="30" customHeight="1">
      <c r="A5" s="4" t="inlineStr">
        <is>
          <t>Item</t>
        </is>
      </c>
      <c r="B5" s="4" t="inlineStr">
        <is>
          <t>Descripción de Accesorio / Ítem Especificado</t>
        </is>
      </c>
      <c r="C5" s="4" t="inlineStr">
        <is>
          <t>Clasificación / Ámbito de Uso
(Residencial/Comercial/Industrial)</t>
        </is>
      </c>
      <c r="D5" s="4" t="inlineStr">
        <is>
          <t>Tipo / Familia</t>
        </is>
      </c>
      <c r="E5" s="4" t="inlineStr">
        <is>
          <t>Unidad</t>
        </is>
      </c>
      <c r="F5" s="4" t="inlineStr">
        <is>
          <t>Cant.</t>
        </is>
      </c>
      <c r="G5" s="4" t="inlineStr">
        <is>
          <t>P. Ref. Est. ($)</t>
        </is>
      </c>
      <c r="H5" s="4" t="inlineStr">
        <is>
          <t>P. Unit. Local A ($)
(Megametales)</t>
        </is>
      </c>
      <c r="I5" s="4" t="inlineStr">
        <is>
          <t>Local A
Especificado</t>
        </is>
      </c>
      <c r="J5" s="4" t="inlineStr">
        <is>
          <t>P. Unit. Local B ($)
(Kywi/Ferrisariato)</t>
        </is>
      </c>
      <c r="K5" s="4" t="inlineStr">
        <is>
          <t>Local B
Especificado</t>
        </is>
      </c>
      <c r="L5" s="4" t="inlineStr">
        <is>
          <t>Subtotal Est. ($)</t>
        </is>
      </c>
      <c r="M5" s="4" t="inlineStr">
        <is>
          <t>Código DION</t>
        </is>
      </c>
      <c r="N5" s="4" t="inlineStr">
        <is>
          <t>Disciplina</t>
        </is>
      </c>
      <c r="O5" s="4" t="inlineStr">
        <is>
          <t>Fuente del precio</t>
        </is>
      </c>
      <c r="P5" s="4" t="inlineStr">
        <is>
          <t>Fecha precio</t>
        </is>
      </c>
      <c r="Q5" s="4" t="inlineStr">
        <is>
          <t>Rendimiento /
desperdicio %</t>
        </is>
      </c>
    </row>
    <row r="6">
      <c r="A6" s="14" t="inlineStr">
        <is>
          <t>ACCESORIOS</t>
        </is>
      </c>
      <c r="B6" s="143" t="n"/>
      <c r="C6" s="143" t="n"/>
      <c r="D6" s="143" t="n"/>
      <c r="E6" s="143" t="n"/>
      <c r="F6" s="143" t="n"/>
      <c r="G6" s="143" t="n"/>
      <c r="H6" s="143" t="n"/>
      <c r="I6" s="143" t="n"/>
      <c r="J6" s="143" t="n"/>
      <c r="K6" s="143" t="n"/>
      <c r="L6" s="143" t="n"/>
      <c r="M6" s="143" t="n"/>
      <c r="N6" s="143" t="n"/>
      <c r="O6" s="143" t="n"/>
      <c r="P6" s="143" t="n"/>
      <c r="Q6" s="144" t="n"/>
    </row>
    <row r="7">
      <c r="A7" s="16" t="inlineStr">
        <is>
          <t xml:space="preserve">  ► CATEGORÍA: CAJAS DE EMPOTRAR</t>
        </is>
      </c>
      <c r="B7" s="143" t="n"/>
      <c r="C7" s="143" t="n"/>
      <c r="D7" s="143" t="n"/>
      <c r="E7" s="143" t="n"/>
      <c r="F7" s="143" t="n"/>
      <c r="G7" s="143" t="n"/>
      <c r="H7" s="143" t="n"/>
      <c r="I7" s="143" t="n"/>
      <c r="J7" s="143" t="n"/>
      <c r="K7" s="143" t="n"/>
      <c r="L7" s="143" t="n"/>
      <c r="M7" s="143" t="n"/>
      <c r="N7" s="143" t="n"/>
      <c r="O7" s="143" t="n"/>
      <c r="P7" s="143" t="n"/>
      <c r="Q7" s="144" t="n"/>
    </row>
    <row r="8">
      <c r="A8" s="17" t="inlineStr">
        <is>
          <t xml:space="preserve">      • Subcategoría Especificada: Rectangulares 4x2", Octogonales, Cuadradas, IP65 y NEMA</t>
        </is>
      </c>
      <c r="B8" s="143" t="n"/>
      <c r="C8" s="143" t="n"/>
      <c r="D8" s="143" t="n"/>
      <c r="E8" s="143" t="n"/>
      <c r="F8" s="143" t="n"/>
      <c r="G8" s="143" t="n"/>
      <c r="H8" s="143" t="n"/>
      <c r="I8" s="143" t="n"/>
      <c r="J8" s="143" t="n"/>
      <c r="K8" s="143" t="n"/>
      <c r="L8" s="143" t="n"/>
      <c r="M8" s="143" t="n"/>
      <c r="N8" s="143" t="n"/>
      <c r="O8" s="143" t="n"/>
      <c r="P8" s="143" t="n"/>
      <c r="Q8" s="144" t="n"/>
    </row>
    <row r="9">
      <c r="A9" s="18" t="n">
        <v>1</v>
      </c>
      <c r="B9" s="19" t="inlineStr">
        <is>
          <t xml:space="preserve">        Caja Rectangular PVC Heavy Duty 4x2"</t>
        </is>
      </c>
      <c r="C9" s="20" t="inlineStr">
        <is>
          <t>Residencial</t>
        </is>
      </c>
      <c r="D9" s="18" t="inlineStr">
        <is>
          <t>Cajas Rectangulares</t>
        </is>
      </c>
      <c r="E9" s="18" t="inlineStr">
        <is>
          <t>U</t>
        </is>
      </c>
      <c r="F9" s="21" t="n">
        <v>65</v>
      </c>
      <c r="G9" s="22" t="n">
        <v>0.85</v>
      </c>
      <c r="H9" s="22" t="n">
        <v>0.88</v>
      </c>
      <c r="I9" s="18" t="inlineStr">
        <is>
          <t>Megametales</t>
        </is>
      </c>
      <c r="J9" s="22" t="n">
        <v>0.95</v>
      </c>
      <c r="K9" s="18" t="inlineStr">
        <is>
          <t>Ferrisariato</t>
        </is>
      </c>
      <c r="L9" s="8">
        <f>F9*G9</f>
        <v/>
      </c>
      <c r="M9" s="145" t="inlineStr">
        <is>
          <t>IE-D50-CAJ-REC</t>
        </is>
      </c>
      <c r="N9" s="18" t="inlineStr">
        <is>
          <t>Instalaciones eléctricas</t>
        </is>
      </c>
      <c r="O9" s="18" t="inlineStr">
        <is>
          <t>Estimado · base original del usuario (sin cotización verificada)</t>
        </is>
      </c>
      <c r="P9" s="18" t="inlineStr">
        <is>
          <t>oct-2026 (est.)</t>
        </is>
      </c>
      <c r="Q9" s="18" t="n"/>
    </row>
    <row r="10">
      <c r="A10" s="23" t="n">
        <v>2</v>
      </c>
      <c r="B10" s="24" t="inlineStr">
        <is>
          <t xml:space="preserve">        Caja Rectangular Metálica Galvanizada 4x2"</t>
        </is>
      </c>
      <c r="C10" s="25" t="inlineStr">
        <is>
          <t>Comercial / Industrial</t>
        </is>
      </c>
      <c r="D10" s="23" t="inlineStr">
        <is>
          <t>Cajas Rectangulares</t>
        </is>
      </c>
      <c r="E10" s="23" t="inlineStr">
        <is>
          <t>U</t>
        </is>
      </c>
      <c r="F10" s="26" t="n">
        <v>20</v>
      </c>
      <c r="G10" s="27" t="n">
        <v>0.95</v>
      </c>
      <c r="H10" s="27" t="n">
        <v>0.98</v>
      </c>
      <c r="I10" s="23" t="inlineStr">
        <is>
          <t>Megametales</t>
        </is>
      </c>
      <c r="J10" s="27" t="n">
        <v>1.08</v>
      </c>
      <c r="K10" s="23" t="inlineStr">
        <is>
          <t>Ferrisariato</t>
        </is>
      </c>
      <c r="L10" s="28">
        <f>F10*G10</f>
        <v/>
      </c>
      <c r="M10" s="146" t="inlineStr">
        <is>
          <t>IE-D50-CAJ-REC-GAL</t>
        </is>
      </c>
      <c r="N10" s="23" t="inlineStr">
        <is>
          <t>Instalaciones eléctricas</t>
        </is>
      </c>
      <c r="O10" s="23" t="inlineStr">
        <is>
          <t>Estimado · base original del usuario (sin cotización verificada)</t>
        </is>
      </c>
      <c r="P10" s="23" t="inlineStr">
        <is>
          <t>oct-2026 (est.)</t>
        </is>
      </c>
      <c r="Q10" s="23" t="n"/>
    </row>
    <row r="11">
      <c r="A11" s="18" t="n">
        <v>3</v>
      </c>
      <c r="B11" s="19" t="inlineStr">
        <is>
          <t xml:space="preserve">        Caja Octogonal PVC Heavy Duty 4x4"</t>
        </is>
      </c>
      <c r="C11" s="20" t="inlineStr">
        <is>
          <t>Residencial / Comercial</t>
        </is>
      </c>
      <c r="D11" s="18" t="inlineStr">
        <is>
          <t>Cajas Octogonales</t>
        </is>
      </c>
      <c r="E11" s="18" t="inlineStr">
        <is>
          <t>U</t>
        </is>
      </c>
      <c r="F11" s="21" t="n">
        <v>35</v>
      </c>
      <c r="G11" s="22" t="n">
        <v>1.1</v>
      </c>
      <c r="H11" s="22" t="n">
        <v>1.15</v>
      </c>
      <c r="I11" s="18" t="inlineStr">
        <is>
          <t>Megametales</t>
        </is>
      </c>
      <c r="J11" s="22" t="n">
        <v>1.25</v>
      </c>
      <c r="K11" s="18" t="inlineStr">
        <is>
          <t>Kywi / Megakywi</t>
        </is>
      </c>
      <c r="L11" s="8">
        <f>F11*G11</f>
        <v/>
      </c>
      <c r="M11" s="145" t="inlineStr">
        <is>
          <t>IE-D50-CAJ-OCT</t>
        </is>
      </c>
      <c r="N11" s="18" t="inlineStr">
        <is>
          <t>Instalaciones eléctricas</t>
        </is>
      </c>
      <c r="O11" s="18" t="inlineStr">
        <is>
          <t>Estimado · base original del usuario (sin cotización verificada)</t>
        </is>
      </c>
      <c r="P11" s="18" t="inlineStr">
        <is>
          <t>oct-2026 (est.)</t>
        </is>
      </c>
      <c r="Q11" s="18" t="n"/>
    </row>
    <row r="12">
      <c r="A12" s="23" t="n">
        <v>4</v>
      </c>
      <c r="B12" s="24" t="inlineStr">
        <is>
          <t xml:space="preserve">        Caja Cuadrada PVC Heavy Duty 4x4"</t>
        </is>
      </c>
      <c r="C12" s="25" t="inlineStr">
        <is>
          <t>Residencial / Comercial</t>
        </is>
      </c>
      <c r="D12" s="23" t="inlineStr">
        <is>
          <t>Cajas Cuadradas</t>
        </is>
      </c>
      <c r="E12" s="23" t="inlineStr">
        <is>
          <t>U</t>
        </is>
      </c>
      <c r="F12" s="26" t="n">
        <v>20</v>
      </c>
      <c r="G12" s="27" t="n">
        <v>1.35</v>
      </c>
      <c r="H12" s="27" t="n">
        <v>1.4</v>
      </c>
      <c r="I12" s="23" t="inlineStr">
        <is>
          <t>Megametales</t>
        </is>
      </c>
      <c r="J12" s="27" t="n">
        <v>1.5</v>
      </c>
      <c r="K12" s="23" t="inlineStr">
        <is>
          <t>Ferrisariato</t>
        </is>
      </c>
      <c r="L12" s="28">
        <f>F12*G12</f>
        <v/>
      </c>
      <c r="M12" s="146" t="inlineStr">
        <is>
          <t>IE-D50-CAJ-CUA-4X4</t>
        </is>
      </c>
      <c r="N12" s="23" t="inlineStr">
        <is>
          <t>Instalaciones eléctricas</t>
        </is>
      </c>
      <c r="O12" s="23" t="inlineStr">
        <is>
          <t>Estimado · base original del usuario (sin cotización verificada)</t>
        </is>
      </c>
      <c r="P12" s="23" t="inlineStr">
        <is>
          <t>oct-2026 (est.)</t>
        </is>
      </c>
      <c r="Q12" s="23" t="n"/>
    </row>
    <row r="13">
      <c r="A13" s="18" t="n">
        <v>5</v>
      </c>
      <c r="B13" s="19" t="inlineStr">
        <is>
          <t xml:space="preserve">        Caja Plástica Estanca IP65 con Conos para Exterior</t>
        </is>
      </c>
      <c r="C13" s="20" t="inlineStr">
        <is>
          <t>Residencial Exterior / Comercial</t>
        </is>
      </c>
      <c r="D13" s="18" t="inlineStr">
        <is>
          <t>Cajas IP65</t>
        </is>
      </c>
      <c r="E13" s="18" t="inlineStr">
        <is>
          <t>U</t>
        </is>
      </c>
      <c r="F13" s="21" t="n">
        <v>6</v>
      </c>
      <c r="G13" s="22" t="n">
        <v>6.5</v>
      </c>
      <c r="H13" s="22" t="n">
        <v>6.8</v>
      </c>
      <c r="I13" s="18" t="inlineStr">
        <is>
          <t>Megametales</t>
        </is>
      </c>
      <c r="J13" s="22" t="n">
        <v>7.2</v>
      </c>
      <c r="K13" s="18" t="inlineStr">
        <is>
          <t>Kywi / Megakywi</t>
        </is>
      </c>
      <c r="L13" s="8">
        <f>F13*G13</f>
        <v/>
      </c>
      <c r="M13" s="145" t="inlineStr">
        <is>
          <t>IE-D50-CAJ-EXT-IP65</t>
        </is>
      </c>
      <c r="N13" s="18" t="inlineStr">
        <is>
          <t>Instalaciones eléctricas</t>
        </is>
      </c>
      <c r="O13" s="18" t="inlineStr">
        <is>
          <t>Estimado · base original del usuario (sin cotización verificada)</t>
        </is>
      </c>
      <c r="P13" s="18" t="inlineStr">
        <is>
          <t>oct-2026 (est.)</t>
        </is>
      </c>
      <c r="Q13" s="18" t="n"/>
    </row>
    <row r="14">
      <c r="A14" s="23" t="n">
        <v>6</v>
      </c>
      <c r="B14" s="24" t="inlineStr">
        <is>
          <t xml:space="preserve">        Caja Metálica NEMA 4X Inox para Tablero de Control</t>
        </is>
      </c>
      <c r="C14" s="25" t="inlineStr">
        <is>
          <t>Industrial / Intemperie</t>
        </is>
      </c>
      <c r="D14" s="23" t="inlineStr">
        <is>
          <t>Cajas NEMA</t>
        </is>
      </c>
      <c r="E14" s="23" t="inlineStr">
        <is>
          <t>U</t>
        </is>
      </c>
      <c r="F14" s="26" t="n">
        <v>2</v>
      </c>
      <c r="G14" s="27" t="n">
        <v>45</v>
      </c>
      <c r="H14" s="27" t="n">
        <v>46.8</v>
      </c>
      <c r="I14" s="23" t="inlineStr">
        <is>
          <t>Megametales</t>
        </is>
      </c>
      <c r="J14" s="27" t="n">
        <v>49.5</v>
      </c>
      <c r="K14" s="23" t="inlineStr">
        <is>
          <t>Ferrisariato</t>
        </is>
      </c>
      <c r="L14" s="28">
        <f>F14*G14</f>
        <v/>
      </c>
      <c r="M14" s="146" t="inlineStr">
        <is>
          <t>IE-D50-CAJ-NEMA4X</t>
        </is>
      </c>
      <c r="N14" s="23" t="inlineStr">
        <is>
          <t>Instalaciones eléctricas</t>
        </is>
      </c>
      <c r="O14" s="23" t="inlineStr">
        <is>
          <t>Estimado · base original del usuario (sin cotización verificada)</t>
        </is>
      </c>
      <c r="P14" s="23" t="inlineStr">
        <is>
          <t>oct-2026 (est.)</t>
        </is>
      </c>
      <c r="Q14" s="23" t="n"/>
    </row>
    <row r="15">
      <c r="A15" s="17" t="inlineStr">
        <is>
          <t xml:space="preserve">      • Subcategoría Especificada: Cajas Metálicas Galvanizadas, de Paso y de Piso</t>
        </is>
      </c>
      <c r="B15" s="143" t="n"/>
      <c r="C15" s="143" t="n"/>
      <c r="D15" s="143" t="n"/>
      <c r="E15" s="143" t="n"/>
      <c r="F15" s="143" t="n"/>
      <c r="G15" s="143" t="n"/>
      <c r="H15" s="143" t="n"/>
      <c r="I15" s="143" t="n"/>
      <c r="J15" s="143" t="n"/>
      <c r="K15" s="143" t="n"/>
      <c r="L15" s="143" t="n"/>
      <c r="M15" s="143" t="n"/>
      <c r="N15" s="143" t="n"/>
      <c r="O15" s="143" t="n"/>
      <c r="P15" s="143" t="n"/>
      <c r="Q15" s="144" t="n"/>
    </row>
    <row r="16">
      <c r="A16" s="18" t="n">
        <v>7</v>
      </c>
      <c r="B16" s="19" t="inlineStr">
        <is>
          <t xml:space="preserve">        Caja Octogonal Metálica Galvanizada 4" Pesada</t>
        </is>
      </c>
      <c r="C16" s="20" t="inlineStr">
        <is>
          <t>Comercial / Industrial</t>
        </is>
      </c>
      <c r="D16" s="18" t="inlineStr">
        <is>
          <t>Cajas Octogonales</t>
        </is>
      </c>
      <c r="E16" s="18" t="inlineStr">
        <is>
          <t>U</t>
        </is>
      </c>
      <c r="F16" s="21" t="n">
        <v>30</v>
      </c>
      <c r="G16" s="22" t="n">
        <v>0.95</v>
      </c>
      <c r="H16" s="22" t="n">
        <v>0.98</v>
      </c>
      <c r="I16" s="18" t="inlineStr">
        <is>
          <t>Megametales</t>
        </is>
      </c>
      <c r="J16" s="22" t="n">
        <v>1.04</v>
      </c>
      <c r="K16" s="18" t="inlineStr">
        <is>
          <t>Ferrisariato</t>
        </is>
      </c>
      <c r="L16" s="8">
        <f>F16*G16</f>
        <v/>
      </c>
      <c r="M16" s="145" t="inlineStr">
        <is>
          <t>IE-D50-CAJ-OCT-GAL</t>
        </is>
      </c>
      <c r="N16" s="18" t="inlineStr">
        <is>
          <t>Instalaciones eléctricas</t>
        </is>
      </c>
      <c r="O16" s="18" t="inlineStr">
        <is>
          <t>Estimado DION · criterio de mercado Guayaquil 2026 (no verificado en tienda)</t>
        </is>
      </c>
      <c r="P16" s="18" t="inlineStr">
        <is>
          <t>oct-2026 (est.)</t>
        </is>
      </c>
      <c r="Q16" s="18" t="n"/>
    </row>
    <row r="17">
      <c r="A17" s="23" t="n">
        <v>8</v>
      </c>
      <c r="B17" s="24" t="inlineStr">
        <is>
          <t xml:space="preserve">        Caja Cuadrada Metálica Galvanizada 4x4" con Tapa Reductora</t>
        </is>
      </c>
      <c r="C17" s="25" t="inlineStr">
        <is>
          <t>Comercial / Industrial</t>
        </is>
      </c>
      <c r="D17" s="23" t="inlineStr">
        <is>
          <t>Cajas Cuadradas</t>
        </is>
      </c>
      <c r="E17" s="23" t="inlineStr">
        <is>
          <t>U</t>
        </is>
      </c>
      <c r="F17" s="26" t="n">
        <v>20</v>
      </c>
      <c r="G17" s="27" t="n">
        <v>1.25</v>
      </c>
      <c r="H17" s="27" t="n">
        <v>1.29</v>
      </c>
      <c r="I17" s="23" t="inlineStr">
        <is>
          <t>Megametales</t>
        </is>
      </c>
      <c r="J17" s="27" t="n">
        <v>1.39</v>
      </c>
      <c r="K17" s="23" t="inlineStr">
        <is>
          <t>Kywi / Megakywi</t>
        </is>
      </c>
      <c r="L17" s="28">
        <f>F17*G17</f>
        <v/>
      </c>
      <c r="M17" s="146" t="inlineStr">
        <is>
          <t>IE-D50-CAJ-CUA-4X4-GAL</t>
        </is>
      </c>
      <c r="N17" s="23" t="inlineStr">
        <is>
          <t>Instalaciones eléctricas</t>
        </is>
      </c>
      <c r="O17" s="23" t="inlineStr">
        <is>
          <t>Estimado DION · criterio de mercado Guayaquil 2026 (no verificado en tienda)</t>
        </is>
      </c>
      <c r="P17" s="23" t="inlineStr">
        <is>
          <t>oct-2026 (est.)</t>
        </is>
      </c>
      <c r="Q17" s="23" t="n"/>
    </row>
    <row r="18">
      <c r="A18" s="18" t="n">
        <v>9</v>
      </c>
      <c r="B18" s="19" t="inlineStr">
        <is>
          <t xml:space="preserve">        Caja Cuadrada Metálica Galvanizada 5x5" (Ductos 1"-1¼")</t>
        </is>
      </c>
      <c r="C18" s="20" t="inlineStr">
        <is>
          <t>Comercial / Industrial</t>
        </is>
      </c>
      <c r="D18" s="18" t="inlineStr">
        <is>
          <t>Cajas Cuadradas</t>
        </is>
      </c>
      <c r="E18" s="18" t="inlineStr">
        <is>
          <t>U</t>
        </is>
      </c>
      <c r="F18" s="21" t="n">
        <v>6</v>
      </c>
      <c r="G18" s="22" t="n">
        <v>2.85</v>
      </c>
      <c r="H18" s="22" t="n">
        <v>2.94</v>
      </c>
      <c r="I18" s="18" t="inlineStr">
        <is>
          <t>Megametales</t>
        </is>
      </c>
      <c r="J18" s="22" t="n">
        <v>3.08</v>
      </c>
      <c r="K18" s="18" t="inlineStr">
        <is>
          <t>Ferrisariato</t>
        </is>
      </c>
      <c r="L18" s="8">
        <f>F18*G18</f>
        <v/>
      </c>
      <c r="M18" s="145" t="inlineStr">
        <is>
          <t>IE-D50-CAJ-CUA-5X5</t>
        </is>
      </c>
      <c r="N18" s="18" t="inlineStr">
        <is>
          <t>Instalaciones eléctricas</t>
        </is>
      </c>
      <c r="O18" s="18" t="inlineStr">
        <is>
          <t>Estimado DION · criterio de mercado Guayaquil 2026 (no verificado en tienda)</t>
        </is>
      </c>
      <c r="P18" s="18" t="inlineStr">
        <is>
          <t>oct-2026 (est.)</t>
        </is>
      </c>
      <c r="Q18" s="18" t="n"/>
    </row>
    <row r="19">
      <c r="A19" s="23" t="n">
        <v>10</v>
      </c>
      <c r="B19" s="24" t="inlineStr">
        <is>
          <t xml:space="preserve">        Caja de Paso Metálica con Tapa 10x10x5 cm</t>
        </is>
      </c>
      <c r="C19" s="25" t="inlineStr">
        <is>
          <t>Comercial / Industrial</t>
        </is>
      </c>
      <c r="D19" s="23" t="inlineStr">
        <is>
          <t>Cajas de Paso</t>
        </is>
      </c>
      <c r="E19" s="23" t="inlineStr">
        <is>
          <t>U</t>
        </is>
      </c>
      <c r="F19" s="26" t="n">
        <v>6</v>
      </c>
      <c r="G19" s="27" t="n">
        <v>3.9</v>
      </c>
      <c r="H19" s="27" t="n">
        <v>4.06</v>
      </c>
      <c r="I19" s="23" t="inlineStr">
        <is>
          <t>Megametales</t>
        </is>
      </c>
      <c r="J19" s="27" t="n">
        <v>4.33</v>
      </c>
      <c r="K19" s="23" t="inlineStr">
        <is>
          <t>Kywi / Megakywi</t>
        </is>
      </c>
      <c r="L19" s="28">
        <f>F19*G19</f>
        <v/>
      </c>
      <c r="M19" s="146" t="inlineStr">
        <is>
          <t>IE-D50-CAJ-PAS-10X10</t>
        </is>
      </c>
      <c r="N19" s="23" t="inlineStr">
        <is>
          <t>Instalaciones eléctricas</t>
        </is>
      </c>
      <c r="O19" s="23" t="inlineStr">
        <is>
          <t>Estimado DION · criterio de mercado Guayaquil 2026 (no verificado en tienda)</t>
        </is>
      </c>
      <c r="P19" s="23" t="inlineStr">
        <is>
          <t>oct-2026 (est.)</t>
        </is>
      </c>
      <c r="Q19" s="23" t="n"/>
    </row>
    <row r="20">
      <c r="A20" s="18" t="n">
        <v>11</v>
      </c>
      <c r="B20" s="19" t="inlineStr">
        <is>
          <t xml:space="preserve">        Caja de Paso Metálica con Tapa 20x20x10 cm</t>
        </is>
      </c>
      <c r="C20" s="20" t="inlineStr">
        <is>
          <t>Comercial / Industrial</t>
        </is>
      </c>
      <c r="D20" s="18" t="inlineStr">
        <is>
          <t>Cajas de Paso</t>
        </is>
      </c>
      <c r="E20" s="18" t="inlineStr">
        <is>
          <t>U</t>
        </is>
      </c>
      <c r="F20" s="21" t="n">
        <v>4</v>
      </c>
      <c r="G20" s="22" t="n">
        <v>9.5</v>
      </c>
      <c r="H20" s="22" t="n">
        <v>9.970000000000001</v>
      </c>
      <c r="I20" s="18" t="inlineStr">
        <is>
          <t>Megametales</t>
        </is>
      </c>
      <c r="J20" s="22" t="n">
        <v>10.17</v>
      </c>
      <c r="K20" s="18" t="inlineStr">
        <is>
          <t>Ferrisariato</t>
        </is>
      </c>
      <c r="L20" s="8">
        <f>F20*G20</f>
        <v/>
      </c>
      <c r="M20" s="145" t="inlineStr">
        <is>
          <t>IE-D50-CAJ-PAS-20X20</t>
        </is>
      </c>
      <c r="N20" s="18" t="inlineStr">
        <is>
          <t>Instalaciones eléctricas</t>
        </is>
      </c>
      <c r="O20" s="18" t="inlineStr">
        <is>
          <t>Estimado DION · criterio de mercado Guayaquil 2026 (no verificado en tienda)</t>
        </is>
      </c>
      <c r="P20" s="18" t="inlineStr">
        <is>
          <t>oct-2026 (est.)</t>
        </is>
      </c>
      <c r="Q20" s="18" t="n"/>
    </row>
    <row r="21">
      <c r="A21" s="23" t="n">
        <v>12</v>
      </c>
      <c r="B21" s="24" t="inlineStr">
        <is>
          <t xml:space="preserve">        Caja de Paso Metálica con Tapa 30x30x15 cm</t>
        </is>
      </c>
      <c r="C21" s="25" t="inlineStr">
        <is>
          <t>Comercial / Industrial</t>
        </is>
      </c>
      <c r="D21" s="23" t="inlineStr">
        <is>
          <t>Cajas de Paso</t>
        </is>
      </c>
      <c r="E21" s="23" t="inlineStr">
        <is>
          <t>U</t>
        </is>
      </c>
      <c r="F21" s="26" t="n">
        <v>2</v>
      </c>
      <c r="G21" s="27" t="n">
        <v>18.5</v>
      </c>
      <c r="H21" s="27" t="n">
        <v>19.43</v>
      </c>
      <c r="I21" s="23" t="inlineStr">
        <is>
          <t>Megametales</t>
        </is>
      </c>
      <c r="J21" s="27" t="n">
        <v>19.98</v>
      </c>
      <c r="K21" s="23" t="inlineStr">
        <is>
          <t>Kywi / Megakywi</t>
        </is>
      </c>
      <c r="L21" s="28">
        <f>F21*G21</f>
        <v/>
      </c>
      <c r="M21" s="146" t="inlineStr">
        <is>
          <t>IE-D50-CAJ-PAS-30X30</t>
        </is>
      </c>
      <c r="N21" s="23" t="inlineStr">
        <is>
          <t>Instalaciones eléctricas</t>
        </is>
      </c>
      <c r="O21" s="23" t="inlineStr">
        <is>
          <t>Estimado DION · criterio de mercado Guayaquil 2026 (no verificado en tienda)</t>
        </is>
      </c>
      <c r="P21" s="23" t="inlineStr">
        <is>
          <t>oct-2026 (est.)</t>
        </is>
      </c>
      <c r="Q21" s="23" t="n"/>
    </row>
    <row r="22">
      <c r="A22" s="18" t="n">
        <v>13</v>
      </c>
      <c r="B22" s="19" t="inlineStr">
        <is>
          <t xml:space="preserve">        Caja de Paso Metálica con Tapa 40x40x20 cm</t>
        </is>
      </c>
      <c r="C22" s="20" t="inlineStr">
        <is>
          <t>Industrial</t>
        </is>
      </c>
      <c r="D22" s="18" t="inlineStr">
        <is>
          <t>Cajas de Paso</t>
        </is>
      </c>
      <c r="E22" s="18" t="inlineStr">
        <is>
          <t>U</t>
        </is>
      </c>
      <c r="F22" s="21" t="n">
        <v>1</v>
      </c>
      <c r="G22" s="22" t="n">
        <v>32</v>
      </c>
      <c r="H22" s="22" t="n">
        <v>32.96</v>
      </c>
      <c r="I22" s="18" t="inlineStr">
        <is>
          <t>Megametales</t>
        </is>
      </c>
      <c r="J22" s="22" t="n">
        <v>35.2</v>
      </c>
      <c r="K22" s="18" t="inlineStr">
        <is>
          <t>Ferrisariato</t>
        </is>
      </c>
      <c r="L22" s="8">
        <f>F22*G22</f>
        <v/>
      </c>
      <c r="M22" s="145" t="inlineStr">
        <is>
          <t>IE-D50-CAJ-PAS-40X40</t>
        </is>
      </c>
      <c r="N22" s="18" t="inlineStr">
        <is>
          <t>Instalaciones eléctricas</t>
        </is>
      </c>
      <c r="O22" s="18" t="inlineStr">
        <is>
          <t>Estimado DION · criterio de mercado Guayaquil 2026 (no verificado en tienda)</t>
        </is>
      </c>
      <c r="P22" s="18" t="inlineStr">
        <is>
          <t>oct-2026 (est.)</t>
        </is>
      </c>
      <c r="Q22" s="18" t="n"/>
    </row>
    <row r="23">
      <c r="A23" s="23" t="n">
        <v>14</v>
      </c>
      <c r="B23" s="24" t="inlineStr">
        <is>
          <t xml:space="preserve">        Caja de Piso Metálica con Tapa Abatible (Fuerza + Datos)</t>
        </is>
      </c>
      <c r="C23" s="25" t="inlineStr">
        <is>
          <t>Comercial / Oficinas</t>
        </is>
      </c>
      <c r="D23" s="23" t="inlineStr">
        <is>
          <t>Cajas de Piso</t>
        </is>
      </c>
      <c r="E23" s="23" t="inlineStr">
        <is>
          <t>U</t>
        </is>
      </c>
      <c r="F23" s="26" t="n">
        <v>2</v>
      </c>
      <c r="G23" s="27" t="n">
        <v>38</v>
      </c>
      <c r="H23" s="27" t="n">
        <v>38.76</v>
      </c>
      <c r="I23" s="23" t="inlineStr">
        <is>
          <t>Megametales</t>
        </is>
      </c>
      <c r="J23" s="27" t="n">
        <v>41.8</v>
      </c>
      <c r="K23" s="23" t="inlineStr">
        <is>
          <t>Kywi / Megakywi</t>
        </is>
      </c>
      <c r="L23" s="28">
        <f>F23*G23</f>
        <v/>
      </c>
      <c r="M23" s="146" t="inlineStr">
        <is>
          <t>IE-D50-CAJ-PIS</t>
        </is>
      </c>
      <c r="N23" s="23" t="inlineStr">
        <is>
          <t>Instalaciones eléctricas</t>
        </is>
      </c>
      <c r="O23" s="23" t="inlineStr">
        <is>
          <t>Estimado DION · criterio de mercado Guayaquil 2026 (no verificado en tienda)</t>
        </is>
      </c>
      <c r="P23" s="23" t="inlineStr">
        <is>
          <t>oct-2026 (est.)</t>
        </is>
      </c>
      <c r="Q23" s="23" t="n"/>
    </row>
    <row r="24">
      <c r="A24" s="18" t="n">
        <v>15</v>
      </c>
      <c r="B24" s="19" t="inlineStr">
        <is>
          <t xml:space="preserve">        Pozo de Revisión Eléctrico H.A. 60x60 cm con Tapa</t>
        </is>
      </c>
      <c r="C24" s="20" t="inlineStr">
        <is>
          <t>Comercial / Urbanización</t>
        </is>
      </c>
      <c r="D24" s="18" t="inlineStr">
        <is>
          <t>Pozos Eléctricos</t>
        </is>
      </c>
      <c r="E24" s="18" t="inlineStr">
        <is>
          <t>U</t>
        </is>
      </c>
      <c r="F24" s="21" t="n">
        <v>2</v>
      </c>
      <c r="G24" s="22" t="n">
        <v>125</v>
      </c>
      <c r="H24" s="22" t="n">
        <v>131.25</v>
      </c>
      <c r="I24" s="18" t="inlineStr">
        <is>
          <t>Megametales</t>
        </is>
      </c>
      <c r="J24" s="22" t="n">
        <v>137.5</v>
      </c>
      <c r="K24" s="18" t="inlineStr">
        <is>
          <t>Ferrisariato</t>
        </is>
      </c>
      <c r="L24" s="8">
        <f>F24*G24</f>
        <v/>
      </c>
      <c r="M24" s="145" t="inlineStr">
        <is>
          <t>IE-D50-CAJ-POZ-60X60</t>
        </is>
      </c>
      <c r="N24" s="18" t="inlineStr">
        <is>
          <t>Instalaciones eléctricas</t>
        </is>
      </c>
      <c r="O24" s="18" t="inlineStr">
        <is>
          <t>Estimado DION · criterio de mercado Guayaquil 2026 (no verificado en tienda)</t>
        </is>
      </c>
      <c r="P24" s="18" t="inlineStr">
        <is>
          <t>oct-2026 (est.)</t>
        </is>
      </c>
      <c r="Q24" s="18" t="n"/>
    </row>
    <row r="25">
      <c r="A25" s="23" t="n">
        <v>16</v>
      </c>
      <c r="B25" s="24" t="inlineStr">
        <is>
          <t xml:space="preserve">        Pozo de Revisión Eléctrico H.A. 80x80 cm con Tapa</t>
        </is>
      </c>
      <c r="C25" s="25" t="inlineStr">
        <is>
          <t>Comercial / Urbanización</t>
        </is>
      </c>
      <c r="D25" s="23" t="inlineStr">
        <is>
          <t>Pozos Eléctricos</t>
        </is>
      </c>
      <c r="E25" s="23" t="inlineStr">
        <is>
          <t>U</t>
        </is>
      </c>
      <c r="F25" s="26" t="n">
        <v>1</v>
      </c>
      <c r="G25" s="27" t="n">
        <v>185</v>
      </c>
      <c r="H25" s="27" t="n">
        <v>192.4</v>
      </c>
      <c r="I25" s="23" t="inlineStr">
        <is>
          <t>Megametales</t>
        </is>
      </c>
      <c r="J25" s="27" t="n">
        <v>197.95</v>
      </c>
      <c r="K25" s="23" t="inlineStr">
        <is>
          <t>Kywi / Megakywi</t>
        </is>
      </c>
      <c r="L25" s="28">
        <f>F25*G25</f>
        <v/>
      </c>
      <c r="M25" s="146" t="inlineStr">
        <is>
          <t>IE-D50-CAJ-POZ-80X80</t>
        </is>
      </c>
      <c r="N25" s="23" t="inlineStr">
        <is>
          <t>Instalaciones eléctricas</t>
        </is>
      </c>
      <c r="O25" s="23" t="inlineStr">
        <is>
          <t>Estimado DION · criterio de mercado Guayaquil 2026 (no verificado en tienda)</t>
        </is>
      </c>
      <c r="P25" s="23" t="inlineStr">
        <is>
          <t>oct-2026 (est.)</t>
        </is>
      </c>
      <c r="Q25" s="23" t="n"/>
    </row>
    <row r="26">
      <c r="A26" s="18" t="n">
        <v>17</v>
      </c>
      <c r="B26" s="19" t="inlineStr">
        <is>
          <t xml:space="preserve">        Pozo de Revisión Eléctrico H.A. 120x120 cm (Media Tensión)</t>
        </is>
      </c>
      <c r="C26" s="20" t="inlineStr">
        <is>
          <t>Industrial / Urbanización</t>
        </is>
      </c>
      <c r="D26" s="18" t="inlineStr">
        <is>
          <t>Pozos Eléctricos</t>
        </is>
      </c>
      <c r="E26" s="18" t="inlineStr">
        <is>
          <t>U</t>
        </is>
      </c>
      <c r="F26" s="21" t="n">
        <v>1</v>
      </c>
      <c r="G26" s="22" t="n">
        <v>390</v>
      </c>
      <c r="H26" s="22" t="n">
        <v>401.7</v>
      </c>
      <c r="I26" s="18" t="inlineStr">
        <is>
          <t>Megametales</t>
        </is>
      </c>
      <c r="J26" s="22" t="n">
        <v>432.9</v>
      </c>
      <c r="K26" s="18" t="inlineStr">
        <is>
          <t>Ferrisariato</t>
        </is>
      </c>
      <c r="L26" s="8">
        <f>F26*G26</f>
        <v/>
      </c>
      <c r="M26" s="145" t="inlineStr">
        <is>
          <t>IE-D50-CAJ-POZ-120X120</t>
        </is>
      </c>
      <c r="N26" s="18" t="inlineStr">
        <is>
          <t>Instalaciones eléctricas</t>
        </is>
      </c>
      <c r="O26" s="18" t="inlineStr">
        <is>
          <t>Estimado DION · criterio de mercado Guayaquil 2026 (no verificado en tienda)</t>
        </is>
      </c>
      <c r="P26" s="18" t="inlineStr">
        <is>
          <t>oct-2026 (est.)</t>
        </is>
      </c>
      <c r="Q26" s="18" t="n"/>
    </row>
    <row r="27">
      <c r="A27" s="16" t="inlineStr">
        <is>
          <t xml:space="preserve">  ► CATEGORÍA: TOMACORRIENTES Y MECANISMOS DE FUERZA</t>
        </is>
      </c>
      <c r="B27" s="143" t="n"/>
      <c r="C27" s="143" t="n"/>
      <c r="D27" s="143" t="n"/>
      <c r="E27" s="143" t="n"/>
      <c r="F27" s="143" t="n"/>
      <c r="G27" s="143" t="n"/>
      <c r="H27" s="143" t="n"/>
      <c r="I27" s="143" t="n"/>
      <c r="J27" s="143" t="n"/>
      <c r="K27" s="143" t="n"/>
      <c r="L27" s="143" t="n"/>
      <c r="M27" s="143" t="n"/>
      <c r="N27" s="143" t="n"/>
      <c r="O27" s="143" t="n"/>
      <c r="P27" s="143" t="n"/>
      <c r="Q27" s="144" t="n"/>
    </row>
    <row r="28">
      <c r="A28" s="17" t="inlineStr">
        <is>
          <t xml:space="preserve">      • Subcategoría Especificada: Simples, Dobles 110V, GFCI y 220V Industriales</t>
        </is>
      </c>
      <c r="B28" s="143" t="n"/>
      <c r="C28" s="143" t="n"/>
      <c r="D28" s="143" t="n"/>
      <c r="E28" s="143" t="n"/>
      <c r="F28" s="143" t="n"/>
      <c r="G28" s="143" t="n"/>
      <c r="H28" s="143" t="n"/>
      <c r="I28" s="143" t="n"/>
      <c r="J28" s="143" t="n"/>
      <c r="K28" s="143" t="n"/>
      <c r="L28" s="143" t="n"/>
      <c r="M28" s="143" t="n"/>
      <c r="N28" s="143" t="n"/>
      <c r="O28" s="143" t="n"/>
      <c r="P28" s="143" t="n"/>
      <c r="Q28" s="144" t="n"/>
    </row>
    <row r="29">
      <c r="A29" s="23" t="n">
        <v>18</v>
      </c>
      <c r="B29" s="24" t="inlineStr">
        <is>
          <t xml:space="preserve">        Tomacorriente Doble Polarizado + T/A 110V (Blanco)</t>
        </is>
      </c>
      <c r="C29" s="25" t="inlineStr">
        <is>
          <t>Residencial</t>
        </is>
      </c>
      <c r="D29" s="23" t="inlineStr">
        <is>
          <t>Tomacorrientes 110V</t>
        </is>
      </c>
      <c r="E29" s="23" t="inlineStr">
        <is>
          <t>U</t>
        </is>
      </c>
      <c r="F29" s="26" t="n">
        <v>35</v>
      </c>
      <c r="G29" s="27" t="n">
        <v>3.8</v>
      </c>
      <c r="H29" s="27" t="n">
        <v>3.95</v>
      </c>
      <c r="I29" s="23" t="inlineStr">
        <is>
          <t>Megametales</t>
        </is>
      </c>
      <c r="J29" s="27" t="n">
        <v>4.2</v>
      </c>
      <c r="K29" s="23" t="inlineStr">
        <is>
          <t>Ferrisariato</t>
        </is>
      </c>
      <c r="L29" s="28">
        <f>F29*G29</f>
        <v/>
      </c>
      <c r="M29" s="146" t="inlineStr">
        <is>
          <t>IE-D50-DEL-TOM-DOB-15A</t>
        </is>
      </c>
      <c r="N29" s="23" t="inlineStr">
        <is>
          <t>Instalaciones eléctricas</t>
        </is>
      </c>
      <c r="O29" s="23" t="inlineStr">
        <is>
          <t>Estimado · base original del usuario (sin cotización verificada)</t>
        </is>
      </c>
      <c r="P29" s="23" t="inlineStr">
        <is>
          <t>oct-2026 (est.)</t>
        </is>
      </c>
      <c r="Q29" s="23" t="n"/>
    </row>
    <row r="30">
      <c r="A30" s="18" t="n">
        <v>19</v>
      </c>
      <c r="B30" s="19" t="inlineStr">
        <is>
          <t xml:space="preserve">        Tomacorriente GFCI Protección Humedad 110V 20A</t>
        </is>
      </c>
      <c r="C30" s="20" t="inlineStr">
        <is>
          <t>Residencial / Comercial</t>
        </is>
      </c>
      <c r="D30" s="18" t="inlineStr">
        <is>
          <t>Tomacorrientes GFCI</t>
        </is>
      </c>
      <c r="E30" s="18" t="inlineStr">
        <is>
          <t>U</t>
        </is>
      </c>
      <c r="F30" s="21" t="n">
        <v>8</v>
      </c>
      <c r="G30" s="22" t="n">
        <v>18.5</v>
      </c>
      <c r="H30" s="22" t="n">
        <v>18.9</v>
      </c>
      <c r="I30" s="18" t="inlineStr">
        <is>
          <t>Megametales</t>
        </is>
      </c>
      <c r="J30" s="22" t="n">
        <v>19.95</v>
      </c>
      <c r="K30" s="18" t="inlineStr">
        <is>
          <t>Kywi / Megakywi</t>
        </is>
      </c>
      <c r="L30" s="8">
        <f>F30*G30</f>
        <v/>
      </c>
      <c r="M30" s="145" t="inlineStr">
        <is>
          <t>IE-D50-DEL-TOM-GFCI-20A</t>
        </is>
      </c>
      <c r="N30" s="18" t="inlineStr">
        <is>
          <t>Instalaciones eléctricas</t>
        </is>
      </c>
      <c r="O30" s="18" t="inlineStr">
        <is>
          <t>Estimado · base original del usuario (sin cotización verificada)</t>
        </is>
      </c>
      <c r="P30" s="18" t="inlineStr">
        <is>
          <t>oct-2026 (est.)</t>
        </is>
      </c>
      <c r="Q30" s="18" t="n"/>
    </row>
    <row r="31">
      <c r="A31" s="23" t="n">
        <v>20</v>
      </c>
      <c r="B31" s="24" t="inlineStr">
        <is>
          <t xml:space="preserve">        Tomacorriente Especial 220V NEMA 6-20R (A.C.)</t>
        </is>
      </c>
      <c r="C31" s="25" t="inlineStr">
        <is>
          <t>Residencial / Comercial</t>
        </is>
      </c>
      <c r="D31" s="23" t="inlineStr">
        <is>
          <t>Tomacorrientes 220V</t>
        </is>
      </c>
      <c r="E31" s="23" t="inlineStr">
        <is>
          <t>U</t>
        </is>
      </c>
      <c r="F31" s="26" t="n">
        <v>6</v>
      </c>
      <c r="G31" s="27" t="n">
        <v>8.199999999999999</v>
      </c>
      <c r="H31" s="27" t="n">
        <v>8.5</v>
      </c>
      <c r="I31" s="23" t="inlineStr">
        <is>
          <t>Megametales</t>
        </is>
      </c>
      <c r="J31" s="27" t="n">
        <v>9.1</v>
      </c>
      <c r="K31" s="23" t="inlineStr">
        <is>
          <t>Ferrisariato</t>
        </is>
      </c>
      <c r="L31" s="28">
        <f>F31*G31</f>
        <v/>
      </c>
      <c r="M31" s="146" t="inlineStr">
        <is>
          <t>IE-D50-DEL-TOM-220-20A</t>
        </is>
      </c>
      <c r="N31" s="23" t="inlineStr">
        <is>
          <t>Instalaciones eléctricas</t>
        </is>
      </c>
      <c r="O31" s="23" t="inlineStr">
        <is>
          <t>Estimado · base original del usuario (sin cotización verificada)</t>
        </is>
      </c>
      <c r="P31" s="23" t="inlineStr">
        <is>
          <t>oct-2026 (est.)</t>
        </is>
      </c>
      <c r="Q31" s="23" t="n"/>
    </row>
    <row r="32">
      <c r="A32" s="18" t="n">
        <v>21</v>
      </c>
      <c r="B32" s="19" t="inlineStr">
        <is>
          <t xml:space="preserve">        Tomacorriente Industrial Trifásico Twist-Lock 50A</t>
        </is>
      </c>
      <c r="C32" s="20" t="inlineStr">
        <is>
          <t>Industrial</t>
        </is>
      </c>
      <c r="D32" s="18" t="inlineStr">
        <is>
          <t>Tomacorrientes Industriales</t>
        </is>
      </c>
      <c r="E32" s="18" t="inlineStr">
        <is>
          <t>U</t>
        </is>
      </c>
      <c r="F32" s="21" t="n">
        <v>2</v>
      </c>
      <c r="G32" s="22" t="n">
        <v>32</v>
      </c>
      <c r="H32" s="22" t="n">
        <v>33.2</v>
      </c>
      <c r="I32" s="18" t="inlineStr">
        <is>
          <t>Megametales</t>
        </is>
      </c>
      <c r="J32" s="22" t="n">
        <v>35.5</v>
      </c>
      <c r="K32" s="18" t="inlineStr">
        <is>
          <t>Kywi / Megakywi</t>
        </is>
      </c>
      <c r="L32" s="8">
        <f>F32*G32</f>
        <v/>
      </c>
      <c r="M32" s="145" t="inlineStr">
        <is>
          <t>IE-D50-DEL-TOM-TWL-50A</t>
        </is>
      </c>
      <c r="N32" s="18" t="inlineStr">
        <is>
          <t>Instalaciones eléctricas</t>
        </is>
      </c>
      <c r="O32" s="18" t="inlineStr">
        <is>
          <t>Estimado · base original del usuario (sin cotización verificada)</t>
        </is>
      </c>
      <c r="P32" s="18" t="inlineStr">
        <is>
          <t>oct-2026 (est.)</t>
        </is>
      </c>
      <c r="Q32" s="18" t="n"/>
    </row>
    <row r="33">
      <c r="A33" s="17" t="inlineStr">
        <is>
          <t xml:space="preserve">      • Subcategoría Especificada: Tomas Especiales, Hospitalarias, USB, Cocina y Trifásicas</t>
        </is>
      </c>
      <c r="B33" s="143" t="n"/>
      <c r="C33" s="143" t="n"/>
      <c r="D33" s="143" t="n"/>
      <c r="E33" s="143" t="n"/>
      <c r="F33" s="143" t="n"/>
      <c r="G33" s="143" t="n"/>
      <c r="H33" s="143" t="n"/>
      <c r="I33" s="143" t="n"/>
      <c r="J33" s="143" t="n"/>
      <c r="K33" s="143" t="n"/>
      <c r="L33" s="143" t="n"/>
      <c r="M33" s="143" t="n"/>
      <c r="N33" s="143" t="n"/>
      <c r="O33" s="143" t="n"/>
      <c r="P33" s="143" t="n"/>
      <c r="Q33" s="144" t="n"/>
    </row>
    <row r="34">
      <c r="A34" s="23" t="n">
        <v>22</v>
      </c>
      <c r="B34" s="24" t="inlineStr">
        <is>
          <t xml:space="preserve">        Tomacorriente Doble Polarizado 20A 125V Uso Comercial</t>
        </is>
      </c>
      <c r="C34" s="25" t="inlineStr">
        <is>
          <t>Comercial</t>
        </is>
      </c>
      <c r="D34" s="23" t="inlineStr">
        <is>
          <t>Tomacorrientes 110V</t>
        </is>
      </c>
      <c r="E34" s="23" t="inlineStr">
        <is>
          <t>U</t>
        </is>
      </c>
      <c r="F34" s="26" t="n">
        <v>20</v>
      </c>
      <c r="G34" s="27" t="n">
        <v>4.6</v>
      </c>
      <c r="H34" s="27" t="n">
        <v>4.78</v>
      </c>
      <c r="I34" s="23" t="inlineStr">
        <is>
          <t>Megametales</t>
        </is>
      </c>
      <c r="J34" s="27" t="n">
        <v>4.97</v>
      </c>
      <c r="K34" s="23" t="inlineStr">
        <is>
          <t>Kywi / Megakywi</t>
        </is>
      </c>
      <c r="L34" s="28">
        <f>F34*G34</f>
        <v/>
      </c>
      <c r="M34" s="146" t="inlineStr">
        <is>
          <t>IE-D50-DEL-TOM-DOB-20A</t>
        </is>
      </c>
      <c r="N34" s="23" t="inlineStr">
        <is>
          <t>Instalaciones eléctricas</t>
        </is>
      </c>
      <c r="O34" s="23" t="inlineStr">
        <is>
          <t>Estimado DION · criterio de mercado Guayaquil 2026 (no verificado en tienda)</t>
        </is>
      </c>
      <c r="P34" s="23" t="inlineStr">
        <is>
          <t>oct-2026 (est.)</t>
        </is>
      </c>
      <c r="Q34" s="23" t="n"/>
    </row>
    <row r="35">
      <c r="A35" s="18" t="n">
        <v>23</v>
      </c>
      <c r="B35" s="19" t="inlineStr">
        <is>
          <t xml:space="preserve">        Tomacorriente Grado Hospitalario 20A 125V (Punto Verde)</t>
        </is>
      </c>
      <c r="C35" s="20" t="inlineStr">
        <is>
          <t>Hospitalario</t>
        </is>
      </c>
      <c r="D35" s="18" t="inlineStr">
        <is>
          <t>Tomacorrientes Hospitalarios</t>
        </is>
      </c>
      <c r="E35" s="18" t="inlineStr">
        <is>
          <t>U</t>
        </is>
      </c>
      <c r="F35" s="21" t="n">
        <v>30</v>
      </c>
      <c r="G35" s="22" t="n">
        <v>18.5</v>
      </c>
      <c r="H35" s="22" t="n">
        <v>19.43</v>
      </c>
      <c r="I35" s="18" t="inlineStr">
        <is>
          <t>Megametales</t>
        </is>
      </c>
      <c r="J35" s="22" t="n">
        <v>20.54</v>
      </c>
      <c r="K35" s="18" t="inlineStr">
        <is>
          <t>Ferrisariato</t>
        </is>
      </c>
      <c r="L35" s="8">
        <f>F35*G35</f>
        <v/>
      </c>
      <c r="M35" s="145" t="inlineStr">
        <is>
          <t>IE-D50-DEL-TOM-HG-20A</t>
        </is>
      </c>
      <c r="N35" s="18" t="inlineStr">
        <is>
          <t>Instalaciones eléctricas</t>
        </is>
      </c>
      <c r="O35" s="18" t="inlineStr">
        <is>
          <t>Estimado DION · criterio de mercado Guayaquil 2026 (no verificado en tienda)</t>
        </is>
      </c>
      <c r="P35" s="18" t="inlineStr">
        <is>
          <t>oct-2026 (est.)</t>
        </is>
      </c>
      <c r="Q35" s="18" t="n"/>
    </row>
    <row r="36">
      <c r="A36" s="23" t="n">
        <v>24</v>
      </c>
      <c r="B36" s="24" t="inlineStr">
        <is>
          <t xml:space="preserve">        Tomacorriente Tierra Aislada Naranja 20A (Equipos Sensibles)</t>
        </is>
      </c>
      <c r="C36" s="25" t="inlineStr">
        <is>
          <t>Comercial / Hospitalario</t>
        </is>
      </c>
      <c r="D36" s="23" t="inlineStr">
        <is>
          <t>Tomacorrientes Aislados</t>
        </is>
      </c>
      <c r="E36" s="23" t="inlineStr">
        <is>
          <t>U</t>
        </is>
      </c>
      <c r="F36" s="26" t="n">
        <v>10</v>
      </c>
      <c r="G36" s="27" t="n">
        <v>12.5</v>
      </c>
      <c r="H36" s="27" t="n">
        <v>13.12</v>
      </c>
      <c r="I36" s="23" t="inlineStr">
        <is>
          <t>Megametales</t>
        </is>
      </c>
      <c r="J36" s="27" t="n">
        <v>13.75</v>
      </c>
      <c r="K36" s="23" t="inlineStr">
        <is>
          <t>Kywi / Megakywi</t>
        </is>
      </c>
      <c r="L36" s="28">
        <f>F36*G36</f>
        <v/>
      </c>
      <c r="M36" s="146" t="inlineStr">
        <is>
          <t>IE-D50-DEL-TOM-NAR-20A</t>
        </is>
      </c>
      <c r="N36" s="23" t="inlineStr">
        <is>
          <t>Instalaciones eléctricas</t>
        </is>
      </c>
      <c r="O36" s="23" t="inlineStr">
        <is>
          <t>Estimado DION · criterio de mercado Guayaquil 2026 (no verificado en tienda)</t>
        </is>
      </c>
      <c r="P36" s="23" t="inlineStr">
        <is>
          <t>oct-2026 (est.)</t>
        </is>
      </c>
      <c r="Q36" s="23" t="n"/>
    </row>
    <row r="37">
      <c r="A37" s="18" t="n">
        <v>25</v>
      </c>
      <c r="B37" s="19" t="inlineStr">
        <is>
          <t xml:space="preserve">        Tomacorriente Rojo Circuito de Emergencia 20A</t>
        </is>
      </c>
      <c r="C37" s="20" t="inlineStr">
        <is>
          <t>Hospitalario / Comercial</t>
        </is>
      </c>
      <c r="D37" s="18" t="inlineStr">
        <is>
          <t>Tomacorrientes Emergencia</t>
        </is>
      </c>
      <c r="E37" s="18" t="inlineStr">
        <is>
          <t>U</t>
        </is>
      </c>
      <c r="F37" s="21" t="n">
        <v>12</v>
      </c>
      <c r="G37" s="22" t="n">
        <v>6.8</v>
      </c>
      <c r="H37" s="22" t="n">
        <v>7</v>
      </c>
      <c r="I37" s="18" t="inlineStr">
        <is>
          <t>Megametales</t>
        </is>
      </c>
      <c r="J37" s="22" t="n">
        <v>7.55</v>
      </c>
      <c r="K37" s="18" t="inlineStr">
        <is>
          <t>Ferrisariato</t>
        </is>
      </c>
      <c r="L37" s="8">
        <f>F37*G37</f>
        <v/>
      </c>
      <c r="M37" s="145" t="inlineStr">
        <is>
          <t>IE-D50-DEL-TOM-ROJ-20A</t>
        </is>
      </c>
      <c r="N37" s="18" t="inlineStr">
        <is>
          <t>Instalaciones eléctricas</t>
        </is>
      </c>
      <c r="O37" s="18" t="inlineStr">
        <is>
          <t>Estimado DION · criterio de mercado Guayaquil 2026 (no verificado en tienda)</t>
        </is>
      </c>
      <c r="P37" s="18" t="inlineStr">
        <is>
          <t>oct-2026 (est.)</t>
        </is>
      </c>
      <c r="Q37" s="18" t="n"/>
    </row>
    <row r="38">
      <c r="A38" s="23" t="n">
        <v>26</v>
      </c>
      <c r="B38" s="24" t="inlineStr">
        <is>
          <t xml:space="preserve">        Tomacorriente Doble + 2 Puertos USB-A/C 15A</t>
        </is>
      </c>
      <c r="C38" s="25" t="inlineStr">
        <is>
          <t>Residencial / Comercial</t>
        </is>
      </c>
      <c r="D38" s="23" t="inlineStr">
        <is>
          <t>Tomacorrientes USB</t>
        </is>
      </c>
      <c r="E38" s="23" t="inlineStr">
        <is>
          <t>U</t>
        </is>
      </c>
      <c r="F38" s="26" t="n">
        <v>8</v>
      </c>
      <c r="G38" s="27" t="n">
        <v>16.5</v>
      </c>
      <c r="H38" s="27" t="n">
        <v>17.16</v>
      </c>
      <c r="I38" s="23" t="inlineStr">
        <is>
          <t>Megametales</t>
        </is>
      </c>
      <c r="J38" s="27" t="n">
        <v>18.32</v>
      </c>
      <c r="K38" s="23" t="inlineStr">
        <is>
          <t>Kywi / Megakywi</t>
        </is>
      </c>
      <c r="L38" s="28">
        <f>F38*G38</f>
        <v/>
      </c>
      <c r="M38" s="146" t="inlineStr">
        <is>
          <t>IE-D50-DEL-TOM-USB</t>
        </is>
      </c>
      <c r="N38" s="23" t="inlineStr">
        <is>
          <t>Instalaciones eléctricas</t>
        </is>
      </c>
      <c r="O38" s="23" t="inlineStr">
        <is>
          <t>Estimado DION · criterio de mercado Guayaquil 2026 (no verificado en tienda)</t>
        </is>
      </c>
      <c r="P38" s="23" t="inlineStr">
        <is>
          <t>oct-2026 (est.)</t>
        </is>
      </c>
      <c r="Q38" s="23" t="n"/>
    </row>
    <row r="39">
      <c r="A39" s="18" t="n">
        <v>27</v>
      </c>
      <c r="B39" s="19" t="inlineStr">
        <is>
          <t xml:space="preserve">        Tomacorriente 220V 30A NEMA 10-30R (Secadora)</t>
        </is>
      </c>
      <c r="C39" s="20" t="inlineStr">
        <is>
          <t>Residencial</t>
        </is>
      </c>
      <c r="D39" s="18" t="inlineStr">
        <is>
          <t>Tomacorrientes 220V</t>
        </is>
      </c>
      <c r="E39" s="18" t="inlineStr">
        <is>
          <t>U</t>
        </is>
      </c>
      <c r="F39" s="21" t="n">
        <v>2</v>
      </c>
      <c r="G39" s="22" t="n">
        <v>11.5</v>
      </c>
      <c r="H39" s="22" t="n">
        <v>11.96</v>
      </c>
      <c r="I39" s="18" t="inlineStr">
        <is>
          <t>Megametales</t>
        </is>
      </c>
      <c r="J39" s="22" t="n">
        <v>12.31</v>
      </c>
      <c r="K39" s="18" t="inlineStr">
        <is>
          <t>Ferrisariato</t>
        </is>
      </c>
      <c r="L39" s="8">
        <f>F39*G39</f>
        <v/>
      </c>
      <c r="M39" s="145" t="inlineStr">
        <is>
          <t>IE-D50-DEL-TOM-220-30A</t>
        </is>
      </c>
      <c r="N39" s="18" t="inlineStr">
        <is>
          <t>Instalaciones eléctricas</t>
        </is>
      </c>
      <c r="O39" s="18" t="inlineStr">
        <is>
          <t>Estimado DION · criterio de mercado Guayaquil 2026 (no verificado en tienda)</t>
        </is>
      </c>
      <c r="P39" s="18" t="inlineStr">
        <is>
          <t>oct-2026 (est.)</t>
        </is>
      </c>
      <c r="Q39" s="18" t="n"/>
    </row>
    <row r="40">
      <c r="A40" s="23" t="n">
        <v>28</v>
      </c>
      <c r="B40" s="24" t="inlineStr">
        <is>
          <t xml:space="preserve">        Tomacorriente 220V 50A NEMA 14-50R (Cocina de Inducción)</t>
        </is>
      </c>
      <c r="C40" s="25" t="inlineStr">
        <is>
          <t>Residencial</t>
        </is>
      </c>
      <c r="D40" s="23" t="inlineStr">
        <is>
          <t>Tomacorrientes 220V</t>
        </is>
      </c>
      <c r="E40" s="23" t="inlineStr">
        <is>
          <t>U</t>
        </is>
      </c>
      <c r="F40" s="26" t="n">
        <v>2</v>
      </c>
      <c r="G40" s="27" t="n">
        <v>16.8</v>
      </c>
      <c r="H40" s="27" t="n">
        <v>17.14</v>
      </c>
      <c r="I40" s="23" t="inlineStr">
        <is>
          <t>Megametales</t>
        </is>
      </c>
      <c r="J40" s="27" t="n">
        <v>18.14</v>
      </c>
      <c r="K40" s="23" t="inlineStr">
        <is>
          <t>Kywi / Megakywi</t>
        </is>
      </c>
      <c r="L40" s="28">
        <f>F40*G40</f>
        <v/>
      </c>
      <c r="M40" s="146" t="inlineStr">
        <is>
          <t>IE-D50-DEL-TOM-220-50A</t>
        </is>
      </c>
      <c r="N40" s="23" t="inlineStr">
        <is>
          <t>Instalaciones eléctricas</t>
        </is>
      </c>
      <c r="O40" s="23" t="inlineStr">
        <is>
          <t>Estimado DION · criterio de mercado Guayaquil 2026 (no verificado en tienda)</t>
        </is>
      </c>
      <c r="P40" s="23" t="inlineStr">
        <is>
          <t>oct-2026 (est.)</t>
        </is>
      </c>
      <c r="Q40" s="23" t="n"/>
    </row>
    <row r="41">
      <c r="A41" s="18" t="n">
        <v>29</v>
      </c>
      <c r="B41" s="19" t="inlineStr">
        <is>
          <t xml:space="preserve">        Tomacorriente Industrial Trifásico IEC 60309 32A 3P+T</t>
        </is>
      </c>
      <c r="C41" s="20" t="inlineStr">
        <is>
          <t>Industrial</t>
        </is>
      </c>
      <c r="D41" s="18" t="inlineStr">
        <is>
          <t>Tomacorrientes Industriales</t>
        </is>
      </c>
      <c r="E41" s="18" t="inlineStr">
        <is>
          <t>U</t>
        </is>
      </c>
      <c r="F41" s="21" t="n">
        <v>2</v>
      </c>
      <c r="G41" s="22" t="n">
        <v>28</v>
      </c>
      <c r="H41" s="22" t="n">
        <v>28.56</v>
      </c>
      <c r="I41" s="18" t="inlineStr">
        <is>
          <t>Megametales</t>
        </is>
      </c>
      <c r="J41" s="22" t="n">
        <v>29.96</v>
      </c>
      <c r="K41" s="18" t="inlineStr">
        <is>
          <t>Ferrisariato</t>
        </is>
      </c>
      <c r="L41" s="8">
        <f>F41*G41</f>
        <v/>
      </c>
      <c r="M41" s="145" t="inlineStr">
        <is>
          <t>IE-D50-DEL-TOM-TRI-32A</t>
        </is>
      </c>
      <c r="N41" s="18" t="inlineStr">
        <is>
          <t>Instalaciones eléctricas</t>
        </is>
      </c>
      <c r="O41" s="18" t="inlineStr">
        <is>
          <t>Estimado DION · criterio de mercado Guayaquil 2026 (no verificado en tienda)</t>
        </is>
      </c>
      <c r="P41" s="18" t="inlineStr">
        <is>
          <t>oct-2026 (est.)</t>
        </is>
      </c>
      <c r="Q41" s="18" t="n"/>
    </row>
    <row r="42">
      <c r="A42" s="23" t="n">
        <v>30</v>
      </c>
      <c r="B42" s="24" t="inlineStr">
        <is>
          <t xml:space="preserve">        Tomacorriente de Piso con Tapa Metálica Abatible</t>
        </is>
      </c>
      <c r="C42" s="25" t="inlineStr">
        <is>
          <t>Comercial / Oficinas</t>
        </is>
      </c>
      <c r="D42" s="23" t="inlineStr">
        <is>
          <t>Tomacorrientes de Piso</t>
        </is>
      </c>
      <c r="E42" s="23" t="inlineStr">
        <is>
          <t>U</t>
        </is>
      </c>
      <c r="F42" s="26" t="n">
        <v>4</v>
      </c>
      <c r="G42" s="27" t="n">
        <v>42</v>
      </c>
      <c r="H42" s="27" t="n">
        <v>42.84</v>
      </c>
      <c r="I42" s="23" t="inlineStr">
        <is>
          <t>Megametales</t>
        </is>
      </c>
      <c r="J42" s="27" t="n">
        <v>46.62</v>
      </c>
      <c r="K42" s="23" t="inlineStr">
        <is>
          <t>Kywi / Megakywi</t>
        </is>
      </c>
      <c r="L42" s="28">
        <f>F42*G42</f>
        <v/>
      </c>
      <c r="M42" s="146" t="inlineStr">
        <is>
          <t>IE-D50-DEL-TOM-PIS</t>
        </is>
      </c>
      <c r="N42" s="23" t="inlineStr">
        <is>
          <t>Instalaciones eléctricas</t>
        </is>
      </c>
      <c r="O42" s="23" t="inlineStr">
        <is>
          <t>Estimado DION · criterio de mercado Guayaquil 2026 (no verificado en tienda)</t>
        </is>
      </c>
      <c r="P42" s="23" t="inlineStr">
        <is>
          <t>oct-2026 (est.)</t>
        </is>
      </c>
      <c r="Q42" s="23" t="n"/>
    </row>
    <row r="43">
      <c r="A43" s="18" t="n">
        <v>31</v>
      </c>
      <c r="B43" s="19" t="inlineStr">
        <is>
          <t xml:space="preserve">        Tomacorriente Exterior con Tapa a Prueba de Intemperie IP55</t>
        </is>
      </c>
      <c r="C43" s="20" t="inlineStr">
        <is>
          <t>Residencial / Comercial</t>
        </is>
      </c>
      <c r="D43" s="18" t="inlineStr">
        <is>
          <t>Tomacorrientes Exterior</t>
        </is>
      </c>
      <c r="E43" s="18" t="inlineStr">
        <is>
          <t>U</t>
        </is>
      </c>
      <c r="F43" s="21" t="n">
        <v>4</v>
      </c>
      <c r="G43" s="22" t="n">
        <v>12.9</v>
      </c>
      <c r="H43" s="22" t="n">
        <v>13.29</v>
      </c>
      <c r="I43" s="18" t="inlineStr">
        <is>
          <t>Megametales</t>
        </is>
      </c>
      <c r="J43" s="22" t="n">
        <v>14.06</v>
      </c>
      <c r="K43" s="18" t="inlineStr">
        <is>
          <t>Ferrisariato</t>
        </is>
      </c>
      <c r="L43" s="8">
        <f>F43*G43</f>
        <v/>
      </c>
      <c r="M43" s="145" t="inlineStr">
        <is>
          <t>IE-D50-DEL-TOM-EXT</t>
        </is>
      </c>
      <c r="N43" s="18" t="inlineStr">
        <is>
          <t>Instalaciones eléctricas</t>
        </is>
      </c>
      <c r="O43" s="18" t="inlineStr">
        <is>
          <t>Estimado DION · criterio de mercado Guayaquil 2026 (no verificado en tienda)</t>
        </is>
      </c>
      <c r="P43" s="18" t="inlineStr">
        <is>
          <t>oct-2026 (est.)</t>
        </is>
      </c>
      <c r="Q43" s="18" t="n"/>
    </row>
    <row r="44">
      <c r="A44" s="23" t="n">
        <v>32</v>
      </c>
      <c r="B44" s="24" t="inlineStr">
        <is>
          <t xml:space="preserve">        Salida Especial para Cargador Vehículo Eléctrico 32A</t>
        </is>
      </c>
      <c r="C44" s="25" t="inlineStr">
        <is>
          <t>Residencial / Comercial</t>
        </is>
      </c>
      <c r="D44" s="23" t="inlineStr">
        <is>
          <t>Salidas Especiales</t>
        </is>
      </c>
      <c r="E44" s="23" t="inlineStr">
        <is>
          <t>U</t>
        </is>
      </c>
      <c r="F44" s="26" t="n">
        <v>1</v>
      </c>
      <c r="G44" s="27" t="n">
        <v>95</v>
      </c>
      <c r="H44" s="27" t="n">
        <v>96.90000000000001</v>
      </c>
      <c r="I44" s="23" t="inlineStr">
        <is>
          <t>Megametales</t>
        </is>
      </c>
      <c r="J44" s="27" t="n">
        <v>101.65</v>
      </c>
      <c r="K44" s="23" t="inlineStr">
        <is>
          <t>Kywi / Megakywi</t>
        </is>
      </c>
      <c r="L44" s="28">
        <f>F44*G44</f>
        <v/>
      </c>
      <c r="M44" s="146" t="inlineStr">
        <is>
          <t>IE-D50-DEL-SAL-EVC</t>
        </is>
      </c>
      <c r="N44" s="23" t="inlineStr">
        <is>
          <t>Instalaciones eléctricas</t>
        </is>
      </c>
      <c r="O44" s="23" t="inlineStr">
        <is>
          <t>Estimado DION · criterio de mercado Guayaquil 2026 (no verificado en tienda)</t>
        </is>
      </c>
      <c r="P44" s="23" t="inlineStr">
        <is>
          <t>oct-2026 (est.)</t>
        </is>
      </c>
      <c r="Q44" s="23" t="n"/>
    </row>
    <row r="45">
      <c r="A45" s="16" t="inlineStr">
        <is>
          <t xml:space="preserve">  ► CATEGORÍA: INTERRUPTORES Y PLACAS DE PARED</t>
        </is>
      </c>
      <c r="B45" s="143" t="n"/>
      <c r="C45" s="143" t="n"/>
      <c r="D45" s="143" t="n"/>
      <c r="E45" s="143" t="n"/>
      <c r="F45" s="143" t="n"/>
      <c r="G45" s="143" t="n"/>
      <c r="H45" s="143" t="n"/>
      <c r="I45" s="143" t="n"/>
      <c r="J45" s="143" t="n"/>
      <c r="K45" s="143" t="n"/>
      <c r="L45" s="143" t="n"/>
      <c r="M45" s="143" t="n"/>
      <c r="N45" s="143" t="n"/>
      <c r="O45" s="143" t="n"/>
      <c r="P45" s="143" t="n"/>
      <c r="Q45" s="144" t="n"/>
    </row>
    <row r="46">
      <c r="A46" s="17" t="inlineStr">
        <is>
          <t xml:space="preserve">      • Subcategoría Especificada: Sencillos, Dobles, Triples, 3-Way, Dimmers, Smart y Placas</t>
        </is>
      </c>
      <c r="B46" s="143" t="n"/>
      <c r="C46" s="143" t="n"/>
      <c r="D46" s="143" t="n"/>
      <c r="E46" s="143" t="n"/>
      <c r="F46" s="143" t="n"/>
      <c r="G46" s="143" t="n"/>
      <c r="H46" s="143" t="n"/>
      <c r="I46" s="143" t="n"/>
      <c r="J46" s="143" t="n"/>
      <c r="K46" s="143" t="n"/>
      <c r="L46" s="143" t="n"/>
      <c r="M46" s="143" t="n"/>
      <c r="N46" s="143" t="n"/>
      <c r="O46" s="143" t="n"/>
      <c r="P46" s="143" t="n"/>
      <c r="Q46" s="144" t="n"/>
    </row>
    <row r="47">
      <c r="A47" s="18" t="n">
        <v>33</v>
      </c>
      <c r="B47" s="19" t="inlineStr">
        <is>
          <t xml:space="preserve">        Interruptor Sencillo / Doble / Triple 10A 110V</t>
        </is>
      </c>
      <c r="C47" s="20" t="inlineStr">
        <is>
          <t>Residencial</t>
        </is>
      </c>
      <c r="D47" s="18" t="inlineStr">
        <is>
          <t>Interruptores</t>
        </is>
      </c>
      <c r="E47" s="18" t="inlineStr">
        <is>
          <t>U</t>
        </is>
      </c>
      <c r="F47" s="21" t="n">
        <v>18</v>
      </c>
      <c r="G47" s="22" t="n">
        <v>3.5</v>
      </c>
      <c r="H47" s="22" t="n">
        <v>3.65</v>
      </c>
      <c r="I47" s="18" t="inlineStr">
        <is>
          <t>Megametales</t>
        </is>
      </c>
      <c r="J47" s="22" t="n">
        <v>3.9</v>
      </c>
      <c r="K47" s="18" t="inlineStr">
        <is>
          <t>Ferrisariato</t>
        </is>
      </c>
      <c r="L47" s="8">
        <f>F47*G47</f>
        <v/>
      </c>
      <c r="M47" s="145" t="inlineStr">
        <is>
          <t>IE-D50-INT-SIM</t>
        </is>
      </c>
      <c r="N47" s="18" t="inlineStr">
        <is>
          <t>Instalaciones eléctricas</t>
        </is>
      </c>
      <c r="O47" s="18" t="inlineStr">
        <is>
          <t>Estimado · base original del usuario (sin cotización verificada)</t>
        </is>
      </c>
      <c r="P47" s="18" t="inlineStr">
        <is>
          <t>oct-2026 (est.)</t>
        </is>
      </c>
      <c r="Q47" s="18" t="n"/>
    </row>
    <row r="48">
      <c r="A48" s="23" t="n">
        <v>34</v>
      </c>
      <c r="B48" s="24" t="inlineStr">
        <is>
          <t xml:space="preserve">        Interruptor Conmutable / Conmutado 3-Way</t>
        </is>
      </c>
      <c r="C48" s="25" t="inlineStr">
        <is>
          <t>Residencial / Comercial</t>
        </is>
      </c>
      <c r="D48" s="23" t="inlineStr">
        <is>
          <t>Interruptores Conmutados</t>
        </is>
      </c>
      <c r="E48" s="23" t="inlineStr">
        <is>
          <t>U</t>
        </is>
      </c>
      <c r="F48" s="26" t="n">
        <v>10</v>
      </c>
      <c r="G48" s="27" t="n">
        <v>4.8</v>
      </c>
      <c r="H48" s="27" t="n">
        <v>4.95</v>
      </c>
      <c r="I48" s="23" t="inlineStr">
        <is>
          <t>Megametales</t>
        </is>
      </c>
      <c r="J48" s="27" t="n">
        <v>5.3</v>
      </c>
      <c r="K48" s="23" t="inlineStr">
        <is>
          <t>Ferrisariato</t>
        </is>
      </c>
      <c r="L48" s="28">
        <f>F48*G48</f>
        <v/>
      </c>
      <c r="M48" s="146" t="inlineStr">
        <is>
          <t>IE-D50-INT-CON-3V</t>
        </is>
      </c>
      <c r="N48" s="23" t="inlineStr">
        <is>
          <t>Instalaciones eléctricas</t>
        </is>
      </c>
      <c r="O48" s="23" t="inlineStr">
        <is>
          <t>Estimado · base original del usuario (sin cotización verificada)</t>
        </is>
      </c>
      <c r="P48" s="23" t="inlineStr">
        <is>
          <t>oct-2026 (est.)</t>
        </is>
      </c>
      <c r="Q48" s="23" t="n"/>
    </row>
    <row r="49">
      <c r="A49" s="18" t="n">
        <v>35</v>
      </c>
      <c r="B49" s="19" t="inlineStr">
        <is>
          <t xml:space="preserve">        Placa de Pared Ciega / 1 Módulo / 2 Módulos ABS</t>
        </is>
      </c>
      <c r="C49" s="20" t="inlineStr">
        <is>
          <t>Residencial / Comercial</t>
        </is>
      </c>
      <c r="D49" s="18" t="inlineStr">
        <is>
          <t>Placas de Pared</t>
        </is>
      </c>
      <c r="E49" s="18" t="inlineStr">
        <is>
          <t>U</t>
        </is>
      </c>
      <c r="F49" s="21" t="n">
        <v>40</v>
      </c>
      <c r="G49" s="22" t="n">
        <v>0.95</v>
      </c>
      <c r="H49" s="22" t="n">
        <v>1</v>
      </c>
      <c r="I49" s="18" t="inlineStr">
        <is>
          <t>Megametales</t>
        </is>
      </c>
      <c r="J49" s="22" t="n">
        <v>1.15</v>
      </c>
      <c r="K49" s="18" t="inlineStr">
        <is>
          <t>Ferrisariato</t>
        </is>
      </c>
      <c r="L49" s="8">
        <f>F49*G49</f>
        <v/>
      </c>
      <c r="M49" s="145" t="inlineStr">
        <is>
          <t>IE-D50-INT-PLA-CIE</t>
        </is>
      </c>
      <c r="N49" s="18" t="inlineStr">
        <is>
          <t>Instalaciones eléctricas</t>
        </is>
      </c>
      <c r="O49" s="18" t="inlineStr">
        <is>
          <t>Estimado · base original del usuario (sin cotización verificada)</t>
        </is>
      </c>
      <c r="P49" s="18" t="inlineStr">
        <is>
          <t>oct-2026 (est.)</t>
        </is>
      </c>
      <c r="Q49" s="18" t="n"/>
    </row>
    <row r="50">
      <c r="A50" s="17" t="inlineStr">
        <is>
          <t xml:space="preserve">      • Subcategoría Especificada: Interruptores por Tipo, Controles y Placas</t>
        </is>
      </c>
      <c r="B50" s="143" t="n"/>
      <c r="C50" s="143" t="n"/>
      <c r="D50" s="143" t="n"/>
      <c r="E50" s="143" t="n"/>
      <c r="F50" s="143" t="n"/>
      <c r="G50" s="143" t="n"/>
      <c r="H50" s="143" t="n"/>
      <c r="I50" s="143" t="n"/>
      <c r="J50" s="143" t="n"/>
      <c r="K50" s="143" t="n"/>
      <c r="L50" s="143" t="n"/>
      <c r="M50" s="143" t="n"/>
      <c r="N50" s="143" t="n"/>
      <c r="O50" s="143" t="n"/>
      <c r="P50" s="143" t="n"/>
      <c r="Q50" s="144" t="n"/>
    </row>
    <row r="51">
      <c r="A51" s="23" t="n">
        <v>36</v>
      </c>
      <c r="B51" s="24" t="inlineStr">
        <is>
          <t xml:space="preserve">        Interruptor Doble 15A 120V con Placa</t>
        </is>
      </c>
      <c r="C51" s="25" t="inlineStr">
        <is>
          <t>Residencial</t>
        </is>
      </c>
      <c r="D51" s="23" t="inlineStr">
        <is>
          <t>Interruptores</t>
        </is>
      </c>
      <c r="E51" s="23" t="inlineStr">
        <is>
          <t>U</t>
        </is>
      </c>
      <c r="F51" s="26" t="n">
        <v>10</v>
      </c>
      <c r="G51" s="27" t="n">
        <v>4.1</v>
      </c>
      <c r="H51" s="27" t="n">
        <v>4.3</v>
      </c>
      <c r="I51" s="23" t="inlineStr">
        <is>
          <t>Megametales</t>
        </is>
      </c>
      <c r="J51" s="27" t="n">
        <v>4.43</v>
      </c>
      <c r="K51" s="23" t="inlineStr">
        <is>
          <t>Kywi / Megakywi</t>
        </is>
      </c>
      <c r="L51" s="28">
        <f>F51*G51</f>
        <v/>
      </c>
      <c r="M51" s="146" t="inlineStr">
        <is>
          <t>IE-D50-INT-DOB</t>
        </is>
      </c>
      <c r="N51" s="23" t="inlineStr">
        <is>
          <t>Instalaciones eléctricas</t>
        </is>
      </c>
      <c r="O51" s="23" t="inlineStr">
        <is>
          <t>Estimado DION · criterio de mercado Guayaquil 2026 (no verificado en tienda)</t>
        </is>
      </c>
      <c r="P51" s="23" t="inlineStr">
        <is>
          <t>oct-2026 (est.)</t>
        </is>
      </c>
      <c r="Q51" s="23" t="n"/>
    </row>
    <row r="52">
      <c r="A52" s="18" t="n">
        <v>37</v>
      </c>
      <c r="B52" s="19" t="inlineStr">
        <is>
          <t xml:space="preserve">        Interruptor Triple 15A 120V con Placa</t>
        </is>
      </c>
      <c r="C52" s="20" t="inlineStr">
        <is>
          <t>Residencial</t>
        </is>
      </c>
      <c r="D52" s="18" t="inlineStr">
        <is>
          <t>Interruptores</t>
        </is>
      </c>
      <c r="E52" s="18" t="inlineStr">
        <is>
          <t>U</t>
        </is>
      </c>
      <c r="F52" s="21" t="n">
        <v>6</v>
      </c>
      <c r="G52" s="22" t="n">
        <v>5.6</v>
      </c>
      <c r="H52" s="22" t="n">
        <v>5.82</v>
      </c>
      <c r="I52" s="18" t="inlineStr">
        <is>
          <t>Megametales</t>
        </is>
      </c>
      <c r="J52" s="22" t="n">
        <v>5.99</v>
      </c>
      <c r="K52" s="18" t="inlineStr">
        <is>
          <t>Ferrisariato</t>
        </is>
      </c>
      <c r="L52" s="8">
        <f>F52*G52</f>
        <v/>
      </c>
      <c r="M52" s="145" t="inlineStr">
        <is>
          <t>IE-D50-INT-TRI</t>
        </is>
      </c>
      <c r="N52" s="18" t="inlineStr">
        <is>
          <t>Instalaciones eléctricas</t>
        </is>
      </c>
      <c r="O52" s="18" t="inlineStr">
        <is>
          <t>Estimado DION · criterio de mercado Guayaquil 2026 (no verificado en tienda)</t>
        </is>
      </c>
      <c r="P52" s="18" t="inlineStr">
        <is>
          <t>oct-2026 (est.)</t>
        </is>
      </c>
      <c r="Q52" s="18" t="n"/>
    </row>
    <row r="53">
      <c r="A53" s="23" t="n">
        <v>38</v>
      </c>
      <c r="B53" s="24" t="inlineStr">
        <is>
          <t xml:space="preserve">        Interruptor de 4 Vías (Cuádruple Conmutación) 15A</t>
        </is>
      </c>
      <c r="C53" s="25" t="inlineStr">
        <is>
          <t>Residencial / Comercial</t>
        </is>
      </c>
      <c r="D53" s="23" t="inlineStr">
        <is>
          <t>Interruptores Conmutados</t>
        </is>
      </c>
      <c r="E53" s="23" t="inlineStr">
        <is>
          <t>U</t>
        </is>
      </c>
      <c r="F53" s="26" t="n">
        <v>2</v>
      </c>
      <c r="G53" s="27" t="n">
        <v>12.5</v>
      </c>
      <c r="H53" s="27" t="n">
        <v>13</v>
      </c>
      <c r="I53" s="23" t="inlineStr">
        <is>
          <t>Megametales</t>
        </is>
      </c>
      <c r="J53" s="27" t="n">
        <v>13.88</v>
      </c>
      <c r="K53" s="23" t="inlineStr">
        <is>
          <t>Kywi / Megakywi</t>
        </is>
      </c>
      <c r="L53" s="28">
        <f>F53*G53</f>
        <v/>
      </c>
      <c r="M53" s="146" t="inlineStr">
        <is>
          <t>IE-D50-INT-CON-4V</t>
        </is>
      </c>
      <c r="N53" s="23" t="inlineStr">
        <is>
          <t>Instalaciones eléctricas</t>
        </is>
      </c>
      <c r="O53" s="23" t="inlineStr">
        <is>
          <t>Estimado DION · criterio de mercado Guayaquil 2026 (no verificado en tienda)</t>
        </is>
      </c>
      <c r="P53" s="23" t="inlineStr">
        <is>
          <t>oct-2026 (est.)</t>
        </is>
      </c>
      <c r="Q53" s="23" t="n"/>
    </row>
    <row r="54">
      <c r="A54" s="18" t="n">
        <v>39</v>
      </c>
      <c r="B54" s="19" t="inlineStr">
        <is>
          <t xml:space="preserve">        Dimmer Rotativo/Deslizante LED 300W</t>
        </is>
      </c>
      <c r="C54" s="20" t="inlineStr">
        <is>
          <t>Residencial / Comercial</t>
        </is>
      </c>
      <c r="D54" s="18" t="inlineStr">
        <is>
          <t>Dimmers</t>
        </is>
      </c>
      <c r="E54" s="18" t="inlineStr">
        <is>
          <t>U</t>
        </is>
      </c>
      <c r="F54" s="21" t="n">
        <v>4</v>
      </c>
      <c r="G54" s="22" t="n">
        <v>16.5</v>
      </c>
      <c r="H54" s="22" t="n">
        <v>17</v>
      </c>
      <c r="I54" s="18" t="inlineStr">
        <is>
          <t>Megametales</t>
        </is>
      </c>
      <c r="J54" s="22" t="n">
        <v>17.82</v>
      </c>
      <c r="K54" s="18" t="inlineStr">
        <is>
          <t>Ferrisariato</t>
        </is>
      </c>
      <c r="L54" s="8">
        <f>F54*G54</f>
        <v/>
      </c>
      <c r="M54" s="145" t="inlineStr">
        <is>
          <t>IE-D50-INT-DIM</t>
        </is>
      </c>
      <c r="N54" s="18" t="inlineStr">
        <is>
          <t>Instalaciones eléctricas</t>
        </is>
      </c>
      <c r="O54" s="18" t="inlineStr">
        <is>
          <t>Estimado DION · criterio de mercado Guayaquil 2026 (no verificado en tienda)</t>
        </is>
      </c>
      <c r="P54" s="18" t="inlineStr">
        <is>
          <t>oct-2026 (est.)</t>
        </is>
      </c>
      <c r="Q54" s="18" t="n"/>
    </row>
    <row r="55">
      <c r="A55" s="23" t="n">
        <v>40</v>
      </c>
      <c r="B55" s="24" t="inlineStr">
        <is>
          <t xml:space="preserve">        Sensor de Ocupación de Pared Dual-Tech 120-277V</t>
        </is>
      </c>
      <c r="C55" s="25" t="inlineStr">
        <is>
          <t>Comercial / Oficinas</t>
        </is>
      </c>
      <c r="D55" s="23" t="inlineStr">
        <is>
          <t>Sensores</t>
        </is>
      </c>
      <c r="E55" s="23" t="inlineStr">
        <is>
          <t>U</t>
        </is>
      </c>
      <c r="F55" s="26" t="n">
        <v>6</v>
      </c>
      <c r="G55" s="27" t="n">
        <v>34</v>
      </c>
      <c r="H55" s="27" t="n">
        <v>35.36</v>
      </c>
      <c r="I55" s="23" t="inlineStr">
        <is>
          <t>Megametales</t>
        </is>
      </c>
      <c r="J55" s="27" t="n">
        <v>37.74</v>
      </c>
      <c r="K55" s="23" t="inlineStr">
        <is>
          <t>Kywi / Megakywi</t>
        </is>
      </c>
      <c r="L55" s="28">
        <f>F55*G55</f>
        <v/>
      </c>
      <c r="M55" s="146" t="inlineStr">
        <is>
          <t>IE-D50-INT-SEN-OCU</t>
        </is>
      </c>
      <c r="N55" s="23" t="inlineStr">
        <is>
          <t>Instalaciones eléctricas</t>
        </is>
      </c>
      <c r="O55" s="23" t="inlineStr">
        <is>
          <t>Estimado DION · criterio de mercado Guayaquil 2026 (no verificado en tienda)</t>
        </is>
      </c>
      <c r="P55" s="23" t="inlineStr">
        <is>
          <t>oct-2026 (est.)</t>
        </is>
      </c>
      <c r="Q55" s="23" t="n"/>
    </row>
    <row r="56">
      <c r="A56" s="18" t="n">
        <v>41</v>
      </c>
      <c r="B56" s="19" t="inlineStr">
        <is>
          <t xml:space="preserve">        Temporizador Digital Programable Riel DIN 16A</t>
        </is>
      </c>
      <c r="C56" s="20" t="inlineStr">
        <is>
          <t>Comercial / Industrial</t>
        </is>
      </c>
      <c r="D56" s="18" t="inlineStr">
        <is>
          <t>Temporizadores</t>
        </is>
      </c>
      <c r="E56" s="18" t="inlineStr">
        <is>
          <t>U</t>
        </is>
      </c>
      <c r="F56" s="21" t="n">
        <v>2</v>
      </c>
      <c r="G56" s="22" t="n">
        <v>28</v>
      </c>
      <c r="H56" s="22" t="n">
        <v>28.56</v>
      </c>
      <c r="I56" s="18" t="inlineStr">
        <is>
          <t>Megametales</t>
        </is>
      </c>
      <c r="J56" s="22" t="n">
        <v>29.96</v>
      </c>
      <c r="K56" s="18" t="inlineStr">
        <is>
          <t>Ferrisariato</t>
        </is>
      </c>
      <c r="L56" s="8">
        <f>F56*G56</f>
        <v/>
      </c>
      <c r="M56" s="145" t="inlineStr">
        <is>
          <t>IE-D50-INT-TEM</t>
        </is>
      </c>
      <c r="N56" s="18" t="inlineStr">
        <is>
          <t>Instalaciones eléctricas</t>
        </is>
      </c>
      <c r="O56" s="18" t="inlineStr">
        <is>
          <t>Estimado DION · criterio de mercado Guayaquil 2026 (no verificado en tienda)</t>
        </is>
      </c>
      <c r="P56" s="18" t="inlineStr">
        <is>
          <t>oct-2026 (est.)</t>
        </is>
      </c>
      <c r="Q56" s="18" t="n"/>
    </row>
    <row r="57">
      <c r="A57" s="23" t="n">
        <v>42</v>
      </c>
      <c r="B57" s="24" t="inlineStr">
        <is>
          <t xml:space="preserve">        Fotocelda (Fotocontrol) 120-240V 1000W con Base</t>
        </is>
      </c>
      <c r="C57" s="25" t="inlineStr">
        <is>
          <t>Residencial / Comercial / Urb</t>
        </is>
      </c>
      <c r="D57" s="23" t="inlineStr">
        <is>
          <t>Fotoceldas</t>
        </is>
      </c>
      <c r="E57" s="23" t="inlineStr">
        <is>
          <t>U</t>
        </is>
      </c>
      <c r="F57" s="26" t="n">
        <v>4</v>
      </c>
      <c r="G57" s="27" t="n">
        <v>9.5</v>
      </c>
      <c r="H57" s="27" t="n">
        <v>9.880000000000001</v>
      </c>
      <c r="I57" s="23" t="inlineStr">
        <is>
          <t>Megametales</t>
        </is>
      </c>
      <c r="J57" s="27" t="n">
        <v>10.26</v>
      </c>
      <c r="K57" s="23" t="inlineStr">
        <is>
          <t>Kywi / Megakywi</t>
        </is>
      </c>
      <c r="L57" s="28">
        <f>F57*G57</f>
        <v/>
      </c>
      <c r="M57" s="146" t="inlineStr">
        <is>
          <t>IE-D50-INT-FOT</t>
        </is>
      </c>
      <c r="N57" s="23" t="inlineStr">
        <is>
          <t>Instalaciones eléctricas</t>
        </is>
      </c>
      <c r="O57" s="23" t="inlineStr">
        <is>
          <t>Estimado DION · criterio de mercado Guayaquil 2026 (no verificado en tienda)</t>
        </is>
      </c>
      <c r="P57" s="23" t="inlineStr">
        <is>
          <t>oct-2026 (est.)</t>
        </is>
      </c>
      <c r="Q57" s="23" t="n"/>
    </row>
    <row r="58">
      <c r="A58" s="18" t="n">
        <v>43</v>
      </c>
      <c r="B58" s="19" t="inlineStr">
        <is>
          <t xml:space="preserve">        Pulsador de Timbre con Placa + Timbre Ding-Dong</t>
        </is>
      </c>
      <c r="C58" s="20" t="inlineStr">
        <is>
          <t>Residencial</t>
        </is>
      </c>
      <c r="D58" s="18" t="inlineStr">
        <is>
          <t>Pulsadores</t>
        </is>
      </c>
      <c r="E58" s="18" t="inlineStr">
        <is>
          <t>Juego</t>
        </is>
      </c>
      <c r="F58" s="21" t="n">
        <v>1</v>
      </c>
      <c r="G58" s="22" t="n">
        <v>14</v>
      </c>
      <c r="H58" s="22" t="n">
        <v>14.42</v>
      </c>
      <c r="I58" s="18" t="inlineStr">
        <is>
          <t>Megametales</t>
        </is>
      </c>
      <c r="J58" s="22" t="n">
        <v>15.26</v>
      </c>
      <c r="K58" s="18" t="inlineStr">
        <is>
          <t>Ferrisariato</t>
        </is>
      </c>
      <c r="L58" s="8">
        <f>F58*G58</f>
        <v/>
      </c>
      <c r="M58" s="145" t="inlineStr">
        <is>
          <t>IE-D50-INT-PUL</t>
        </is>
      </c>
      <c r="N58" s="18" t="inlineStr">
        <is>
          <t>Instalaciones eléctricas</t>
        </is>
      </c>
      <c r="O58" s="18" t="inlineStr">
        <is>
          <t>Estimado DION · criterio de mercado Guayaquil 2026 (no verificado en tienda)</t>
        </is>
      </c>
      <c r="P58" s="18" t="inlineStr">
        <is>
          <t>oct-2026 (est.)</t>
        </is>
      </c>
      <c r="Q58" s="18" t="n"/>
    </row>
    <row r="59">
      <c r="A59" s="23" t="n">
        <v>44</v>
      </c>
      <c r="B59" s="24" t="inlineStr">
        <is>
          <t xml:space="preserve">        Interruptor Tarjetero de Ahorro Energético (Hotel)</t>
        </is>
      </c>
      <c r="C59" s="25" t="inlineStr">
        <is>
          <t>Hospedaje</t>
        </is>
      </c>
      <c r="D59" s="23" t="inlineStr">
        <is>
          <t>Tarjeteros</t>
        </is>
      </c>
      <c r="E59" s="23" t="inlineStr">
        <is>
          <t>U</t>
        </is>
      </c>
      <c r="F59" s="26" t="n">
        <v>1</v>
      </c>
      <c r="G59" s="27" t="n">
        <v>38</v>
      </c>
      <c r="H59" s="27" t="n">
        <v>38.76</v>
      </c>
      <c r="I59" s="23" t="inlineStr">
        <is>
          <t>Megametales</t>
        </is>
      </c>
      <c r="J59" s="27" t="n">
        <v>41.04</v>
      </c>
      <c r="K59" s="23" t="inlineStr">
        <is>
          <t>Kywi / Megakywi</t>
        </is>
      </c>
      <c r="L59" s="28">
        <f>F59*G59</f>
        <v/>
      </c>
      <c r="M59" s="146" t="inlineStr">
        <is>
          <t>IE-D50-INT-TAR-HOT</t>
        </is>
      </c>
      <c r="N59" s="23" t="inlineStr">
        <is>
          <t>Instalaciones eléctricas</t>
        </is>
      </c>
      <c r="O59" s="23" t="inlineStr">
        <is>
          <t>Estimado DION · criterio de mercado Guayaquil 2026 (no verificado en tienda)</t>
        </is>
      </c>
      <c r="P59" s="23" t="inlineStr">
        <is>
          <t>oct-2026 (est.)</t>
        </is>
      </c>
      <c r="Q59" s="23" t="n"/>
    </row>
    <row r="60">
      <c r="A60" s="18" t="n">
        <v>45</v>
      </c>
      <c r="B60" s="19" t="inlineStr">
        <is>
          <t xml:space="preserve">        Placa Intemperie con Tapa Abatible IP44 1 Módulo</t>
        </is>
      </c>
      <c r="C60" s="20" t="inlineStr">
        <is>
          <t>Residencial / Comercial</t>
        </is>
      </c>
      <c r="D60" s="18" t="inlineStr">
        <is>
          <t>Placas de Pared</t>
        </is>
      </c>
      <c r="E60" s="18" t="inlineStr">
        <is>
          <t>U</t>
        </is>
      </c>
      <c r="F60" s="21" t="n">
        <v>4</v>
      </c>
      <c r="G60" s="22" t="n">
        <v>4.8</v>
      </c>
      <c r="H60" s="22" t="n">
        <v>4.99</v>
      </c>
      <c r="I60" s="18" t="inlineStr">
        <is>
          <t>Megametales</t>
        </is>
      </c>
      <c r="J60" s="22" t="n">
        <v>5.28</v>
      </c>
      <c r="K60" s="18" t="inlineStr">
        <is>
          <t>Ferrisariato</t>
        </is>
      </c>
      <c r="L60" s="8">
        <f>F60*G60</f>
        <v/>
      </c>
      <c r="M60" s="145" t="inlineStr">
        <is>
          <t>IE-D50-INT-PLA-IP44</t>
        </is>
      </c>
      <c r="N60" s="18" t="inlineStr">
        <is>
          <t>Instalaciones eléctricas</t>
        </is>
      </c>
      <c r="O60" s="18" t="inlineStr">
        <is>
          <t>Estimado DION · criterio de mercado Guayaquil 2026 (no verificado en tienda)</t>
        </is>
      </c>
      <c r="P60" s="18" t="inlineStr">
        <is>
          <t>oct-2026 (est.)</t>
        </is>
      </c>
      <c r="Q60" s="18" t="n"/>
    </row>
    <row r="61">
      <c r="A61" s="16" t="inlineStr">
        <is>
          <t xml:space="preserve">  ► CATEGORÍA: FIJACIONES, SOPORTERÍA Y CONSUMIBLES ELÉCTRICOS</t>
        </is>
      </c>
      <c r="B61" s="143" t="n"/>
      <c r="C61" s="143" t="n"/>
      <c r="D61" s="143" t="n"/>
      <c r="E61" s="143" t="n"/>
      <c r="F61" s="143" t="n"/>
      <c r="G61" s="143" t="n"/>
      <c r="H61" s="143" t="n"/>
      <c r="I61" s="143" t="n"/>
      <c r="J61" s="143" t="n"/>
      <c r="K61" s="143" t="n"/>
      <c r="L61" s="143" t="n"/>
      <c r="M61" s="143" t="n"/>
      <c r="N61" s="143" t="n"/>
      <c r="O61" s="143" t="n"/>
      <c r="P61" s="143" t="n"/>
      <c r="Q61" s="144" t="n"/>
    </row>
    <row r="62">
      <c r="A62" s="17" t="inlineStr">
        <is>
          <t xml:space="preserve">      • Subcategoría Especificada: Abrazaderas, Strut, Anclajes, Cintas, Conectores y Terminales</t>
        </is>
      </c>
      <c r="B62" s="143" t="n"/>
      <c r="C62" s="143" t="n"/>
      <c r="D62" s="143" t="n"/>
      <c r="E62" s="143" t="n"/>
      <c r="F62" s="143" t="n"/>
      <c r="G62" s="143" t="n"/>
      <c r="H62" s="143" t="n"/>
      <c r="I62" s="143" t="n"/>
      <c r="J62" s="143" t="n"/>
      <c r="K62" s="143" t="n"/>
      <c r="L62" s="143" t="n"/>
      <c r="M62" s="143" t="n"/>
      <c r="N62" s="143" t="n"/>
      <c r="O62" s="143" t="n"/>
      <c r="P62" s="143" t="n"/>
      <c r="Q62" s="144" t="n"/>
    </row>
    <row r="63">
      <c r="A63" s="23" t="n">
        <v>46</v>
      </c>
      <c r="B63" s="24" t="inlineStr">
        <is>
          <t xml:space="preserve">        Abrazadera EMT 1 Oreja ½"</t>
        </is>
      </c>
      <c r="C63" s="25" t="inlineStr">
        <is>
          <t>Residencial / Comercial / Ind</t>
        </is>
      </c>
      <c r="D63" s="23" t="inlineStr">
        <is>
          <t>Abrazaderas</t>
        </is>
      </c>
      <c r="E63" s="23" t="inlineStr">
        <is>
          <t>U</t>
        </is>
      </c>
      <c r="F63" s="26" t="n">
        <v>50</v>
      </c>
      <c r="G63" s="27" t="n">
        <v>0.1</v>
      </c>
      <c r="H63" s="27" t="n">
        <v>0.1</v>
      </c>
      <c r="I63" s="23" t="inlineStr">
        <is>
          <t>Megametales</t>
        </is>
      </c>
      <c r="J63" s="27" t="n">
        <v>0.11</v>
      </c>
      <c r="K63" s="23" t="inlineStr">
        <is>
          <t>Kywi / Megakywi</t>
        </is>
      </c>
      <c r="L63" s="28">
        <f>F63*G63</f>
        <v/>
      </c>
      <c r="M63" s="146" t="inlineStr">
        <is>
          <t>IE-D50-FIJ-ABR-1O-DN15</t>
        </is>
      </c>
      <c r="N63" s="23" t="inlineStr">
        <is>
          <t>Instalaciones eléctricas</t>
        </is>
      </c>
      <c r="O63" s="23" t="inlineStr">
        <is>
          <t>Estimado DION · criterio de mercado Guayaquil 2026 (no verificado en tienda)</t>
        </is>
      </c>
      <c r="P63" s="23" t="inlineStr">
        <is>
          <t>oct-2026 (est.)</t>
        </is>
      </c>
      <c r="Q63" s="23" t="n"/>
    </row>
    <row r="64">
      <c r="A64" s="18" t="n">
        <v>47</v>
      </c>
      <c r="B64" s="19" t="inlineStr">
        <is>
          <t xml:space="preserve">        Abrazadera EMT 1 Oreja ¾"</t>
        </is>
      </c>
      <c r="C64" s="20" t="inlineStr">
        <is>
          <t>Residencial / Comercial / Ind</t>
        </is>
      </c>
      <c r="D64" s="18" t="inlineStr">
        <is>
          <t>Abrazaderas</t>
        </is>
      </c>
      <c r="E64" s="18" t="inlineStr">
        <is>
          <t>U</t>
        </is>
      </c>
      <c r="F64" s="21" t="n">
        <v>50</v>
      </c>
      <c r="G64" s="22" t="n">
        <v>0.13</v>
      </c>
      <c r="H64" s="22" t="n">
        <v>0.13</v>
      </c>
      <c r="I64" s="18" t="inlineStr">
        <is>
          <t>Megametales</t>
        </is>
      </c>
      <c r="J64" s="22" t="n">
        <v>0.14</v>
      </c>
      <c r="K64" s="18" t="inlineStr">
        <is>
          <t>Ferrisariato</t>
        </is>
      </c>
      <c r="L64" s="8">
        <f>F64*G64</f>
        <v/>
      </c>
      <c r="M64" s="145" t="inlineStr">
        <is>
          <t>IE-D50-FIJ-ABR-1O-DN20</t>
        </is>
      </c>
      <c r="N64" s="18" t="inlineStr">
        <is>
          <t>Instalaciones eléctricas</t>
        </is>
      </c>
      <c r="O64" s="18" t="inlineStr">
        <is>
          <t>Estimado DION · criterio de mercado Guayaquil 2026 (no verificado en tienda)</t>
        </is>
      </c>
      <c r="P64" s="18" t="inlineStr">
        <is>
          <t>oct-2026 (est.)</t>
        </is>
      </c>
      <c r="Q64" s="18" t="n"/>
    </row>
    <row r="65">
      <c r="A65" s="23" t="n">
        <v>48</v>
      </c>
      <c r="B65" s="24" t="inlineStr">
        <is>
          <t xml:space="preserve">        Abrazadera EMT 1 Oreja 1"</t>
        </is>
      </c>
      <c r="C65" s="25" t="inlineStr">
        <is>
          <t>Residencial / Comercial / Ind</t>
        </is>
      </c>
      <c r="D65" s="23" t="inlineStr">
        <is>
          <t>Abrazaderas</t>
        </is>
      </c>
      <c r="E65" s="23" t="inlineStr">
        <is>
          <t>U</t>
        </is>
      </c>
      <c r="F65" s="26" t="n">
        <v>50</v>
      </c>
      <c r="G65" s="27" t="n">
        <v>0.18</v>
      </c>
      <c r="H65" s="27" t="n">
        <v>0.19</v>
      </c>
      <c r="I65" s="23" t="inlineStr">
        <is>
          <t>Megametales</t>
        </is>
      </c>
      <c r="J65" s="27" t="n">
        <v>0.19</v>
      </c>
      <c r="K65" s="23" t="inlineStr">
        <is>
          <t>Kywi / Megakywi</t>
        </is>
      </c>
      <c r="L65" s="28">
        <f>F65*G65</f>
        <v/>
      </c>
      <c r="M65" s="146" t="inlineStr">
        <is>
          <t>IE-D50-FIJ-ABR-1O-DN25</t>
        </is>
      </c>
      <c r="N65" s="23" t="inlineStr">
        <is>
          <t>Instalaciones eléctricas</t>
        </is>
      </c>
      <c r="O65" s="23" t="inlineStr">
        <is>
          <t>Estimado DION · criterio de mercado Guayaquil 2026 (no verificado en tienda)</t>
        </is>
      </c>
      <c r="P65" s="23" t="inlineStr">
        <is>
          <t>oct-2026 (est.)</t>
        </is>
      </c>
      <c r="Q65" s="23" t="n"/>
    </row>
    <row r="66">
      <c r="A66" s="18" t="n">
        <v>49</v>
      </c>
      <c r="B66" s="19" t="inlineStr">
        <is>
          <t xml:space="preserve">        Abrazadera EMT 1 Oreja 1¼"</t>
        </is>
      </c>
      <c r="C66" s="20" t="inlineStr">
        <is>
          <t>Residencial / Comercial / Ind</t>
        </is>
      </c>
      <c r="D66" s="18" t="inlineStr">
        <is>
          <t>Abrazaderas</t>
        </is>
      </c>
      <c r="E66" s="18" t="inlineStr">
        <is>
          <t>U</t>
        </is>
      </c>
      <c r="F66" s="21" t="n">
        <v>50</v>
      </c>
      <c r="G66" s="22" t="n">
        <v>0.28</v>
      </c>
      <c r="H66" s="22" t="n">
        <v>0.29</v>
      </c>
      <c r="I66" s="18" t="inlineStr">
        <is>
          <t>Megametales</t>
        </is>
      </c>
      <c r="J66" s="22" t="n">
        <v>0.3</v>
      </c>
      <c r="K66" s="18" t="inlineStr">
        <is>
          <t>Ferrisariato</t>
        </is>
      </c>
      <c r="L66" s="8">
        <f>F66*G66</f>
        <v/>
      </c>
      <c r="M66" s="145" t="inlineStr">
        <is>
          <t>IE-D50-FIJ-ABR-1O-DN32</t>
        </is>
      </c>
      <c r="N66" s="18" t="inlineStr">
        <is>
          <t>Instalaciones eléctricas</t>
        </is>
      </c>
      <c r="O66" s="18" t="inlineStr">
        <is>
          <t>Estimado DION · criterio de mercado Guayaquil 2026 (no verificado en tienda)</t>
        </is>
      </c>
      <c r="P66" s="18" t="inlineStr">
        <is>
          <t>oct-2026 (est.)</t>
        </is>
      </c>
      <c r="Q66" s="18" t="n"/>
    </row>
    <row r="67">
      <c r="A67" s="23" t="n">
        <v>50</v>
      </c>
      <c r="B67" s="24" t="inlineStr">
        <is>
          <t xml:space="preserve">        Abrazadera EMT 1 Oreja 1½"</t>
        </is>
      </c>
      <c r="C67" s="25" t="inlineStr">
        <is>
          <t>Residencial / Comercial / Ind</t>
        </is>
      </c>
      <c r="D67" s="23" t="inlineStr">
        <is>
          <t>Abrazaderas</t>
        </is>
      </c>
      <c r="E67" s="23" t="inlineStr">
        <is>
          <t>U</t>
        </is>
      </c>
      <c r="F67" s="26" t="n">
        <v>50</v>
      </c>
      <c r="G67" s="27" t="n">
        <v>0.35</v>
      </c>
      <c r="H67" s="27" t="n">
        <v>0.37</v>
      </c>
      <c r="I67" s="23" t="inlineStr">
        <is>
          <t>Megametales</t>
        </is>
      </c>
      <c r="J67" s="27" t="n">
        <v>0.39</v>
      </c>
      <c r="K67" s="23" t="inlineStr">
        <is>
          <t>Kywi / Megakywi</t>
        </is>
      </c>
      <c r="L67" s="28">
        <f>F67*G67</f>
        <v/>
      </c>
      <c r="M67" s="146" t="inlineStr">
        <is>
          <t>IE-D50-FIJ-ABR-1O-DN40</t>
        </is>
      </c>
      <c r="N67" s="23" t="inlineStr">
        <is>
          <t>Instalaciones eléctricas</t>
        </is>
      </c>
      <c r="O67" s="23" t="inlineStr">
        <is>
          <t>Estimado DION · criterio de mercado Guayaquil 2026 (no verificado en tienda)</t>
        </is>
      </c>
      <c r="P67" s="23" t="inlineStr">
        <is>
          <t>oct-2026 (est.)</t>
        </is>
      </c>
      <c r="Q67" s="23" t="n"/>
    </row>
    <row r="68">
      <c r="A68" s="18" t="n">
        <v>51</v>
      </c>
      <c r="B68" s="19" t="inlineStr">
        <is>
          <t xml:space="preserve">        Abrazadera EMT 1 Oreja 2"</t>
        </is>
      </c>
      <c r="C68" s="20" t="inlineStr">
        <is>
          <t>Residencial / Comercial / Ind</t>
        </is>
      </c>
      <c r="D68" s="18" t="inlineStr">
        <is>
          <t>Abrazaderas</t>
        </is>
      </c>
      <c r="E68" s="18" t="inlineStr">
        <is>
          <t>U</t>
        </is>
      </c>
      <c r="F68" s="21" t="n">
        <v>50</v>
      </c>
      <c r="G68" s="22" t="n">
        <v>0.48</v>
      </c>
      <c r="H68" s="22" t="n">
        <v>0.5</v>
      </c>
      <c r="I68" s="18" t="inlineStr">
        <is>
          <t>Megametales</t>
        </is>
      </c>
      <c r="J68" s="22" t="n">
        <v>0.52</v>
      </c>
      <c r="K68" s="18" t="inlineStr">
        <is>
          <t>Ferrisariato</t>
        </is>
      </c>
      <c r="L68" s="8">
        <f>F68*G68</f>
        <v/>
      </c>
      <c r="M68" s="145" t="inlineStr">
        <is>
          <t>IE-D50-FIJ-ABR-1O-DN50</t>
        </is>
      </c>
      <c r="N68" s="18" t="inlineStr">
        <is>
          <t>Instalaciones eléctricas</t>
        </is>
      </c>
      <c r="O68" s="18" t="inlineStr">
        <is>
          <t>Estimado DION · criterio de mercado Guayaquil 2026 (no verificado en tienda)</t>
        </is>
      </c>
      <c r="P68" s="18" t="inlineStr">
        <is>
          <t>oct-2026 (est.)</t>
        </is>
      </c>
      <c r="Q68" s="18" t="n"/>
    </row>
    <row r="69">
      <c r="A69" s="23" t="n">
        <v>52</v>
      </c>
      <c r="B69" s="24" t="inlineStr">
        <is>
          <t xml:space="preserve">        Abrazadera EMT 2 Orejas ½"</t>
        </is>
      </c>
      <c r="C69" s="25" t="inlineStr">
        <is>
          <t>Residencial / Comercial / Ind</t>
        </is>
      </c>
      <c r="D69" s="23" t="inlineStr">
        <is>
          <t>Abrazaderas</t>
        </is>
      </c>
      <c r="E69" s="23" t="inlineStr">
        <is>
          <t>U</t>
        </is>
      </c>
      <c r="F69" s="26" t="n">
        <v>50</v>
      </c>
      <c r="G69" s="27" t="n">
        <v>0.15</v>
      </c>
      <c r="H69" s="27" t="n">
        <v>0.15</v>
      </c>
      <c r="I69" s="23" t="inlineStr">
        <is>
          <t>Megametales</t>
        </is>
      </c>
      <c r="J69" s="27" t="n">
        <v>0.16</v>
      </c>
      <c r="K69" s="23" t="inlineStr">
        <is>
          <t>Kywi / Megakywi</t>
        </is>
      </c>
      <c r="L69" s="28">
        <f>F69*G69</f>
        <v/>
      </c>
      <c r="M69" s="146" t="inlineStr">
        <is>
          <t>IE-D50-FIJ-ABR-2O-DN15</t>
        </is>
      </c>
      <c r="N69" s="23" t="inlineStr">
        <is>
          <t>Instalaciones eléctricas</t>
        </is>
      </c>
      <c r="O69" s="23" t="inlineStr">
        <is>
          <t>Estimado DION · criterio de mercado Guayaquil 2026 (no verificado en tienda)</t>
        </is>
      </c>
      <c r="P69" s="23" t="inlineStr">
        <is>
          <t>oct-2026 (est.)</t>
        </is>
      </c>
      <c r="Q69" s="23" t="n"/>
    </row>
    <row r="70">
      <c r="A70" s="18" t="n">
        <v>53</v>
      </c>
      <c r="B70" s="19" t="inlineStr">
        <is>
          <t xml:space="preserve">        Abrazadera EMT 2 Orejas 1"</t>
        </is>
      </c>
      <c r="C70" s="20" t="inlineStr">
        <is>
          <t>Residencial / Comercial / Ind</t>
        </is>
      </c>
      <c r="D70" s="18" t="inlineStr">
        <is>
          <t>Abrazaderas</t>
        </is>
      </c>
      <c r="E70" s="18" t="inlineStr">
        <is>
          <t>U</t>
        </is>
      </c>
      <c r="F70" s="21" t="n">
        <v>50</v>
      </c>
      <c r="G70" s="22" t="n">
        <v>0.28</v>
      </c>
      <c r="H70" s="22" t="n">
        <v>0.29</v>
      </c>
      <c r="I70" s="18" t="inlineStr">
        <is>
          <t>Megametales</t>
        </is>
      </c>
      <c r="J70" s="22" t="n">
        <v>0.31</v>
      </c>
      <c r="K70" s="18" t="inlineStr">
        <is>
          <t>Ferrisariato</t>
        </is>
      </c>
      <c r="L70" s="8">
        <f>F70*G70</f>
        <v/>
      </c>
      <c r="M70" s="145" t="inlineStr">
        <is>
          <t>IE-D50-FIJ-ABR-2O-DN25</t>
        </is>
      </c>
      <c r="N70" s="18" t="inlineStr">
        <is>
          <t>Instalaciones eléctricas</t>
        </is>
      </c>
      <c r="O70" s="18" t="inlineStr">
        <is>
          <t>Estimado DION · criterio de mercado Guayaquil 2026 (no verificado en tienda)</t>
        </is>
      </c>
      <c r="P70" s="18" t="inlineStr">
        <is>
          <t>oct-2026 (est.)</t>
        </is>
      </c>
      <c r="Q70" s="18" t="n"/>
    </row>
    <row r="71">
      <c r="A71" s="23" t="n">
        <v>54</v>
      </c>
      <c r="B71" s="24" t="inlineStr">
        <is>
          <t xml:space="preserve">        Abrazadera EMT 2 Orejas 1½"</t>
        </is>
      </c>
      <c r="C71" s="25" t="inlineStr">
        <is>
          <t>Residencial / Comercial / Ind</t>
        </is>
      </c>
      <c r="D71" s="23" t="inlineStr">
        <is>
          <t>Abrazaderas</t>
        </is>
      </c>
      <c r="E71" s="23" t="inlineStr">
        <is>
          <t>U</t>
        </is>
      </c>
      <c r="F71" s="26" t="n">
        <v>50</v>
      </c>
      <c r="G71" s="27" t="n">
        <v>0.48</v>
      </c>
      <c r="H71" s="27" t="n">
        <v>0.5</v>
      </c>
      <c r="I71" s="23" t="inlineStr">
        <is>
          <t>Megametales</t>
        </is>
      </c>
      <c r="J71" s="27" t="n">
        <v>0.53</v>
      </c>
      <c r="K71" s="23" t="inlineStr">
        <is>
          <t>Kywi / Megakywi</t>
        </is>
      </c>
      <c r="L71" s="28">
        <f>F71*G71</f>
        <v/>
      </c>
      <c r="M71" s="146" t="inlineStr">
        <is>
          <t>IE-D50-FIJ-ABR-2O-DN40</t>
        </is>
      </c>
      <c r="N71" s="23" t="inlineStr">
        <is>
          <t>Instalaciones eléctricas</t>
        </is>
      </c>
      <c r="O71" s="23" t="inlineStr">
        <is>
          <t>Estimado DION · criterio de mercado Guayaquil 2026 (no verificado en tienda)</t>
        </is>
      </c>
      <c r="P71" s="23" t="inlineStr">
        <is>
          <t>oct-2026 (est.)</t>
        </is>
      </c>
      <c r="Q71" s="23" t="n"/>
    </row>
    <row r="72">
      <c r="A72" s="18" t="n">
        <v>55</v>
      </c>
      <c r="B72" s="19" t="inlineStr">
        <is>
          <t xml:space="preserve">        Abrazadera EMT 2 Orejas 2"</t>
        </is>
      </c>
      <c r="C72" s="20" t="inlineStr">
        <is>
          <t>Residencial / Comercial / Ind</t>
        </is>
      </c>
      <c r="D72" s="18" t="inlineStr">
        <is>
          <t>Abrazaderas</t>
        </is>
      </c>
      <c r="E72" s="18" t="inlineStr">
        <is>
          <t>U</t>
        </is>
      </c>
      <c r="F72" s="21" t="n">
        <v>50</v>
      </c>
      <c r="G72" s="22" t="n">
        <v>0.62</v>
      </c>
      <c r="H72" s="22" t="n">
        <v>0.64</v>
      </c>
      <c r="I72" s="18" t="inlineStr">
        <is>
          <t>Megametales</t>
        </is>
      </c>
      <c r="J72" s="22" t="n">
        <v>0.66</v>
      </c>
      <c r="K72" s="18" t="inlineStr">
        <is>
          <t>Ferrisariato</t>
        </is>
      </c>
      <c r="L72" s="8">
        <f>F72*G72</f>
        <v/>
      </c>
      <c r="M72" s="145" t="inlineStr">
        <is>
          <t>IE-D50-FIJ-ABR-2O-DN50</t>
        </is>
      </c>
      <c r="N72" s="18" t="inlineStr">
        <is>
          <t>Instalaciones eléctricas</t>
        </is>
      </c>
      <c r="O72" s="18" t="inlineStr">
        <is>
          <t>Estimado DION · criterio de mercado Guayaquil 2026 (no verificado en tienda)</t>
        </is>
      </c>
      <c r="P72" s="18" t="inlineStr">
        <is>
          <t>oct-2026 (est.)</t>
        </is>
      </c>
      <c r="Q72" s="18" t="n"/>
    </row>
    <row r="73">
      <c r="A73" s="23" t="n">
        <v>56</v>
      </c>
      <c r="B73" s="24" t="inlineStr">
        <is>
          <t xml:space="preserve">        Abrazadera EMT 2 Orejas 3"</t>
        </is>
      </c>
      <c r="C73" s="25" t="inlineStr">
        <is>
          <t>Residencial / Comercial / Ind</t>
        </is>
      </c>
      <c r="D73" s="23" t="inlineStr">
        <is>
          <t>Abrazaderas</t>
        </is>
      </c>
      <c r="E73" s="23" t="inlineStr">
        <is>
          <t>U</t>
        </is>
      </c>
      <c r="F73" s="26" t="n">
        <v>50</v>
      </c>
      <c r="G73" s="27" t="n">
        <v>1.35</v>
      </c>
      <c r="H73" s="27" t="n">
        <v>1.4</v>
      </c>
      <c r="I73" s="23" t="inlineStr">
        <is>
          <t>Megametales</t>
        </is>
      </c>
      <c r="J73" s="27" t="n">
        <v>1.49</v>
      </c>
      <c r="K73" s="23" t="inlineStr">
        <is>
          <t>Kywi / Megakywi</t>
        </is>
      </c>
      <c r="L73" s="28">
        <f>F73*G73</f>
        <v/>
      </c>
      <c r="M73" s="146" t="inlineStr">
        <is>
          <t>IE-D50-FIJ-ABR-2O-DN80</t>
        </is>
      </c>
      <c r="N73" s="23" t="inlineStr">
        <is>
          <t>Instalaciones eléctricas</t>
        </is>
      </c>
      <c r="O73" s="23" t="inlineStr">
        <is>
          <t>Estimado DION · criterio de mercado Guayaquil 2026 (no verificado en tienda)</t>
        </is>
      </c>
      <c r="P73" s="23" t="inlineStr">
        <is>
          <t>oct-2026 (est.)</t>
        </is>
      </c>
      <c r="Q73" s="23" t="n"/>
    </row>
    <row r="74">
      <c r="A74" s="18" t="n">
        <v>57</v>
      </c>
      <c r="B74" s="19" t="inlineStr">
        <is>
          <t xml:space="preserve">        Abrazadera EMT 2 Orejas 4"</t>
        </is>
      </c>
      <c r="C74" s="20" t="inlineStr">
        <is>
          <t>Residencial / Comercial / Ind</t>
        </is>
      </c>
      <c r="D74" s="18" t="inlineStr">
        <is>
          <t>Abrazaderas</t>
        </is>
      </c>
      <c r="E74" s="18" t="inlineStr">
        <is>
          <t>U</t>
        </is>
      </c>
      <c r="F74" s="21" t="n">
        <v>50</v>
      </c>
      <c r="G74" s="22" t="n">
        <v>1.9</v>
      </c>
      <c r="H74" s="22" t="n">
        <v>1.98</v>
      </c>
      <c r="I74" s="18" t="inlineStr">
        <is>
          <t>Megametales</t>
        </is>
      </c>
      <c r="J74" s="22" t="n">
        <v>2.03</v>
      </c>
      <c r="K74" s="18" t="inlineStr">
        <is>
          <t>Ferrisariato</t>
        </is>
      </c>
      <c r="L74" s="8">
        <f>F74*G74</f>
        <v/>
      </c>
      <c r="M74" s="145" t="inlineStr">
        <is>
          <t>IE-D50-FIJ-ABR-2O-DN100</t>
        </is>
      </c>
      <c r="N74" s="18" t="inlineStr">
        <is>
          <t>Instalaciones eléctricas</t>
        </is>
      </c>
      <c r="O74" s="18" t="inlineStr">
        <is>
          <t>Estimado DION · criterio de mercado Guayaquil 2026 (no verificado en tienda)</t>
        </is>
      </c>
      <c r="P74" s="18" t="inlineStr">
        <is>
          <t>oct-2026 (est.)</t>
        </is>
      </c>
      <c r="Q74" s="18" t="n"/>
    </row>
    <row r="75">
      <c r="A75" s="23" t="n">
        <v>58</v>
      </c>
      <c r="B75" s="24" t="inlineStr">
        <is>
          <t xml:space="preserve">        Canal Strut (Unistrut) Galvanizado 41x41 mm (3 m)</t>
        </is>
      </c>
      <c r="C75" s="25" t="inlineStr">
        <is>
          <t>Comercial / Industrial</t>
        </is>
      </c>
      <c r="D75" s="23" t="inlineStr">
        <is>
          <t>Soportería Strut</t>
        </is>
      </c>
      <c r="E75" s="23" t="inlineStr">
        <is>
          <t>U</t>
        </is>
      </c>
      <c r="F75" s="26" t="n">
        <v>6</v>
      </c>
      <c r="G75" s="27" t="n">
        <v>19.5</v>
      </c>
      <c r="H75" s="27" t="n">
        <v>20.28</v>
      </c>
      <c r="I75" s="23" t="inlineStr">
        <is>
          <t>Megametales</t>
        </is>
      </c>
      <c r="J75" s="27" t="n">
        <v>21.65</v>
      </c>
      <c r="K75" s="23" t="inlineStr">
        <is>
          <t>Kywi / Megakywi</t>
        </is>
      </c>
      <c r="L75" s="28">
        <f>F75*G75</f>
        <v/>
      </c>
      <c r="M75" s="146" t="inlineStr">
        <is>
          <t>IE-D50-FIJ-STR-41X41</t>
        </is>
      </c>
      <c r="N75" s="23" t="inlineStr">
        <is>
          <t>Instalaciones eléctricas</t>
        </is>
      </c>
      <c r="O75" s="23" t="inlineStr">
        <is>
          <t>Estimado DION · criterio de mercado Guayaquil 2026 (no verificado en tienda)</t>
        </is>
      </c>
      <c r="P75" s="23" t="inlineStr">
        <is>
          <t>oct-2026 (est.)</t>
        </is>
      </c>
      <c r="Q75" s="23" t="n"/>
    </row>
    <row r="76">
      <c r="A76" s="18" t="n">
        <v>59</v>
      </c>
      <c r="B76" s="19" t="inlineStr">
        <is>
          <t xml:space="preserve">        Abrazadera Strut para Tubo ¾"-2"</t>
        </is>
      </c>
      <c r="C76" s="20" t="inlineStr">
        <is>
          <t>Comercial / Industrial</t>
        </is>
      </c>
      <c r="D76" s="18" t="inlineStr">
        <is>
          <t>Soportería Strut</t>
        </is>
      </c>
      <c r="E76" s="18" t="inlineStr">
        <is>
          <t>U</t>
        </is>
      </c>
      <c r="F76" s="21" t="n">
        <v>30</v>
      </c>
      <c r="G76" s="22" t="n">
        <v>0.85</v>
      </c>
      <c r="H76" s="22" t="n">
        <v>0.87</v>
      </c>
      <c r="I76" s="18" t="inlineStr">
        <is>
          <t>Megametales</t>
        </is>
      </c>
      <c r="J76" s="22" t="n">
        <v>0.92</v>
      </c>
      <c r="K76" s="18" t="inlineStr">
        <is>
          <t>Ferrisariato</t>
        </is>
      </c>
      <c r="L76" s="8">
        <f>F76*G76</f>
        <v/>
      </c>
      <c r="M76" s="145" t="inlineStr">
        <is>
          <t>IE-D50-FIJ-STR-ABR</t>
        </is>
      </c>
      <c r="N76" s="18" t="inlineStr">
        <is>
          <t>Instalaciones eléctricas</t>
        </is>
      </c>
      <c r="O76" s="18" t="inlineStr">
        <is>
          <t>Estimado DION · criterio de mercado Guayaquil 2026 (no verificado en tienda)</t>
        </is>
      </c>
      <c r="P76" s="18" t="inlineStr">
        <is>
          <t>oct-2026 (est.)</t>
        </is>
      </c>
      <c r="Q76" s="18" t="n"/>
    </row>
    <row r="77">
      <c r="A77" s="23" t="n">
        <v>60</v>
      </c>
      <c r="B77" s="24" t="inlineStr">
        <is>
          <t xml:space="preserve">        Varilla Roscada Galvanizada ⅜" x 1 m</t>
        </is>
      </c>
      <c r="C77" s="25" t="inlineStr">
        <is>
          <t>Comercial / Industrial</t>
        </is>
      </c>
      <c r="D77" s="23" t="inlineStr">
        <is>
          <t>Soportería</t>
        </is>
      </c>
      <c r="E77" s="23" t="inlineStr">
        <is>
          <t>U</t>
        </is>
      </c>
      <c r="F77" s="26" t="n">
        <v>20</v>
      </c>
      <c r="G77" s="27" t="n">
        <v>1.65</v>
      </c>
      <c r="H77" s="27" t="n">
        <v>1.73</v>
      </c>
      <c r="I77" s="23" t="inlineStr">
        <is>
          <t>Megametales</t>
        </is>
      </c>
      <c r="J77" s="27" t="n">
        <v>1.81</v>
      </c>
      <c r="K77" s="23" t="inlineStr">
        <is>
          <t>Kywi / Megakywi</t>
        </is>
      </c>
      <c r="L77" s="28">
        <f>F77*G77</f>
        <v/>
      </c>
      <c r="M77" s="146" t="inlineStr">
        <is>
          <t>IE-D50-FIJ-VRO-10</t>
        </is>
      </c>
      <c r="N77" s="23" t="inlineStr">
        <is>
          <t>Instalaciones eléctricas</t>
        </is>
      </c>
      <c r="O77" s="23" t="inlineStr">
        <is>
          <t>Estimado DION · criterio de mercado Guayaquil 2026 (no verificado en tienda)</t>
        </is>
      </c>
      <c r="P77" s="23" t="inlineStr">
        <is>
          <t>oct-2026 (est.)</t>
        </is>
      </c>
      <c r="Q77" s="23" t="n"/>
    </row>
    <row r="78">
      <c r="A78" s="18" t="n">
        <v>61</v>
      </c>
      <c r="B78" s="19" t="inlineStr">
        <is>
          <t xml:space="preserve">        Taco Expansivo Metálico ⅜" con Perno (Anclaje Losa)</t>
        </is>
      </c>
      <c r="C78" s="20" t="inlineStr">
        <is>
          <t>Comercial / Industrial</t>
        </is>
      </c>
      <c r="D78" s="18" t="inlineStr">
        <is>
          <t>Anclajes</t>
        </is>
      </c>
      <c r="E78" s="18" t="inlineStr">
        <is>
          <t>U</t>
        </is>
      </c>
      <c r="F78" s="21" t="n">
        <v>40</v>
      </c>
      <c r="G78" s="22" t="n">
        <v>0.45</v>
      </c>
      <c r="H78" s="22" t="n">
        <v>0.46</v>
      </c>
      <c r="I78" s="18" t="inlineStr">
        <is>
          <t>Megametales</t>
        </is>
      </c>
      <c r="J78" s="22" t="n">
        <v>0.48</v>
      </c>
      <c r="K78" s="18" t="inlineStr">
        <is>
          <t>Ferrisariato</t>
        </is>
      </c>
      <c r="L78" s="8">
        <f>F78*G78</f>
        <v/>
      </c>
      <c r="M78" s="145" t="inlineStr">
        <is>
          <t>IE-D50-FIJ-TAC-10</t>
        </is>
      </c>
      <c r="N78" s="18" t="inlineStr">
        <is>
          <t>Instalaciones eléctricas</t>
        </is>
      </c>
      <c r="O78" s="18" t="inlineStr">
        <is>
          <t>Estimado DION · criterio de mercado Guayaquil 2026 (no verificado en tienda)</t>
        </is>
      </c>
      <c r="P78" s="18" t="inlineStr">
        <is>
          <t>oct-2026 (est.)</t>
        </is>
      </c>
      <c r="Q78" s="18" t="n"/>
    </row>
    <row r="79">
      <c r="A79" s="23" t="n">
        <v>62</v>
      </c>
      <c r="B79" s="24" t="inlineStr">
        <is>
          <t xml:space="preserve">        Taco Fisher Plástico #8 + Tornillo (Ciento)</t>
        </is>
      </c>
      <c r="C79" s="25" t="inlineStr">
        <is>
          <t>Residencial / Comercial</t>
        </is>
      </c>
      <c r="D79" s="23" t="inlineStr">
        <is>
          <t>Anclajes</t>
        </is>
      </c>
      <c r="E79" s="23" t="inlineStr">
        <is>
          <t>Ciento</t>
        </is>
      </c>
      <c r="F79" s="26" t="n">
        <v>2</v>
      </c>
      <c r="G79" s="27" t="n">
        <v>3.2</v>
      </c>
      <c r="H79" s="27" t="n">
        <v>3.33</v>
      </c>
      <c r="I79" s="23" t="inlineStr">
        <is>
          <t>Megametales</t>
        </is>
      </c>
      <c r="J79" s="27" t="n">
        <v>3.49</v>
      </c>
      <c r="K79" s="23" t="inlineStr">
        <is>
          <t>Kywi / Megakywi</t>
        </is>
      </c>
      <c r="L79" s="28">
        <f>F79*G79</f>
        <v/>
      </c>
      <c r="M79" s="146" t="inlineStr">
        <is>
          <t>IE-D50-FIJ-TAC-F8</t>
        </is>
      </c>
      <c r="N79" s="23" t="inlineStr">
        <is>
          <t>Instalaciones eléctricas</t>
        </is>
      </c>
      <c r="O79" s="23" t="inlineStr">
        <is>
          <t>Estimado DION · criterio de mercado Guayaquil 2026 (no verificado en tienda)</t>
        </is>
      </c>
      <c r="P79" s="23" t="inlineStr">
        <is>
          <t>oct-2026 (est.)</t>
        </is>
      </c>
      <c r="Q79" s="23" t="n"/>
    </row>
    <row r="80">
      <c r="A80" s="18" t="n">
        <v>63</v>
      </c>
      <c r="B80" s="19" t="inlineStr">
        <is>
          <t xml:space="preserve">        Cinta Aislante PVC 3M Temflex 19mm x 20m</t>
        </is>
      </c>
      <c r="C80" s="20" t="inlineStr">
        <is>
          <t>Residencial / Comercial / Ind</t>
        </is>
      </c>
      <c r="D80" s="18" t="inlineStr">
        <is>
          <t>Cintas Aislantes</t>
        </is>
      </c>
      <c r="E80" s="18" t="inlineStr">
        <is>
          <t>U</t>
        </is>
      </c>
      <c r="F80" s="21" t="n">
        <v>12</v>
      </c>
      <c r="G80" s="22" t="n">
        <v>0.95</v>
      </c>
      <c r="H80" s="22" t="n">
        <v>0.98</v>
      </c>
      <c r="I80" s="18" t="inlineStr">
        <is>
          <t>Megametales</t>
        </is>
      </c>
      <c r="J80" s="22" t="n">
        <v>1.02</v>
      </c>
      <c r="K80" s="18" t="inlineStr">
        <is>
          <t>Ferrisariato</t>
        </is>
      </c>
      <c r="L80" s="8">
        <f>F80*G80</f>
        <v/>
      </c>
      <c r="M80" s="145" t="inlineStr">
        <is>
          <t>IE-D50-FIJ-CIN-PVC</t>
        </is>
      </c>
      <c r="N80" s="18" t="inlineStr">
        <is>
          <t>Instalaciones eléctricas</t>
        </is>
      </c>
      <c r="O80" s="18" t="inlineStr">
        <is>
          <t>Estimado DION · criterio de mercado Guayaquil 2026 (no verificado en tienda)</t>
        </is>
      </c>
      <c r="P80" s="18" t="inlineStr">
        <is>
          <t>oct-2026 (est.)</t>
        </is>
      </c>
      <c r="Q80" s="18" t="n"/>
    </row>
    <row r="81">
      <c r="A81" s="23" t="n">
        <v>64</v>
      </c>
      <c r="B81" s="24" t="inlineStr">
        <is>
          <t xml:space="preserve">        Cinta Aislante Profesional 3M Super 33+ 19mm x 20m</t>
        </is>
      </c>
      <c r="C81" s="25" t="inlineStr">
        <is>
          <t>Comercial / Industrial</t>
        </is>
      </c>
      <c r="D81" s="23" t="inlineStr">
        <is>
          <t>Cintas Aislantes</t>
        </is>
      </c>
      <c r="E81" s="23" t="inlineStr">
        <is>
          <t>U</t>
        </is>
      </c>
      <c r="F81" s="26" t="n">
        <v>6</v>
      </c>
      <c r="G81" s="27" t="n">
        <v>6.5</v>
      </c>
      <c r="H81" s="27" t="n">
        <v>6.7</v>
      </c>
      <c r="I81" s="23" t="inlineStr">
        <is>
          <t>Megametales</t>
        </is>
      </c>
      <c r="J81" s="27" t="n">
        <v>7.09</v>
      </c>
      <c r="K81" s="23" t="inlineStr">
        <is>
          <t>Kywi / Megakywi</t>
        </is>
      </c>
      <c r="L81" s="28">
        <f>F81*G81</f>
        <v/>
      </c>
      <c r="M81" s="146" t="inlineStr">
        <is>
          <t>IE-D50-FIJ-CIN-S33</t>
        </is>
      </c>
      <c r="N81" s="23" t="inlineStr">
        <is>
          <t>Instalaciones eléctricas</t>
        </is>
      </c>
      <c r="O81" s="23" t="inlineStr">
        <is>
          <t>Estimado DION · criterio de mercado Guayaquil 2026 (no verificado en tienda)</t>
        </is>
      </c>
      <c r="P81" s="23" t="inlineStr">
        <is>
          <t>oct-2026 (est.)</t>
        </is>
      </c>
      <c r="Q81" s="23" t="n"/>
    </row>
    <row r="82">
      <c r="A82" s="18" t="n">
        <v>65</v>
      </c>
      <c r="B82" s="19" t="inlineStr">
        <is>
          <t xml:space="preserve">        Cinta Autofundente de Caucho 3M 23 19mm x 9m</t>
        </is>
      </c>
      <c r="C82" s="20" t="inlineStr">
        <is>
          <t>Comercial / Industrial</t>
        </is>
      </c>
      <c r="D82" s="18" t="inlineStr">
        <is>
          <t>Cintas Aislantes</t>
        </is>
      </c>
      <c r="E82" s="18" t="inlineStr">
        <is>
          <t>U</t>
        </is>
      </c>
      <c r="F82" s="21" t="n">
        <v>4</v>
      </c>
      <c r="G82" s="22" t="n">
        <v>11.5</v>
      </c>
      <c r="H82" s="22" t="n">
        <v>11.85</v>
      </c>
      <c r="I82" s="18" t="inlineStr">
        <is>
          <t>Megametales</t>
        </is>
      </c>
      <c r="J82" s="22" t="n">
        <v>12.31</v>
      </c>
      <c r="K82" s="18" t="inlineStr">
        <is>
          <t>Ferrisariato</t>
        </is>
      </c>
      <c r="L82" s="8">
        <f>F82*G82</f>
        <v/>
      </c>
      <c r="M82" s="145" t="inlineStr">
        <is>
          <t>IE-D50-FIJ-CIN-AUT</t>
        </is>
      </c>
      <c r="N82" s="18" t="inlineStr">
        <is>
          <t>Instalaciones eléctricas</t>
        </is>
      </c>
      <c r="O82" s="18" t="inlineStr">
        <is>
          <t>Estimado DION · criterio de mercado Guayaquil 2026 (no verificado en tienda)</t>
        </is>
      </c>
      <c r="P82" s="18" t="inlineStr">
        <is>
          <t>oct-2026 (est.)</t>
        </is>
      </c>
      <c r="Q82" s="18" t="n"/>
    </row>
    <row r="83">
      <c r="A83" s="23" t="n">
        <v>66</v>
      </c>
      <c r="B83" s="24" t="inlineStr">
        <is>
          <t xml:space="preserve">        Amarras Plásticas 20 cm Negras UV (Funda 100u)</t>
        </is>
      </c>
      <c r="C83" s="25" t="inlineStr">
        <is>
          <t>Residencial / Comercial / Ind</t>
        </is>
      </c>
      <c r="D83" s="23" t="inlineStr">
        <is>
          <t>Amarras</t>
        </is>
      </c>
      <c r="E83" s="23" t="inlineStr">
        <is>
          <t>Funda</t>
        </is>
      </c>
      <c r="F83" s="26" t="n">
        <v>4</v>
      </c>
      <c r="G83" s="27" t="n">
        <v>2.6</v>
      </c>
      <c r="H83" s="27" t="n">
        <v>2.68</v>
      </c>
      <c r="I83" s="23" t="inlineStr">
        <is>
          <t>Megametales</t>
        </is>
      </c>
      <c r="J83" s="27" t="n">
        <v>2.89</v>
      </c>
      <c r="K83" s="23" t="inlineStr">
        <is>
          <t>Kywi / Megakywi</t>
        </is>
      </c>
      <c r="L83" s="28">
        <f>F83*G83</f>
        <v/>
      </c>
      <c r="M83" s="146" t="inlineStr">
        <is>
          <t>IE-D50-FIJ-AMA-200</t>
        </is>
      </c>
      <c r="N83" s="23" t="inlineStr">
        <is>
          <t>Instalaciones eléctricas</t>
        </is>
      </c>
      <c r="O83" s="23" t="inlineStr">
        <is>
          <t>Estimado DION · criterio de mercado Guayaquil 2026 (no verificado en tienda)</t>
        </is>
      </c>
      <c r="P83" s="23" t="inlineStr">
        <is>
          <t>oct-2026 (est.)</t>
        </is>
      </c>
      <c r="Q83" s="23" t="n"/>
    </row>
    <row r="84">
      <c r="A84" s="18" t="n">
        <v>67</v>
      </c>
      <c r="B84" s="19" t="inlineStr">
        <is>
          <t xml:space="preserve">        Conector de Resorte (Capuchón) Wirenut #12-#10 (Funda 100u)</t>
        </is>
      </c>
      <c r="C84" s="20" t="inlineStr">
        <is>
          <t>Residencial / Comercial</t>
        </is>
      </c>
      <c r="D84" s="18" t="inlineStr">
        <is>
          <t>Conectores</t>
        </is>
      </c>
      <c r="E84" s="18" t="inlineStr">
        <is>
          <t>Funda</t>
        </is>
      </c>
      <c r="F84" s="21" t="n">
        <v>2</v>
      </c>
      <c r="G84" s="22" t="n">
        <v>8.5</v>
      </c>
      <c r="H84" s="22" t="n">
        <v>8.76</v>
      </c>
      <c r="I84" s="18" t="inlineStr">
        <is>
          <t>Megametales</t>
        </is>
      </c>
      <c r="J84" s="22" t="n">
        <v>9.1</v>
      </c>
      <c r="K84" s="18" t="inlineStr">
        <is>
          <t>Ferrisariato</t>
        </is>
      </c>
      <c r="L84" s="8">
        <f>F84*G84</f>
        <v/>
      </c>
      <c r="M84" s="145" t="inlineStr">
        <is>
          <t>IE-D50-FIJ-CAP-12</t>
        </is>
      </c>
      <c r="N84" s="18" t="inlineStr">
        <is>
          <t>Instalaciones eléctricas</t>
        </is>
      </c>
      <c r="O84" s="18" t="inlineStr">
        <is>
          <t>Estimado DION · criterio de mercado Guayaquil 2026 (no verificado en tienda)</t>
        </is>
      </c>
      <c r="P84" s="18" t="inlineStr">
        <is>
          <t>oct-2026 (est.)</t>
        </is>
      </c>
      <c r="Q84" s="18" t="n"/>
    </row>
    <row r="85">
      <c r="A85" s="23" t="n">
        <v>68</v>
      </c>
      <c r="B85" s="24" t="inlineStr">
        <is>
          <t xml:space="preserve">        Conector Rápido Palanca tipo Wago 3 Polos</t>
        </is>
      </c>
      <c r="C85" s="25" t="inlineStr">
        <is>
          <t>Residencial / Comercial</t>
        </is>
      </c>
      <c r="D85" s="23" t="inlineStr">
        <is>
          <t>Conectores</t>
        </is>
      </c>
      <c r="E85" s="23" t="inlineStr">
        <is>
          <t>U</t>
        </is>
      </c>
      <c r="F85" s="26" t="n">
        <v>40</v>
      </c>
      <c r="G85" s="27" t="n">
        <v>0.75</v>
      </c>
      <c r="H85" s="27" t="n">
        <v>0.77</v>
      </c>
      <c r="I85" s="23" t="inlineStr">
        <is>
          <t>Megametales</t>
        </is>
      </c>
      <c r="J85" s="27" t="n">
        <v>0.8100000000000001</v>
      </c>
      <c r="K85" s="23" t="inlineStr">
        <is>
          <t>Kywi / Megakywi</t>
        </is>
      </c>
      <c r="L85" s="28">
        <f>F85*G85</f>
        <v/>
      </c>
      <c r="M85" s="146" t="inlineStr">
        <is>
          <t>IE-D50-FIJ-WAG-3P</t>
        </is>
      </c>
      <c r="N85" s="23" t="inlineStr">
        <is>
          <t>Instalaciones eléctricas</t>
        </is>
      </c>
      <c r="O85" s="23" t="inlineStr">
        <is>
          <t>Estimado DION · criterio de mercado Guayaquil 2026 (no verificado en tienda)</t>
        </is>
      </c>
      <c r="P85" s="23" t="inlineStr">
        <is>
          <t>oct-2026 (est.)</t>
        </is>
      </c>
      <c r="Q85" s="23" t="n"/>
    </row>
    <row r="86">
      <c r="A86" s="18" t="n">
        <v>69</v>
      </c>
      <c r="B86" s="19" t="inlineStr">
        <is>
          <t xml:space="preserve">        Terminal de Ojo de Cobre Estañado #10-#8 AWG</t>
        </is>
      </c>
      <c r="C86" s="20" t="inlineStr">
        <is>
          <t>Comercial / Industrial</t>
        </is>
      </c>
      <c r="D86" s="18" t="inlineStr">
        <is>
          <t>Terminales</t>
        </is>
      </c>
      <c r="E86" s="18" t="inlineStr">
        <is>
          <t>U</t>
        </is>
      </c>
      <c r="F86" s="21" t="n">
        <v>40</v>
      </c>
      <c r="G86" s="22" t="n">
        <v>0.3</v>
      </c>
      <c r="H86" s="22" t="n">
        <v>0.31</v>
      </c>
      <c r="I86" s="18" t="inlineStr">
        <is>
          <t>Megametales</t>
        </is>
      </c>
      <c r="J86" s="22" t="n">
        <v>0.33</v>
      </c>
      <c r="K86" s="18" t="inlineStr">
        <is>
          <t>Ferrisariato</t>
        </is>
      </c>
      <c r="L86" s="8">
        <f>F86*G86</f>
        <v/>
      </c>
      <c r="M86" s="145" t="inlineStr">
        <is>
          <t>IE-D50-FIJ-TER-OJO</t>
        </is>
      </c>
      <c r="N86" s="18" t="inlineStr">
        <is>
          <t>Instalaciones eléctricas</t>
        </is>
      </c>
      <c r="O86" s="18" t="inlineStr">
        <is>
          <t>Estimado DION · criterio de mercado Guayaquil 2026 (no verificado en tienda)</t>
        </is>
      </c>
      <c r="P86" s="18" t="inlineStr">
        <is>
          <t>oct-2026 (est.)</t>
        </is>
      </c>
      <c r="Q86" s="18" t="n"/>
    </row>
    <row r="87">
      <c r="A87" s="23" t="n">
        <v>70</v>
      </c>
      <c r="B87" s="24" t="inlineStr">
        <is>
          <t xml:space="preserve">        Terminal de Compresión Cobre 1 Hueco 1/0-4/0 AWG</t>
        </is>
      </c>
      <c r="C87" s="25" t="inlineStr">
        <is>
          <t>Industrial</t>
        </is>
      </c>
      <c r="D87" s="23" t="inlineStr">
        <is>
          <t>Terminales</t>
        </is>
      </c>
      <c r="E87" s="23" t="inlineStr">
        <is>
          <t>U</t>
        </is>
      </c>
      <c r="F87" s="26" t="n">
        <v>12</v>
      </c>
      <c r="G87" s="27" t="n">
        <v>3.8</v>
      </c>
      <c r="H87" s="27" t="n">
        <v>3.99</v>
      </c>
      <c r="I87" s="23" t="inlineStr">
        <is>
          <t>Megametales</t>
        </is>
      </c>
      <c r="J87" s="27" t="n">
        <v>4.1</v>
      </c>
      <c r="K87" s="23" t="inlineStr">
        <is>
          <t>Kywi / Megakywi</t>
        </is>
      </c>
      <c r="L87" s="28">
        <f>F87*G87</f>
        <v/>
      </c>
      <c r="M87" s="146" t="inlineStr">
        <is>
          <t>IE-D50-FIJ-TER-COM</t>
        </is>
      </c>
      <c r="N87" s="23" t="inlineStr">
        <is>
          <t>Instalaciones eléctricas</t>
        </is>
      </c>
      <c r="O87" s="23" t="inlineStr">
        <is>
          <t>Estimado DION · criterio de mercado Guayaquil 2026 (no verificado en tienda)</t>
        </is>
      </c>
      <c r="P87" s="23" t="inlineStr">
        <is>
          <t>oct-2026 (est.)</t>
        </is>
      </c>
      <c r="Q87" s="23" t="n"/>
    </row>
    <row r="88">
      <c r="A88" s="18" t="n">
        <v>71</v>
      </c>
      <c r="B88" s="19" t="inlineStr">
        <is>
          <t xml:space="preserve">        Conector Partido Split-Bolt Cobre #2 AWG</t>
        </is>
      </c>
      <c r="C88" s="20" t="inlineStr">
        <is>
          <t>Comercial / Industrial</t>
        </is>
      </c>
      <c r="D88" s="18" t="inlineStr">
        <is>
          <t>Conectores</t>
        </is>
      </c>
      <c r="E88" s="18" t="inlineStr">
        <is>
          <t>U</t>
        </is>
      </c>
      <c r="F88" s="21" t="n">
        <v>8</v>
      </c>
      <c r="G88" s="22" t="n">
        <v>4.2</v>
      </c>
      <c r="H88" s="22" t="n">
        <v>4.37</v>
      </c>
      <c r="I88" s="18" t="inlineStr">
        <is>
          <t>Megametales</t>
        </is>
      </c>
      <c r="J88" s="22" t="n">
        <v>4.66</v>
      </c>
      <c r="K88" s="18" t="inlineStr">
        <is>
          <t>Ferrisariato</t>
        </is>
      </c>
      <c r="L88" s="8">
        <f>F88*G88</f>
        <v/>
      </c>
      <c r="M88" s="145" t="inlineStr">
        <is>
          <t>IE-D50-FIJ-SPB-2</t>
        </is>
      </c>
      <c r="N88" s="18" t="inlineStr">
        <is>
          <t>Instalaciones eléctricas</t>
        </is>
      </c>
      <c r="O88" s="18" t="inlineStr">
        <is>
          <t>Estimado DION · criterio de mercado Guayaquil 2026 (no verificado en tienda)</t>
        </is>
      </c>
      <c r="P88" s="18" t="inlineStr">
        <is>
          <t>oct-2026 (est.)</t>
        </is>
      </c>
      <c r="Q88" s="18" t="n"/>
    </row>
    <row r="89">
      <c r="A89" s="23" t="n">
        <v>72</v>
      </c>
      <c r="B89" s="24" t="inlineStr">
        <is>
          <t xml:space="preserve">        Manga Termocontráctil Surtida (Kit 127 piezas)</t>
        </is>
      </c>
      <c r="C89" s="25" t="inlineStr">
        <is>
          <t>Comercial / Industrial</t>
        </is>
      </c>
      <c r="D89" s="23" t="inlineStr">
        <is>
          <t>Termocontráctiles</t>
        </is>
      </c>
      <c r="E89" s="23" t="inlineStr">
        <is>
          <t>Kit</t>
        </is>
      </c>
      <c r="F89" s="26" t="n">
        <v>1</v>
      </c>
      <c r="G89" s="27" t="n">
        <v>9.5</v>
      </c>
      <c r="H89" s="27" t="n">
        <v>9.880000000000001</v>
      </c>
      <c r="I89" s="23" t="inlineStr">
        <is>
          <t>Megametales</t>
        </is>
      </c>
      <c r="J89" s="27" t="n">
        <v>10.45</v>
      </c>
      <c r="K89" s="23" t="inlineStr">
        <is>
          <t>Kywi / Megakywi</t>
        </is>
      </c>
      <c r="L89" s="28">
        <f>F89*G89</f>
        <v/>
      </c>
      <c r="M89" s="146" t="inlineStr">
        <is>
          <t>IE-D50-FIJ-TER-KIT</t>
        </is>
      </c>
      <c r="N89" s="23" t="inlineStr">
        <is>
          <t>Instalaciones eléctricas</t>
        </is>
      </c>
      <c r="O89" s="23" t="inlineStr">
        <is>
          <t>Estimado DION · criterio de mercado Guayaquil 2026 (no verificado en tienda)</t>
        </is>
      </c>
      <c r="P89" s="23" t="inlineStr">
        <is>
          <t>oct-2026 (est.)</t>
        </is>
      </c>
      <c r="Q89" s="23" t="n"/>
    </row>
    <row r="90">
      <c r="A90" s="18" t="n">
        <v>73</v>
      </c>
      <c r="B90" s="19" t="inlineStr">
        <is>
          <t xml:space="preserve">        Bornera Riel DIN 4mm² (Ciento)</t>
        </is>
      </c>
      <c r="C90" s="20" t="inlineStr">
        <is>
          <t>Industrial</t>
        </is>
      </c>
      <c r="D90" s="18" t="inlineStr">
        <is>
          <t>Borneras</t>
        </is>
      </c>
      <c r="E90" s="18" t="inlineStr">
        <is>
          <t>Ciento</t>
        </is>
      </c>
      <c r="F90" s="21" t="n">
        <v>1</v>
      </c>
      <c r="G90" s="22" t="n">
        <v>48</v>
      </c>
      <c r="H90" s="22" t="n">
        <v>50.4</v>
      </c>
      <c r="I90" s="18" t="inlineStr">
        <is>
          <t>Megametales</t>
        </is>
      </c>
      <c r="J90" s="22" t="n">
        <v>51.36</v>
      </c>
      <c r="K90" s="18" t="inlineStr">
        <is>
          <t>Ferrisariato</t>
        </is>
      </c>
      <c r="L90" s="8">
        <f>F90*G90</f>
        <v/>
      </c>
      <c r="M90" s="145" t="inlineStr">
        <is>
          <t>IE-D50-FIJ-BOR-DIN</t>
        </is>
      </c>
      <c r="N90" s="18" t="inlineStr">
        <is>
          <t>Instalaciones eléctricas</t>
        </is>
      </c>
      <c r="O90" s="18" t="inlineStr">
        <is>
          <t>Estimado DION · criterio de mercado Guayaquil 2026 (no verificado en tienda)</t>
        </is>
      </c>
      <c r="P90" s="18" t="inlineStr">
        <is>
          <t>oct-2026 (est.)</t>
        </is>
      </c>
      <c r="Q90" s="18" t="n"/>
    </row>
    <row r="91">
      <c r="A91" s="23" t="n">
        <v>74</v>
      </c>
      <c r="B91" s="24" t="inlineStr">
        <is>
          <t xml:space="preserve">        Riel DIN Perforado 35mm Galvanizado (1 m)</t>
        </is>
      </c>
      <c r="C91" s="25" t="inlineStr">
        <is>
          <t>Comercial / Industrial</t>
        </is>
      </c>
      <c r="D91" s="23" t="inlineStr">
        <is>
          <t>Riel DIN</t>
        </is>
      </c>
      <c r="E91" s="23" t="inlineStr">
        <is>
          <t>U</t>
        </is>
      </c>
      <c r="F91" s="26" t="n">
        <v>4</v>
      </c>
      <c r="G91" s="27" t="n">
        <v>2.4</v>
      </c>
      <c r="H91" s="27" t="n">
        <v>2.45</v>
      </c>
      <c r="I91" s="23" t="inlineStr">
        <is>
          <t>Megametales</t>
        </is>
      </c>
      <c r="J91" s="27" t="n">
        <v>2.62</v>
      </c>
      <c r="K91" s="23" t="inlineStr">
        <is>
          <t>Kywi / Megakywi</t>
        </is>
      </c>
      <c r="L91" s="28">
        <f>F91*G91</f>
        <v/>
      </c>
      <c r="M91" s="146" t="inlineStr">
        <is>
          <t>IE-D50-FIJ-RDN-35</t>
        </is>
      </c>
      <c r="N91" s="23" t="inlineStr">
        <is>
          <t>Instalaciones eléctricas</t>
        </is>
      </c>
      <c r="O91" s="23" t="inlineStr">
        <is>
          <t>Estimado DION · criterio de mercado Guayaquil 2026 (no verificado en tienda)</t>
        </is>
      </c>
      <c r="P91" s="23" t="inlineStr">
        <is>
          <t>oct-2026 (est.)</t>
        </is>
      </c>
      <c r="Q91" s="23" t="n"/>
    </row>
    <row r="92">
      <c r="A92" s="18" t="n">
        <v>75</v>
      </c>
      <c r="B92" s="19" t="inlineStr">
        <is>
          <t xml:space="preserve">        Lubricante para Pasar Cables (Galón)</t>
        </is>
      </c>
      <c r="C92" s="20" t="inlineStr">
        <is>
          <t>Comercial / Industrial</t>
        </is>
      </c>
      <c r="D92" s="18" t="inlineStr">
        <is>
          <t>Consumibles</t>
        </is>
      </c>
      <c r="E92" s="18" t="inlineStr">
        <is>
          <t>Galón</t>
        </is>
      </c>
      <c r="F92" s="21" t="n">
        <v>1</v>
      </c>
      <c r="G92" s="22" t="n">
        <v>24</v>
      </c>
      <c r="H92" s="22" t="n">
        <v>24.72</v>
      </c>
      <c r="I92" s="18" t="inlineStr">
        <is>
          <t>Megametales</t>
        </is>
      </c>
      <c r="J92" s="22" t="n">
        <v>25.68</v>
      </c>
      <c r="K92" s="18" t="inlineStr">
        <is>
          <t>Ferrisariato</t>
        </is>
      </c>
      <c r="L92" s="8">
        <f>F92*G92</f>
        <v/>
      </c>
      <c r="M92" s="145" t="inlineStr">
        <is>
          <t>IE-D50-FIJ-LUB</t>
        </is>
      </c>
      <c r="N92" s="18" t="inlineStr">
        <is>
          <t>Instalaciones eléctricas</t>
        </is>
      </c>
      <c r="O92" s="18" t="inlineStr">
        <is>
          <t>Estimado DION · criterio de mercado Guayaquil 2026 (no verificado en tienda)</t>
        </is>
      </c>
      <c r="P92" s="18" t="inlineStr">
        <is>
          <t>oct-2026 (est.)</t>
        </is>
      </c>
      <c r="Q92" s="18" t="n"/>
    </row>
    <row r="93">
      <c r="A93" s="23" t="n">
        <v>76</v>
      </c>
      <c r="B93" s="24" t="inlineStr">
        <is>
          <t xml:space="preserve">        Guía Pasacables de Acero 30 m</t>
        </is>
      </c>
      <c r="C93" s="25" t="inlineStr">
        <is>
          <t>Residencial / Comercial</t>
        </is>
      </c>
      <c r="D93" s="23" t="inlineStr">
        <is>
          <t>Herramienta Consumible</t>
        </is>
      </c>
      <c r="E93" s="23" t="inlineStr">
        <is>
          <t>U</t>
        </is>
      </c>
      <c r="F93" s="26" t="n">
        <v>1</v>
      </c>
      <c r="G93" s="27" t="n">
        <v>22</v>
      </c>
      <c r="H93" s="27" t="n">
        <v>22.66</v>
      </c>
      <c r="I93" s="23" t="inlineStr">
        <is>
          <t>Megametales</t>
        </is>
      </c>
      <c r="J93" s="27" t="n">
        <v>23.54</v>
      </c>
      <c r="K93" s="23" t="inlineStr">
        <is>
          <t>Kywi / Megakywi</t>
        </is>
      </c>
      <c r="L93" s="28">
        <f>F93*G93</f>
        <v/>
      </c>
      <c r="M93" s="146" t="inlineStr">
        <is>
          <t>IE-D50-FIJ-GUI-30M</t>
        </is>
      </c>
      <c r="N93" s="23" t="inlineStr">
        <is>
          <t>Instalaciones eléctricas</t>
        </is>
      </c>
      <c r="O93" s="23" t="inlineStr">
        <is>
          <t>Estimado DION · criterio de mercado Guayaquil 2026 (no verificado en tienda)</t>
        </is>
      </c>
      <c r="P93" s="23" t="inlineStr">
        <is>
          <t>oct-2026 (est.)</t>
        </is>
      </c>
      <c r="Q93" s="23" t="n"/>
    </row>
    <row r="94">
      <c r="A94" s="14" t="inlineStr">
        <is>
          <t>TUBERÍAS Y DUCTOS</t>
        </is>
      </c>
      <c r="B94" s="143" t="n"/>
      <c r="C94" s="143" t="n"/>
      <c r="D94" s="143" t="n"/>
      <c r="E94" s="143" t="n"/>
      <c r="F94" s="143" t="n"/>
      <c r="G94" s="143" t="n"/>
      <c r="H94" s="143" t="n"/>
      <c r="I94" s="143" t="n"/>
      <c r="J94" s="143" t="n"/>
      <c r="K94" s="143" t="n"/>
      <c r="L94" s="143" t="n"/>
      <c r="M94" s="143" t="n"/>
      <c r="N94" s="143" t="n"/>
      <c r="O94" s="143" t="n"/>
      <c r="P94" s="143" t="n"/>
      <c r="Q94" s="144" t="n"/>
    </row>
    <row r="95">
      <c r="A95" s="16" t="inlineStr">
        <is>
          <t xml:space="preserve">  ► CATEGORÍA: TUBERÍAS PVC, METÁLICAS Y FLEXIBLES</t>
        </is>
      </c>
      <c r="B95" s="143" t="n"/>
      <c r="C95" s="143" t="n"/>
      <c r="D95" s="143" t="n"/>
      <c r="E95" s="143" t="n"/>
      <c r="F95" s="143" t="n"/>
      <c r="G95" s="143" t="n"/>
      <c r="H95" s="143" t="n"/>
      <c r="I95" s="143" t="n"/>
      <c r="J95" s="143" t="n"/>
      <c r="K95" s="143" t="n"/>
      <c r="L95" s="143" t="n"/>
      <c r="M95" s="143" t="n"/>
      <c r="N95" s="143" t="n"/>
      <c r="O95" s="143" t="n"/>
      <c r="P95" s="143" t="n"/>
      <c r="Q95" s="144" t="n"/>
    </row>
    <row r="96">
      <c r="A96" s="17" t="inlineStr">
        <is>
          <t xml:space="preserve">      • Subcategoría Especificada: PVC Conduit, EMT, IMC, RMC, Flex, FMC, ENT y Liquidtight</t>
        </is>
      </c>
      <c r="B96" s="143" t="n"/>
      <c r="C96" s="143" t="n"/>
      <c r="D96" s="143" t="n"/>
      <c r="E96" s="143" t="n"/>
      <c r="F96" s="143" t="n"/>
      <c r="G96" s="143" t="n"/>
      <c r="H96" s="143" t="n"/>
      <c r="I96" s="143" t="n"/>
      <c r="J96" s="143" t="n"/>
      <c r="K96" s="143" t="n"/>
      <c r="L96" s="143" t="n"/>
      <c r="M96" s="143" t="n"/>
      <c r="N96" s="143" t="n"/>
      <c r="O96" s="143" t="n"/>
      <c r="P96" s="143" t="n"/>
      <c r="Q96" s="144" t="n"/>
    </row>
    <row r="97">
      <c r="A97" s="18" t="n">
        <v>77</v>
      </c>
      <c r="B97" s="19" t="inlineStr">
        <is>
          <t xml:space="preserve">        Tubo PVC Conduit Pesado ½" / ¾" / 1" (3m)</t>
        </is>
      </c>
      <c r="C97" s="20" t="inlineStr">
        <is>
          <t>Residencial / Comercial</t>
        </is>
      </c>
      <c r="D97" s="18" t="inlineStr">
        <is>
          <t>PVC Conduit Pesado</t>
        </is>
      </c>
      <c r="E97" s="18" t="inlineStr">
        <is>
          <t>U</t>
        </is>
      </c>
      <c r="F97" s="21" t="n">
        <v>60</v>
      </c>
      <c r="G97" s="22" t="n">
        <v>3.5</v>
      </c>
      <c r="H97" s="22" t="n">
        <v>3.65</v>
      </c>
      <c r="I97" s="18" t="inlineStr">
        <is>
          <t>Megametales</t>
        </is>
      </c>
      <c r="J97" s="22" t="n">
        <v>3.85</v>
      </c>
      <c r="K97" s="18" t="inlineStr">
        <is>
          <t>Ferrisariato</t>
        </is>
      </c>
      <c r="L97" s="8">
        <f>F97*G97</f>
        <v/>
      </c>
      <c r="M97" s="145" t="inlineStr">
        <is>
          <t>IE-D50-CND-PVC-DN20</t>
        </is>
      </c>
      <c r="N97" s="18" t="inlineStr">
        <is>
          <t>Instalaciones eléctricas</t>
        </is>
      </c>
      <c r="O97" s="18" t="inlineStr">
        <is>
          <t>Estimado · base original del usuario (sin cotización verificada)</t>
        </is>
      </c>
      <c r="P97" s="18" t="inlineStr">
        <is>
          <t>oct-2026 (est.)</t>
        </is>
      </c>
      <c r="Q97" s="18" t="n">
        <v>5</v>
      </c>
    </row>
    <row r="98">
      <c r="A98" s="23" t="n">
        <v>78</v>
      </c>
      <c r="B98" s="24" t="inlineStr">
        <is>
          <t xml:space="preserve">        Tubo Conduit EMT Metálico ½" / ¾" / 1" (3m)</t>
        </is>
      </c>
      <c r="C98" s="25" t="inlineStr">
        <is>
          <t>Comercial / Industrial</t>
        </is>
      </c>
      <c r="D98" s="23" t="inlineStr">
        <is>
          <t>Conduit EMT</t>
        </is>
      </c>
      <c r="E98" s="23" t="inlineStr">
        <is>
          <t>U</t>
        </is>
      </c>
      <c r="F98" s="26" t="n">
        <v>20</v>
      </c>
      <c r="G98" s="27" t="n">
        <v>7.8</v>
      </c>
      <c r="H98" s="27" t="n">
        <v>7.9</v>
      </c>
      <c r="I98" s="23" t="inlineStr">
        <is>
          <t>Megametales</t>
        </is>
      </c>
      <c r="J98" s="27" t="n">
        <v>8.25</v>
      </c>
      <c r="K98" s="23" t="inlineStr">
        <is>
          <t>Ferrisariato</t>
        </is>
      </c>
      <c r="L98" s="28">
        <f>F98*G98</f>
        <v/>
      </c>
      <c r="M98" s="146" t="inlineStr">
        <is>
          <t>IE-D50-CND-EMT-DN20</t>
        </is>
      </c>
      <c r="N98" s="23" t="inlineStr">
        <is>
          <t>Instalaciones eléctricas</t>
        </is>
      </c>
      <c r="O98" s="23" t="inlineStr">
        <is>
          <t>Estimado · base original del usuario (sin cotización verificada)</t>
        </is>
      </c>
      <c r="P98" s="23" t="inlineStr">
        <is>
          <t>oct-2026 (est.)</t>
        </is>
      </c>
      <c r="Q98" s="23" t="n">
        <v>5</v>
      </c>
    </row>
    <row r="99">
      <c r="A99" s="18" t="n">
        <v>79</v>
      </c>
      <c r="B99" s="19" t="inlineStr">
        <is>
          <t xml:space="preserve">        Tubo Conduit IMC Metálico 2" Pared Gruesa (3m)</t>
        </is>
      </c>
      <c r="C99" s="20" t="inlineStr">
        <is>
          <t>Industrial Heavy Duty</t>
        </is>
      </c>
      <c r="D99" s="18" t="inlineStr">
        <is>
          <t>Conduit IMC</t>
        </is>
      </c>
      <c r="E99" s="18" t="inlineStr">
        <is>
          <t>U</t>
        </is>
      </c>
      <c r="F99" s="21" t="n">
        <v>5</v>
      </c>
      <c r="G99" s="22" t="n">
        <v>38</v>
      </c>
      <c r="H99" s="22" t="n">
        <v>39.5</v>
      </c>
      <c r="I99" s="18" t="inlineStr">
        <is>
          <t>Megametales</t>
        </is>
      </c>
      <c r="J99" s="22" t="n">
        <v>42</v>
      </c>
      <c r="K99" s="18" t="inlineStr">
        <is>
          <t>Ferrisariato</t>
        </is>
      </c>
      <c r="L99" s="8">
        <f>F99*G99</f>
        <v/>
      </c>
      <c r="M99" s="145" t="inlineStr">
        <is>
          <t>IE-D50-CND-IMC-DN50</t>
        </is>
      </c>
      <c r="N99" s="18" t="inlineStr">
        <is>
          <t>Instalaciones eléctricas</t>
        </is>
      </c>
      <c r="O99" s="18" t="inlineStr">
        <is>
          <t>Estimado · base original del usuario (sin cotización verificada)</t>
        </is>
      </c>
      <c r="P99" s="18" t="inlineStr">
        <is>
          <t>oct-2026 (est.)</t>
        </is>
      </c>
      <c r="Q99" s="18" t="n">
        <v>5</v>
      </c>
    </row>
    <row r="100">
      <c r="A100" s="23" t="n">
        <v>80</v>
      </c>
      <c r="B100" s="24" t="inlineStr">
        <is>
          <t xml:space="preserve">        Manguera Liquidtight Flexible Sealtite ¾" Impermeable</t>
        </is>
      </c>
      <c r="C100" s="25" t="inlineStr">
        <is>
          <t>Exterior / Área Piscina / Motores</t>
        </is>
      </c>
      <c r="D100" s="23" t="inlineStr">
        <is>
          <t>Liquidtight</t>
        </is>
      </c>
      <c r="E100" s="23" t="inlineStr">
        <is>
          <t>m</t>
        </is>
      </c>
      <c r="F100" s="26" t="n">
        <v>15</v>
      </c>
      <c r="G100" s="27" t="n">
        <v>3.2</v>
      </c>
      <c r="H100" s="27" t="n">
        <v>3.35</v>
      </c>
      <c r="I100" s="23" t="inlineStr">
        <is>
          <t>Megametales</t>
        </is>
      </c>
      <c r="J100" s="27" t="n">
        <v>3.5</v>
      </c>
      <c r="K100" s="23" t="inlineStr">
        <is>
          <t>Ferrisariato</t>
        </is>
      </c>
      <c r="L100" s="28">
        <f>F100*G100</f>
        <v/>
      </c>
      <c r="M100" s="146" t="inlineStr">
        <is>
          <t>IE-D50-CND-BX-DN20</t>
        </is>
      </c>
      <c r="N100" s="23" t="inlineStr">
        <is>
          <t>Instalaciones eléctricas</t>
        </is>
      </c>
      <c r="O100" s="23" t="inlineStr">
        <is>
          <t>Estimado · base original del usuario (sin cotización verificada)</t>
        </is>
      </c>
      <c r="P100" s="23" t="inlineStr">
        <is>
          <t>oct-2026 (est.)</t>
        </is>
      </c>
      <c r="Q100" s="23" t="n">
        <v>5</v>
      </c>
    </row>
    <row r="101">
      <c r="A101" s="17" t="inlineStr">
        <is>
          <t xml:space="preserve">      • Subcategoría Especificada: Medidas Comerciales ½" a 4" por Tipo (PVC, EMT, IMC, RMC, Flex, PEAD)</t>
        </is>
      </c>
      <c r="B101" s="143" t="n"/>
      <c r="C101" s="143" t="n"/>
      <c r="D101" s="143" t="n"/>
      <c r="E101" s="143" t="n"/>
      <c r="F101" s="143" t="n"/>
      <c r="G101" s="143" t="n"/>
      <c r="H101" s="143" t="n"/>
      <c r="I101" s="143" t="n"/>
      <c r="J101" s="143" t="n"/>
      <c r="K101" s="143" t="n"/>
      <c r="L101" s="143" t="n"/>
      <c r="M101" s="143" t="n"/>
      <c r="N101" s="143" t="n"/>
      <c r="O101" s="143" t="n"/>
      <c r="P101" s="143" t="n"/>
      <c r="Q101" s="144" t="n"/>
    </row>
    <row r="102">
      <c r="A102" s="18" t="n">
        <v>81</v>
      </c>
      <c r="B102" s="19" t="inlineStr">
        <is>
          <t xml:space="preserve">        Tubo PVC Conduit Pesado ½" (3 m) INEN</t>
        </is>
      </c>
      <c r="C102" s="20" t="inlineStr">
        <is>
          <t>Residencial / Comercial</t>
        </is>
      </c>
      <c r="D102" s="18" t="inlineStr">
        <is>
          <t>PVC Conduit Pesado</t>
        </is>
      </c>
      <c r="E102" s="18" t="inlineStr">
        <is>
          <t>U</t>
        </is>
      </c>
      <c r="F102" s="21" t="n">
        <v>20</v>
      </c>
      <c r="G102" s="22" t="n">
        <v>1.35</v>
      </c>
      <c r="H102" s="22" t="n">
        <v>1.42</v>
      </c>
      <c r="I102" s="18" t="inlineStr">
        <is>
          <t>Megametales</t>
        </is>
      </c>
      <c r="J102" s="22" t="n">
        <v>1.44</v>
      </c>
      <c r="K102" s="18" t="inlineStr">
        <is>
          <t>Ferrisariato</t>
        </is>
      </c>
      <c r="L102" s="8">
        <f>F102*G102</f>
        <v/>
      </c>
      <c r="M102" s="145" t="inlineStr">
        <is>
          <t>IE-D50-CND-PVC-DN15</t>
        </is>
      </c>
      <c r="N102" s="18" t="inlineStr">
        <is>
          <t>Instalaciones eléctricas</t>
        </is>
      </c>
      <c r="O102" s="18" t="inlineStr">
        <is>
          <t>Estimado DION · criterio de mercado Guayaquil 2026 (no verificado en tienda)</t>
        </is>
      </c>
      <c r="P102" s="18" t="inlineStr">
        <is>
          <t>oct-2026 (est.)</t>
        </is>
      </c>
      <c r="Q102" s="18" t="n">
        <v>5</v>
      </c>
    </row>
    <row r="103">
      <c r="A103" s="23" t="n">
        <v>82</v>
      </c>
      <c r="B103" s="24" t="inlineStr">
        <is>
          <t xml:space="preserve">        Tubo PVC Conduit Pesado ¾" (3 m) INEN</t>
        </is>
      </c>
      <c r="C103" s="25" t="inlineStr">
        <is>
          <t>Residencial / Comercial</t>
        </is>
      </c>
      <c r="D103" s="23" t="inlineStr">
        <is>
          <t>PVC Conduit Pesado</t>
        </is>
      </c>
      <c r="E103" s="23" t="inlineStr">
        <is>
          <t>U</t>
        </is>
      </c>
      <c r="F103" s="26" t="n">
        <v>20</v>
      </c>
      <c r="G103" s="27" t="n">
        <v>1.95</v>
      </c>
      <c r="H103" s="27" t="n">
        <v>2.01</v>
      </c>
      <c r="I103" s="23" t="inlineStr">
        <is>
          <t>Megametales</t>
        </is>
      </c>
      <c r="J103" s="27" t="n">
        <v>2.11</v>
      </c>
      <c r="K103" s="23" t="inlineStr">
        <is>
          <t>Kywi / Megakywi</t>
        </is>
      </c>
      <c r="L103" s="28">
        <f>F103*G103</f>
        <v/>
      </c>
      <c r="M103" s="146" t="inlineStr">
        <is>
          <t>IE-D50-CND-PVC-DN20</t>
        </is>
      </c>
      <c r="N103" s="23" t="inlineStr">
        <is>
          <t>Instalaciones eléctricas</t>
        </is>
      </c>
      <c r="O103" s="23" t="inlineStr">
        <is>
          <t>Estimado DION · criterio de mercado Guayaquil 2026 (no verificado en tienda)</t>
        </is>
      </c>
      <c r="P103" s="23" t="inlineStr">
        <is>
          <t>oct-2026 (est.)</t>
        </is>
      </c>
      <c r="Q103" s="23" t="n">
        <v>5</v>
      </c>
    </row>
    <row r="104">
      <c r="A104" s="18" t="n">
        <v>83</v>
      </c>
      <c r="B104" s="19" t="inlineStr">
        <is>
          <t xml:space="preserve">        Tubo PVC Conduit Pesado 1" (3 m) INEN</t>
        </is>
      </c>
      <c r="C104" s="20" t="inlineStr">
        <is>
          <t>Residencial / Comercial</t>
        </is>
      </c>
      <c r="D104" s="18" t="inlineStr">
        <is>
          <t>PVC Conduit Pesado</t>
        </is>
      </c>
      <c r="E104" s="18" t="inlineStr">
        <is>
          <t>U</t>
        </is>
      </c>
      <c r="F104" s="21" t="n">
        <v>20</v>
      </c>
      <c r="G104" s="22" t="n">
        <v>2.95</v>
      </c>
      <c r="H104" s="22" t="n">
        <v>3.1</v>
      </c>
      <c r="I104" s="18" t="inlineStr">
        <is>
          <t>Megametales</t>
        </is>
      </c>
      <c r="J104" s="22" t="n">
        <v>3.22</v>
      </c>
      <c r="K104" s="18" t="inlineStr">
        <is>
          <t>Ferrisariato</t>
        </is>
      </c>
      <c r="L104" s="8">
        <f>F104*G104</f>
        <v/>
      </c>
      <c r="M104" s="145" t="inlineStr">
        <is>
          <t>IE-D50-CND-PVC-DN25</t>
        </is>
      </c>
      <c r="N104" s="18" t="inlineStr">
        <is>
          <t>Instalaciones eléctricas</t>
        </is>
      </c>
      <c r="O104" s="18" t="inlineStr">
        <is>
          <t>Estimado DION · criterio de mercado Guayaquil 2026 (no verificado en tienda)</t>
        </is>
      </c>
      <c r="P104" s="18" t="inlineStr">
        <is>
          <t>oct-2026 (est.)</t>
        </is>
      </c>
      <c r="Q104" s="18" t="n">
        <v>5</v>
      </c>
    </row>
    <row r="105">
      <c r="A105" s="23" t="n">
        <v>84</v>
      </c>
      <c r="B105" s="24" t="inlineStr">
        <is>
          <t xml:space="preserve">        Tubo PVC Conduit Pesado 1¼" (3 m) INEN</t>
        </is>
      </c>
      <c r="C105" s="25" t="inlineStr">
        <is>
          <t>Residencial / Comercial</t>
        </is>
      </c>
      <c r="D105" s="23" t="inlineStr">
        <is>
          <t>PVC Conduit Pesado</t>
        </is>
      </c>
      <c r="E105" s="23" t="inlineStr">
        <is>
          <t>U</t>
        </is>
      </c>
      <c r="F105" s="26" t="n">
        <v>4</v>
      </c>
      <c r="G105" s="27" t="n">
        <v>4.3</v>
      </c>
      <c r="H105" s="27" t="n">
        <v>4.51</v>
      </c>
      <c r="I105" s="23" t="inlineStr">
        <is>
          <t>Megametales</t>
        </is>
      </c>
      <c r="J105" s="27" t="n">
        <v>4.69</v>
      </c>
      <c r="K105" s="23" t="inlineStr">
        <is>
          <t>Kywi / Megakywi</t>
        </is>
      </c>
      <c r="L105" s="28">
        <f>F105*G105</f>
        <v/>
      </c>
      <c r="M105" s="146" t="inlineStr">
        <is>
          <t>IE-D50-CND-PVC-DN32</t>
        </is>
      </c>
      <c r="N105" s="23" t="inlineStr">
        <is>
          <t>Instalaciones eléctricas</t>
        </is>
      </c>
      <c r="O105" s="23" t="inlineStr">
        <is>
          <t>Estimado DION · criterio de mercado Guayaquil 2026 (no verificado en tienda)</t>
        </is>
      </c>
      <c r="P105" s="23" t="inlineStr">
        <is>
          <t>oct-2026 (est.)</t>
        </is>
      </c>
      <c r="Q105" s="23" t="n">
        <v>5</v>
      </c>
    </row>
    <row r="106">
      <c r="A106" s="18" t="n">
        <v>85</v>
      </c>
      <c r="B106" s="19" t="inlineStr">
        <is>
          <t xml:space="preserve">        Tubo PVC Conduit Pesado 1½" (3 m) INEN</t>
        </is>
      </c>
      <c r="C106" s="20" t="inlineStr">
        <is>
          <t>Residencial / Comercial</t>
        </is>
      </c>
      <c r="D106" s="18" t="inlineStr">
        <is>
          <t>PVC Conduit Pesado</t>
        </is>
      </c>
      <c r="E106" s="18" t="inlineStr">
        <is>
          <t>U</t>
        </is>
      </c>
      <c r="F106" s="21" t="n">
        <v>4</v>
      </c>
      <c r="G106" s="22" t="n">
        <v>5.4</v>
      </c>
      <c r="H106" s="22" t="n">
        <v>5.56</v>
      </c>
      <c r="I106" s="18" t="inlineStr">
        <is>
          <t>Megametales</t>
        </is>
      </c>
      <c r="J106" s="22" t="n">
        <v>5.99</v>
      </c>
      <c r="K106" s="18" t="inlineStr">
        <is>
          <t>Ferrisariato</t>
        </is>
      </c>
      <c r="L106" s="8">
        <f>F106*G106</f>
        <v/>
      </c>
      <c r="M106" s="145" t="inlineStr">
        <is>
          <t>IE-D50-CND-PVC-DN40</t>
        </is>
      </c>
      <c r="N106" s="18" t="inlineStr">
        <is>
          <t>Instalaciones eléctricas</t>
        </is>
      </c>
      <c r="O106" s="18" t="inlineStr">
        <is>
          <t>Estimado DION · criterio de mercado Guayaquil 2026 (no verificado en tienda)</t>
        </is>
      </c>
      <c r="P106" s="18" t="inlineStr">
        <is>
          <t>oct-2026 (est.)</t>
        </is>
      </c>
      <c r="Q106" s="18" t="n">
        <v>5</v>
      </c>
    </row>
    <row r="107">
      <c r="A107" s="23" t="n">
        <v>86</v>
      </c>
      <c r="B107" s="24" t="inlineStr">
        <is>
          <t xml:space="preserve">        Tubo PVC Conduit Pesado 2" (3 m) INEN</t>
        </is>
      </c>
      <c r="C107" s="25" t="inlineStr">
        <is>
          <t>Residencial / Comercial</t>
        </is>
      </c>
      <c r="D107" s="23" t="inlineStr">
        <is>
          <t>PVC Conduit Pesado</t>
        </is>
      </c>
      <c r="E107" s="23" t="inlineStr">
        <is>
          <t>U</t>
        </is>
      </c>
      <c r="F107" s="26" t="n">
        <v>4</v>
      </c>
      <c r="G107" s="27" t="n">
        <v>7.4</v>
      </c>
      <c r="H107" s="27" t="n">
        <v>7.7</v>
      </c>
      <c r="I107" s="23" t="inlineStr">
        <is>
          <t>Megametales</t>
        </is>
      </c>
      <c r="J107" s="27" t="n">
        <v>7.99</v>
      </c>
      <c r="K107" s="23" t="inlineStr">
        <is>
          <t>Kywi / Megakywi</t>
        </is>
      </c>
      <c r="L107" s="28">
        <f>F107*G107</f>
        <v/>
      </c>
      <c r="M107" s="146" t="inlineStr">
        <is>
          <t>IE-D50-CND-PVC-DN50</t>
        </is>
      </c>
      <c r="N107" s="23" t="inlineStr">
        <is>
          <t>Instalaciones eléctricas</t>
        </is>
      </c>
      <c r="O107" s="23" t="inlineStr">
        <is>
          <t>Estimado DION · criterio de mercado Guayaquil 2026 (no verificado en tienda)</t>
        </is>
      </c>
      <c r="P107" s="23" t="inlineStr">
        <is>
          <t>oct-2026 (est.)</t>
        </is>
      </c>
      <c r="Q107" s="23" t="n">
        <v>5</v>
      </c>
    </row>
    <row r="108">
      <c r="A108" s="18" t="n">
        <v>87</v>
      </c>
      <c r="B108" s="19" t="inlineStr">
        <is>
          <t xml:space="preserve">        Tubo PVC Conduit Pesado 3" (3 m) INEN</t>
        </is>
      </c>
      <c r="C108" s="20" t="inlineStr">
        <is>
          <t>Residencial / Comercial</t>
        </is>
      </c>
      <c r="D108" s="18" t="inlineStr">
        <is>
          <t>PVC Conduit Pesado</t>
        </is>
      </c>
      <c r="E108" s="18" t="inlineStr">
        <is>
          <t>U</t>
        </is>
      </c>
      <c r="F108" s="21" t="n">
        <v>4</v>
      </c>
      <c r="G108" s="22" t="n">
        <v>14.5</v>
      </c>
      <c r="H108" s="22" t="n">
        <v>14.79</v>
      </c>
      <c r="I108" s="18" t="inlineStr">
        <is>
          <t>Megametales</t>
        </is>
      </c>
      <c r="J108" s="22" t="n">
        <v>15.66</v>
      </c>
      <c r="K108" s="18" t="inlineStr">
        <is>
          <t>Ferrisariato</t>
        </is>
      </c>
      <c r="L108" s="8">
        <f>F108*G108</f>
        <v/>
      </c>
      <c r="M108" s="145" t="inlineStr">
        <is>
          <t>IE-D50-CND-PVC-DN80</t>
        </is>
      </c>
      <c r="N108" s="18" t="inlineStr">
        <is>
          <t>Instalaciones eléctricas</t>
        </is>
      </c>
      <c r="O108" s="18" t="inlineStr">
        <is>
          <t>Estimado DION · criterio de mercado Guayaquil 2026 (no verificado en tienda)</t>
        </is>
      </c>
      <c r="P108" s="18" t="inlineStr">
        <is>
          <t>oct-2026 (est.)</t>
        </is>
      </c>
      <c r="Q108" s="18" t="n">
        <v>5</v>
      </c>
    </row>
    <row r="109">
      <c r="A109" s="23" t="n">
        <v>88</v>
      </c>
      <c r="B109" s="24" t="inlineStr">
        <is>
          <t xml:space="preserve">        Tubo PVC Conduit Pesado 4" (3 m) INEN</t>
        </is>
      </c>
      <c r="C109" s="25" t="inlineStr">
        <is>
          <t>Residencial / Comercial</t>
        </is>
      </c>
      <c r="D109" s="23" t="inlineStr">
        <is>
          <t>PVC Conduit Pesado</t>
        </is>
      </c>
      <c r="E109" s="23" t="inlineStr">
        <is>
          <t>U</t>
        </is>
      </c>
      <c r="F109" s="26" t="n">
        <v>4</v>
      </c>
      <c r="G109" s="27" t="n">
        <v>21</v>
      </c>
      <c r="H109" s="27" t="n">
        <v>21.63</v>
      </c>
      <c r="I109" s="23" t="inlineStr">
        <is>
          <t>Megametales</t>
        </is>
      </c>
      <c r="J109" s="27" t="n">
        <v>23.31</v>
      </c>
      <c r="K109" s="23" t="inlineStr">
        <is>
          <t>Kywi / Megakywi</t>
        </is>
      </c>
      <c r="L109" s="28">
        <f>F109*G109</f>
        <v/>
      </c>
      <c r="M109" s="146" t="inlineStr">
        <is>
          <t>IE-D50-CND-PVC-DN100</t>
        </is>
      </c>
      <c r="N109" s="23" t="inlineStr">
        <is>
          <t>Instalaciones eléctricas</t>
        </is>
      </c>
      <c r="O109" s="23" t="inlineStr">
        <is>
          <t>Estimado DION · criterio de mercado Guayaquil 2026 (no verificado en tienda)</t>
        </is>
      </c>
      <c r="P109" s="23" t="inlineStr">
        <is>
          <t>oct-2026 (est.)</t>
        </is>
      </c>
      <c r="Q109" s="23" t="n">
        <v>5</v>
      </c>
    </row>
    <row r="110">
      <c r="A110" s="18" t="n">
        <v>89</v>
      </c>
      <c r="B110" s="19" t="inlineStr">
        <is>
          <t xml:space="preserve">        Tubo Conduit EMT Galvanizado ½" (3 m)</t>
        </is>
      </c>
      <c r="C110" s="20" t="inlineStr">
        <is>
          <t>Comercial / Industrial</t>
        </is>
      </c>
      <c r="D110" s="18" t="inlineStr">
        <is>
          <t>Conduit EMT</t>
        </is>
      </c>
      <c r="E110" s="18" t="inlineStr">
        <is>
          <t>U</t>
        </is>
      </c>
      <c r="F110" s="21" t="n">
        <v>20</v>
      </c>
      <c r="G110" s="22" t="n">
        <v>3.85</v>
      </c>
      <c r="H110" s="22" t="n">
        <v>3.93</v>
      </c>
      <c r="I110" s="18" t="inlineStr">
        <is>
          <t>Megametales</t>
        </is>
      </c>
      <c r="J110" s="22" t="n">
        <v>4.12</v>
      </c>
      <c r="K110" s="18" t="inlineStr">
        <is>
          <t>Ferrisariato</t>
        </is>
      </c>
      <c r="L110" s="8">
        <f>F110*G110</f>
        <v/>
      </c>
      <c r="M110" s="145" t="inlineStr">
        <is>
          <t>IE-D50-CND-EMT-DN15</t>
        </is>
      </c>
      <c r="N110" s="18" t="inlineStr">
        <is>
          <t>Instalaciones eléctricas</t>
        </is>
      </c>
      <c r="O110" s="18" t="inlineStr">
        <is>
          <t>Estimado DION · criterio de mercado Guayaquil 2026 (no verificado en tienda)</t>
        </is>
      </c>
      <c r="P110" s="18" t="inlineStr">
        <is>
          <t>oct-2026 (est.)</t>
        </is>
      </c>
      <c r="Q110" s="18" t="n">
        <v>5</v>
      </c>
    </row>
    <row r="111">
      <c r="A111" s="23" t="n">
        <v>90</v>
      </c>
      <c r="B111" s="24" t="inlineStr">
        <is>
          <t xml:space="preserve">        Tubo Conduit EMT Galvanizado ¾" (3 m)</t>
        </is>
      </c>
      <c r="C111" s="25" t="inlineStr">
        <is>
          <t>Comercial / Industrial</t>
        </is>
      </c>
      <c r="D111" s="23" t="inlineStr">
        <is>
          <t>Conduit EMT</t>
        </is>
      </c>
      <c r="E111" s="23" t="inlineStr">
        <is>
          <t>U</t>
        </is>
      </c>
      <c r="F111" s="26" t="n">
        <v>20</v>
      </c>
      <c r="G111" s="27" t="n">
        <v>5.7</v>
      </c>
      <c r="H111" s="27" t="n">
        <v>5.99</v>
      </c>
      <c r="I111" s="23" t="inlineStr">
        <is>
          <t>Megametales</t>
        </is>
      </c>
      <c r="J111" s="27" t="n">
        <v>6.21</v>
      </c>
      <c r="K111" s="23" t="inlineStr">
        <is>
          <t>Kywi / Megakywi</t>
        </is>
      </c>
      <c r="L111" s="28">
        <f>F111*G111</f>
        <v/>
      </c>
      <c r="M111" s="146" t="inlineStr">
        <is>
          <t>IE-D50-CND-EMT-DN20</t>
        </is>
      </c>
      <c r="N111" s="23" t="inlineStr">
        <is>
          <t>Instalaciones eléctricas</t>
        </is>
      </c>
      <c r="O111" s="23" t="inlineStr">
        <is>
          <t>Estimado DION · criterio de mercado Guayaquil 2026 (no verificado en tienda)</t>
        </is>
      </c>
      <c r="P111" s="23" t="inlineStr">
        <is>
          <t>oct-2026 (est.)</t>
        </is>
      </c>
      <c r="Q111" s="23" t="n">
        <v>5</v>
      </c>
    </row>
    <row r="112">
      <c r="A112" s="18" t="n">
        <v>91</v>
      </c>
      <c r="B112" s="19" t="inlineStr">
        <is>
          <t xml:space="preserve">        Tubo Conduit EMT Galvanizado 1" (3 m)</t>
        </is>
      </c>
      <c r="C112" s="20" t="inlineStr">
        <is>
          <t>Comercial / Industrial</t>
        </is>
      </c>
      <c r="D112" s="18" t="inlineStr">
        <is>
          <t>Conduit EMT</t>
        </is>
      </c>
      <c r="E112" s="18" t="inlineStr">
        <is>
          <t>U</t>
        </is>
      </c>
      <c r="F112" s="21" t="n">
        <v>20</v>
      </c>
      <c r="G112" s="22" t="n">
        <v>9.1</v>
      </c>
      <c r="H112" s="22" t="n">
        <v>9.279999999999999</v>
      </c>
      <c r="I112" s="18" t="inlineStr">
        <is>
          <t>Megametales</t>
        </is>
      </c>
      <c r="J112" s="22" t="n">
        <v>9.83</v>
      </c>
      <c r="K112" s="18" t="inlineStr">
        <is>
          <t>Ferrisariato</t>
        </is>
      </c>
      <c r="L112" s="8">
        <f>F112*G112</f>
        <v/>
      </c>
      <c r="M112" s="145" t="inlineStr">
        <is>
          <t>IE-D50-CND-EMT-DN25</t>
        </is>
      </c>
      <c r="N112" s="18" t="inlineStr">
        <is>
          <t>Instalaciones eléctricas</t>
        </is>
      </c>
      <c r="O112" s="18" t="inlineStr">
        <is>
          <t>Estimado DION · criterio de mercado Guayaquil 2026 (no verificado en tienda)</t>
        </is>
      </c>
      <c r="P112" s="18" t="inlineStr">
        <is>
          <t>oct-2026 (est.)</t>
        </is>
      </c>
      <c r="Q112" s="18" t="n">
        <v>5</v>
      </c>
    </row>
    <row r="113">
      <c r="A113" s="23" t="n">
        <v>92</v>
      </c>
      <c r="B113" s="24" t="inlineStr">
        <is>
          <t xml:space="preserve">        Tubo Conduit EMT Galvanizado 1¼" (3 m)</t>
        </is>
      </c>
      <c r="C113" s="25" t="inlineStr">
        <is>
          <t>Comercial / Industrial</t>
        </is>
      </c>
      <c r="D113" s="23" t="inlineStr">
        <is>
          <t>Conduit EMT</t>
        </is>
      </c>
      <c r="E113" s="23" t="inlineStr">
        <is>
          <t>U</t>
        </is>
      </c>
      <c r="F113" s="26" t="n">
        <v>4</v>
      </c>
      <c r="G113" s="27" t="n">
        <v>13.8</v>
      </c>
      <c r="H113" s="27" t="n">
        <v>14.49</v>
      </c>
      <c r="I113" s="23" t="inlineStr">
        <is>
          <t>Megametales</t>
        </is>
      </c>
      <c r="J113" s="27" t="n">
        <v>15.32</v>
      </c>
      <c r="K113" s="23" t="inlineStr">
        <is>
          <t>Kywi / Megakywi</t>
        </is>
      </c>
      <c r="L113" s="28">
        <f>F113*G113</f>
        <v/>
      </c>
      <c r="M113" s="146" t="inlineStr">
        <is>
          <t>IE-D50-CND-EMT-DN32</t>
        </is>
      </c>
      <c r="N113" s="23" t="inlineStr">
        <is>
          <t>Instalaciones eléctricas</t>
        </is>
      </c>
      <c r="O113" s="23" t="inlineStr">
        <is>
          <t>Estimado DION · criterio de mercado Guayaquil 2026 (no verificado en tienda)</t>
        </is>
      </c>
      <c r="P113" s="23" t="inlineStr">
        <is>
          <t>oct-2026 (est.)</t>
        </is>
      </c>
      <c r="Q113" s="23" t="n">
        <v>5</v>
      </c>
    </row>
    <row r="114">
      <c r="A114" s="18" t="n">
        <v>93</v>
      </c>
      <c r="B114" s="19" t="inlineStr">
        <is>
          <t xml:space="preserve">        Tubo Conduit EMT Galvanizado 1½" (3 m)</t>
        </is>
      </c>
      <c r="C114" s="20" t="inlineStr">
        <is>
          <t>Comercial / Industrial</t>
        </is>
      </c>
      <c r="D114" s="18" t="inlineStr">
        <is>
          <t>Conduit EMT</t>
        </is>
      </c>
      <c r="E114" s="18" t="inlineStr">
        <is>
          <t>U</t>
        </is>
      </c>
      <c r="F114" s="21" t="n">
        <v>4</v>
      </c>
      <c r="G114" s="22" t="n">
        <v>16.9</v>
      </c>
      <c r="H114" s="22" t="n">
        <v>17.58</v>
      </c>
      <c r="I114" s="18" t="inlineStr">
        <is>
          <t>Megametales</t>
        </is>
      </c>
      <c r="J114" s="22" t="n">
        <v>18.42</v>
      </c>
      <c r="K114" s="18" t="inlineStr">
        <is>
          <t>Ferrisariato</t>
        </is>
      </c>
      <c r="L114" s="8">
        <f>F114*G114</f>
        <v/>
      </c>
      <c r="M114" s="145" t="inlineStr">
        <is>
          <t>IE-D50-CND-EMT-DN40</t>
        </is>
      </c>
      <c r="N114" s="18" t="inlineStr">
        <is>
          <t>Instalaciones eléctricas</t>
        </is>
      </c>
      <c r="O114" s="18" t="inlineStr">
        <is>
          <t>Estimado DION · criterio de mercado Guayaquil 2026 (no verificado en tienda)</t>
        </is>
      </c>
      <c r="P114" s="18" t="inlineStr">
        <is>
          <t>oct-2026 (est.)</t>
        </is>
      </c>
      <c r="Q114" s="18" t="n">
        <v>5</v>
      </c>
    </row>
    <row r="115">
      <c r="A115" s="23" t="n">
        <v>94</v>
      </c>
      <c r="B115" s="24" t="inlineStr">
        <is>
          <t xml:space="preserve">        Tubo Conduit EMT Galvanizado 2" (3 m)</t>
        </is>
      </c>
      <c r="C115" s="25" t="inlineStr">
        <is>
          <t>Comercial / Industrial</t>
        </is>
      </c>
      <c r="D115" s="23" t="inlineStr">
        <is>
          <t>Conduit EMT</t>
        </is>
      </c>
      <c r="E115" s="23" t="inlineStr">
        <is>
          <t>U</t>
        </is>
      </c>
      <c r="F115" s="26" t="n">
        <v>4</v>
      </c>
      <c r="G115" s="27" t="n">
        <v>22</v>
      </c>
      <c r="H115" s="27" t="n">
        <v>22.44</v>
      </c>
      <c r="I115" s="23" t="inlineStr">
        <is>
          <t>Megametales</t>
        </is>
      </c>
      <c r="J115" s="27" t="n">
        <v>23.98</v>
      </c>
      <c r="K115" s="23" t="inlineStr">
        <is>
          <t>Kywi / Megakywi</t>
        </is>
      </c>
      <c r="L115" s="28">
        <f>F115*G115</f>
        <v/>
      </c>
      <c r="M115" s="146" t="inlineStr">
        <is>
          <t>IE-D50-CND-EMT-DN50</t>
        </is>
      </c>
      <c r="N115" s="23" t="inlineStr">
        <is>
          <t>Instalaciones eléctricas</t>
        </is>
      </c>
      <c r="O115" s="23" t="inlineStr">
        <is>
          <t>Estimado DION · criterio de mercado Guayaquil 2026 (no verificado en tienda)</t>
        </is>
      </c>
      <c r="P115" s="23" t="inlineStr">
        <is>
          <t>oct-2026 (est.)</t>
        </is>
      </c>
      <c r="Q115" s="23" t="n">
        <v>5</v>
      </c>
    </row>
    <row r="116">
      <c r="A116" s="18" t="n">
        <v>95</v>
      </c>
      <c r="B116" s="19" t="inlineStr">
        <is>
          <t xml:space="preserve">        Tubo Conduit EMT Galvanizado 3" (3 m)</t>
        </is>
      </c>
      <c r="C116" s="20" t="inlineStr">
        <is>
          <t>Comercial / Industrial</t>
        </is>
      </c>
      <c r="D116" s="18" t="inlineStr">
        <is>
          <t>Conduit EMT</t>
        </is>
      </c>
      <c r="E116" s="18" t="inlineStr">
        <is>
          <t>U</t>
        </is>
      </c>
      <c r="F116" s="21" t="n">
        <v>4</v>
      </c>
      <c r="G116" s="22" t="n">
        <v>49</v>
      </c>
      <c r="H116" s="22" t="n">
        <v>50.47</v>
      </c>
      <c r="I116" s="18" t="inlineStr">
        <is>
          <t>Megametales</t>
        </is>
      </c>
      <c r="J116" s="22" t="n">
        <v>52.92</v>
      </c>
      <c r="K116" s="18" t="inlineStr">
        <is>
          <t>Ferrisariato</t>
        </is>
      </c>
      <c r="L116" s="8">
        <f>F116*G116</f>
        <v/>
      </c>
      <c r="M116" s="145" t="inlineStr">
        <is>
          <t>IE-D50-CND-EMT-DN80</t>
        </is>
      </c>
      <c r="N116" s="18" t="inlineStr">
        <is>
          <t>Instalaciones eléctricas</t>
        </is>
      </c>
      <c r="O116" s="18" t="inlineStr">
        <is>
          <t>Estimado DION · criterio de mercado Guayaquil 2026 (no verificado en tienda)</t>
        </is>
      </c>
      <c r="P116" s="18" t="inlineStr">
        <is>
          <t>oct-2026 (est.)</t>
        </is>
      </c>
      <c r="Q116" s="18" t="n">
        <v>5</v>
      </c>
    </row>
    <row r="117">
      <c r="A117" s="23" t="n">
        <v>96</v>
      </c>
      <c r="B117" s="24" t="inlineStr">
        <is>
          <t xml:space="preserve">        Tubo Conduit EMT Galvanizado 4" (3 m)</t>
        </is>
      </c>
      <c r="C117" s="25" t="inlineStr">
        <is>
          <t>Comercial / Industrial</t>
        </is>
      </c>
      <c r="D117" s="23" t="inlineStr">
        <is>
          <t>Conduit EMT</t>
        </is>
      </c>
      <c r="E117" s="23" t="inlineStr">
        <is>
          <t>U</t>
        </is>
      </c>
      <c r="F117" s="26" t="n">
        <v>4</v>
      </c>
      <c r="G117" s="27" t="n">
        <v>64</v>
      </c>
      <c r="H117" s="27" t="n">
        <v>65.92</v>
      </c>
      <c r="I117" s="23" t="inlineStr">
        <is>
          <t>Megametales</t>
        </is>
      </c>
      <c r="J117" s="27" t="n">
        <v>68.48</v>
      </c>
      <c r="K117" s="23" t="inlineStr">
        <is>
          <t>Kywi / Megakywi</t>
        </is>
      </c>
      <c r="L117" s="28">
        <f>F117*G117</f>
        <v/>
      </c>
      <c r="M117" s="146" t="inlineStr">
        <is>
          <t>IE-D50-CND-EMT-DN100</t>
        </is>
      </c>
      <c r="N117" s="23" t="inlineStr">
        <is>
          <t>Instalaciones eléctricas</t>
        </is>
      </c>
      <c r="O117" s="23" t="inlineStr">
        <is>
          <t>Estimado DION · criterio de mercado Guayaquil 2026 (no verificado en tienda)</t>
        </is>
      </c>
      <c r="P117" s="23" t="inlineStr">
        <is>
          <t>oct-2026 (est.)</t>
        </is>
      </c>
      <c r="Q117" s="23" t="n">
        <v>5</v>
      </c>
    </row>
    <row r="118">
      <c r="A118" s="18" t="n">
        <v>97</v>
      </c>
      <c r="B118" s="19" t="inlineStr">
        <is>
          <t xml:space="preserve">        Tubo Conduit IMC Galvanizado ½" (3 m) Roscado</t>
        </is>
      </c>
      <c r="C118" s="20" t="inlineStr">
        <is>
          <t>Industrial Heavy Duty</t>
        </is>
      </c>
      <c r="D118" s="18" t="inlineStr">
        <is>
          <t>Conduit IMC</t>
        </is>
      </c>
      <c r="E118" s="18" t="inlineStr">
        <is>
          <t>U</t>
        </is>
      </c>
      <c r="F118" s="21" t="n">
        <v>4</v>
      </c>
      <c r="G118" s="22" t="n">
        <v>12.5</v>
      </c>
      <c r="H118" s="22" t="n">
        <v>12.75</v>
      </c>
      <c r="I118" s="18" t="inlineStr">
        <is>
          <t>Megametales</t>
        </is>
      </c>
      <c r="J118" s="22" t="n">
        <v>13.63</v>
      </c>
      <c r="K118" s="18" t="inlineStr">
        <is>
          <t>Ferrisariato</t>
        </is>
      </c>
      <c r="L118" s="8">
        <f>F118*G118</f>
        <v/>
      </c>
      <c r="M118" s="145" t="inlineStr">
        <is>
          <t>IE-D50-CND-IMC-DN15</t>
        </is>
      </c>
      <c r="N118" s="18" t="inlineStr">
        <is>
          <t>Instalaciones eléctricas</t>
        </is>
      </c>
      <c r="O118" s="18" t="inlineStr">
        <is>
          <t>Estimado DION · criterio de mercado Guayaquil 2026 (no verificado en tienda)</t>
        </is>
      </c>
      <c r="P118" s="18" t="inlineStr">
        <is>
          <t>oct-2026 (est.)</t>
        </is>
      </c>
      <c r="Q118" s="18" t="n">
        <v>5</v>
      </c>
    </row>
    <row r="119">
      <c r="A119" s="23" t="n">
        <v>98</v>
      </c>
      <c r="B119" s="24" t="inlineStr">
        <is>
          <t xml:space="preserve">        Tubo Conduit IMC Galvanizado ¾" (3 m) Roscado</t>
        </is>
      </c>
      <c r="C119" s="25" t="inlineStr">
        <is>
          <t>Industrial Heavy Duty</t>
        </is>
      </c>
      <c r="D119" s="23" t="inlineStr">
        <is>
          <t>Conduit IMC</t>
        </is>
      </c>
      <c r="E119" s="23" t="inlineStr">
        <is>
          <t>U</t>
        </is>
      </c>
      <c r="F119" s="26" t="n">
        <v>4</v>
      </c>
      <c r="G119" s="27" t="n">
        <v>15.5</v>
      </c>
      <c r="H119" s="27" t="n">
        <v>16.12</v>
      </c>
      <c r="I119" s="23" t="inlineStr">
        <is>
          <t>Megametales</t>
        </is>
      </c>
      <c r="J119" s="27" t="n">
        <v>16.74</v>
      </c>
      <c r="K119" s="23" t="inlineStr">
        <is>
          <t>Kywi / Megakywi</t>
        </is>
      </c>
      <c r="L119" s="28">
        <f>F119*G119</f>
        <v/>
      </c>
      <c r="M119" s="146" t="inlineStr">
        <is>
          <t>IE-D50-CND-IMC-DN20</t>
        </is>
      </c>
      <c r="N119" s="23" t="inlineStr">
        <is>
          <t>Instalaciones eléctricas</t>
        </is>
      </c>
      <c r="O119" s="23" t="inlineStr">
        <is>
          <t>Estimado DION · criterio de mercado Guayaquil 2026 (no verificado en tienda)</t>
        </is>
      </c>
      <c r="P119" s="23" t="inlineStr">
        <is>
          <t>oct-2026 (est.)</t>
        </is>
      </c>
      <c r="Q119" s="23" t="n">
        <v>5</v>
      </c>
    </row>
    <row r="120">
      <c r="A120" s="18" t="n">
        <v>99</v>
      </c>
      <c r="B120" s="19" t="inlineStr">
        <is>
          <t xml:space="preserve">        Tubo Conduit IMC Galvanizado 1" (3 m) Roscado</t>
        </is>
      </c>
      <c r="C120" s="20" t="inlineStr">
        <is>
          <t>Industrial Heavy Duty</t>
        </is>
      </c>
      <c r="D120" s="18" t="inlineStr">
        <is>
          <t>Conduit IMC</t>
        </is>
      </c>
      <c r="E120" s="18" t="inlineStr">
        <is>
          <t>U</t>
        </is>
      </c>
      <c r="F120" s="21" t="n">
        <v>4</v>
      </c>
      <c r="G120" s="22" t="n">
        <v>22.5</v>
      </c>
      <c r="H120" s="22" t="n">
        <v>22.95</v>
      </c>
      <c r="I120" s="18" t="inlineStr">
        <is>
          <t>Megametales</t>
        </is>
      </c>
      <c r="J120" s="22" t="n">
        <v>24.53</v>
      </c>
      <c r="K120" s="18" t="inlineStr">
        <is>
          <t>Ferrisariato</t>
        </is>
      </c>
      <c r="L120" s="8">
        <f>F120*G120</f>
        <v/>
      </c>
      <c r="M120" s="145" t="inlineStr">
        <is>
          <t>IE-D50-CND-IMC-DN25</t>
        </is>
      </c>
      <c r="N120" s="18" t="inlineStr">
        <is>
          <t>Instalaciones eléctricas</t>
        </is>
      </c>
      <c r="O120" s="18" t="inlineStr">
        <is>
          <t>Estimado DION · criterio de mercado Guayaquil 2026 (no verificado en tienda)</t>
        </is>
      </c>
      <c r="P120" s="18" t="inlineStr">
        <is>
          <t>oct-2026 (est.)</t>
        </is>
      </c>
      <c r="Q120" s="18" t="n">
        <v>5</v>
      </c>
    </row>
    <row r="121">
      <c r="A121" s="23" t="n">
        <v>100</v>
      </c>
      <c r="B121" s="24" t="inlineStr">
        <is>
          <t xml:space="preserve">        Tubo Conduit IMC Galvanizado 1¼" (3 m) Roscado</t>
        </is>
      </c>
      <c r="C121" s="25" t="inlineStr">
        <is>
          <t>Industrial Heavy Duty</t>
        </is>
      </c>
      <c r="D121" s="23" t="inlineStr">
        <is>
          <t>Conduit IMC</t>
        </is>
      </c>
      <c r="E121" s="23" t="inlineStr">
        <is>
          <t>U</t>
        </is>
      </c>
      <c r="F121" s="26" t="n">
        <v>4</v>
      </c>
      <c r="G121" s="27" t="n">
        <v>29.5</v>
      </c>
      <c r="H121" s="27" t="n">
        <v>30.39</v>
      </c>
      <c r="I121" s="23" t="inlineStr">
        <is>
          <t>Megametales</t>
        </is>
      </c>
      <c r="J121" s="27" t="n">
        <v>32.16</v>
      </c>
      <c r="K121" s="23" t="inlineStr">
        <is>
          <t>Kywi / Megakywi</t>
        </is>
      </c>
      <c r="L121" s="28">
        <f>F121*G121</f>
        <v/>
      </c>
      <c r="M121" s="146" t="inlineStr">
        <is>
          <t>IE-D50-CND-IMC-DN32</t>
        </is>
      </c>
      <c r="N121" s="23" t="inlineStr">
        <is>
          <t>Instalaciones eléctricas</t>
        </is>
      </c>
      <c r="O121" s="23" t="inlineStr">
        <is>
          <t>Estimado DION · criterio de mercado Guayaquil 2026 (no verificado en tienda)</t>
        </is>
      </c>
      <c r="P121" s="23" t="inlineStr">
        <is>
          <t>oct-2026 (est.)</t>
        </is>
      </c>
      <c r="Q121" s="23" t="n">
        <v>5</v>
      </c>
    </row>
    <row r="122">
      <c r="A122" s="18" t="n">
        <v>101</v>
      </c>
      <c r="B122" s="19" t="inlineStr">
        <is>
          <t xml:space="preserve">        Tubo Conduit IMC Galvanizado 1½" (3 m) Roscado</t>
        </is>
      </c>
      <c r="C122" s="20" t="inlineStr">
        <is>
          <t>Industrial Heavy Duty</t>
        </is>
      </c>
      <c r="D122" s="18" t="inlineStr">
        <is>
          <t>Conduit IMC</t>
        </is>
      </c>
      <c r="E122" s="18" t="inlineStr">
        <is>
          <t>U</t>
        </is>
      </c>
      <c r="F122" s="21" t="n">
        <v>4</v>
      </c>
      <c r="G122" s="22" t="n">
        <v>35</v>
      </c>
      <c r="H122" s="22" t="n">
        <v>36.75</v>
      </c>
      <c r="I122" s="18" t="inlineStr">
        <is>
          <t>Megametales</t>
        </is>
      </c>
      <c r="J122" s="22" t="n">
        <v>37.8</v>
      </c>
      <c r="K122" s="18" t="inlineStr">
        <is>
          <t>Ferrisariato</t>
        </is>
      </c>
      <c r="L122" s="8">
        <f>F122*G122</f>
        <v/>
      </c>
      <c r="M122" s="145" t="inlineStr">
        <is>
          <t>IE-D50-CND-IMC-DN40</t>
        </is>
      </c>
      <c r="N122" s="18" t="inlineStr">
        <is>
          <t>Instalaciones eléctricas</t>
        </is>
      </c>
      <c r="O122" s="18" t="inlineStr">
        <is>
          <t>Estimado DION · criterio de mercado Guayaquil 2026 (no verificado en tienda)</t>
        </is>
      </c>
      <c r="P122" s="18" t="inlineStr">
        <is>
          <t>oct-2026 (est.)</t>
        </is>
      </c>
      <c r="Q122" s="18" t="n">
        <v>5</v>
      </c>
    </row>
    <row r="123">
      <c r="A123" s="23" t="n">
        <v>102</v>
      </c>
      <c r="B123" s="24" t="inlineStr">
        <is>
          <t xml:space="preserve">        Tubo Conduit IMC Galvanizado 2" (3 m) Roscado</t>
        </is>
      </c>
      <c r="C123" s="25" t="inlineStr">
        <is>
          <t>Industrial Heavy Duty</t>
        </is>
      </c>
      <c r="D123" s="23" t="inlineStr">
        <is>
          <t>Conduit IMC</t>
        </is>
      </c>
      <c r="E123" s="23" t="inlineStr">
        <is>
          <t>U</t>
        </is>
      </c>
      <c r="F123" s="26" t="n">
        <v>4</v>
      </c>
      <c r="G123" s="27" t="n">
        <v>46</v>
      </c>
      <c r="H123" s="27" t="n">
        <v>47.84</v>
      </c>
      <c r="I123" s="23" t="inlineStr">
        <is>
          <t>Megametales</t>
        </is>
      </c>
      <c r="J123" s="27" t="n">
        <v>50.14</v>
      </c>
      <c r="K123" s="23" t="inlineStr">
        <is>
          <t>Kywi / Megakywi</t>
        </is>
      </c>
      <c r="L123" s="28">
        <f>F123*G123</f>
        <v/>
      </c>
      <c r="M123" s="146" t="inlineStr">
        <is>
          <t>IE-D50-CND-IMC-DN50</t>
        </is>
      </c>
      <c r="N123" s="23" t="inlineStr">
        <is>
          <t>Instalaciones eléctricas</t>
        </is>
      </c>
      <c r="O123" s="23" t="inlineStr">
        <is>
          <t>Estimado DION · criterio de mercado Guayaquil 2026 (no verificado en tienda)</t>
        </is>
      </c>
      <c r="P123" s="23" t="inlineStr">
        <is>
          <t>oct-2026 (est.)</t>
        </is>
      </c>
      <c r="Q123" s="23" t="n">
        <v>5</v>
      </c>
    </row>
    <row r="124">
      <c r="A124" s="18" t="n">
        <v>103</v>
      </c>
      <c r="B124" s="19" t="inlineStr">
        <is>
          <t xml:space="preserve">        Tubo Conduit IMC Galvanizado 3" (3 m) Roscado</t>
        </is>
      </c>
      <c r="C124" s="20" t="inlineStr">
        <is>
          <t>Industrial Heavy Duty</t>
        </is>
      </c>
      <c r="D124" s="18" t="inlineStr">
        <is>
          <t>Conduit IMC</t>
        </is>
      </c>
      <c r="E124" s="18" t="inlineStr">
        <is>
          <t>U</t>
        </is>
      </c>
      <c r="F124" s="21" t="n">
        <v>4</v>
      </c>
      <c r="G124" s="22" t="n">
        <v>99</v>
      </c>
      <c r="H124" s="22" t="n">
        <v>101.97</v>
      </c>
      <c r="I124" s="18" t="inlineStr">
        <is>
          <t>Megametales</t>
        </is>
      </c>
      <c r="J124" s="22" t="n">
        <v>109.89</v>
      </c>
      <c r="K124" s="18" t="inlineStr">
        <is>
          <t>Ferrisariato</t>
        </is>
      </c>
      <c r="L124" s="8">
        <f>F124*G124</f>
        <v/>
      </c>
      <c r="M124" s="145" t="inlineStr">
        <is>
          <t>IE-D50-CND-IMC-DN80</t>
        </is>
      </c>
      <c r="N124" s="18" t="inlineStr">
        <is>
          <t>Instalaciones eléctricas</t>
        </is>
      </c>
      <c r="O124" s="18" t="inlineStr">
        <is>
          <t>Estimado DION · criterio de mercado Guayaquil 2026 (no verificado en tienda)</t>
        </is>
      </c>
      <c r="P124" s="18" t="inlineStr">
        <is>
          <t>oct-2026 (est.)</t>
        </is>
      </c>
      <c r="Q124" s="18" t="n">
        <v>5</v>
      </c>
    </row>
    <row r="125">
      <c r="A125" s="23" t="n">
        <v>104</v>
      </c>
      <c r="B125" s="24" t="inlineStr">
        <is>
          <t xml:space="preserve">        Tubo Conduit IMC Galvanizado 4" (3 m) Roscado</t>
        </is>
      </c>
      <c r="C125" s="25" t="inlineStr">
        <is>
          <t>Industrial Heavy Duty</t>
        </is>
      </c>
      <c r="D125" s="23" t="inlineStr">
        <is>
          <t>Conduit IMC</t>
        </is>
      </c>
      <c r="E125" s="23" t="inlineStr">
        <is>
          <t>U</t>
        </is>
      </c>
      <c r="F125" s="26" t="n">
        <v>4</v>
      </c>
      <c r="G125" s="27" t="n">
        <v>129</v>
      </c>
      <c r="H125" s="27" t="n">
        <v>135.45</v>
      </c>
      <c r="I125" s="23" t="inlineStr">
        <is>
          <t>Megametales</t>
        </is>
      </c>
      <c r="J125" s="27" t="n">
        <v>139.32</v>
      </c>
      <c r="K125" s="23" t="inlineStr">
        <is>
          <t>Kywi / Megakywi</t>
        </is>
      </c>
      <c r="L125" s="28">
        <f>F125*G125</f>
        <v/>
      </c>
      <c r="M125" s="146" t="inlineStr">
        <is>
          <t>IE-D50-CND-IMC-DN100</t>
        </is>
      </c>
      <c r="N125" s="23" t="inlineStr">
        <is>
          <t>Instalaciones eléctricas</t>
        </is>
      </c>
      <c r="O125" s="23" t="inlineStr">
        <is>
          <t>Estimado DION · criterio de mercado Guayaquil 2026 (no verificado en tienda)</t>
        </is>
      </c>
      <c r="P125" s="23" t="inlineStr">
        <is>
          <t>oct-2026 (est.)</t>
        </is>
      </c>
      <c r="Q125" s="23" t="n">
        <v>5</v>
      </c>
    </row>
    <row r="126">
      <c r="A126" s="18" t="n">
        <v>105</v>
      </c>
      <c r="B126" s="19" t="inlineStr">
        <is>
          <t xml:space="preserve">        Tubo Rígido Galvanizado RMC ½" (3 m)</t>
        </is>
      </c>
      <c r="C126" s="20" t="inlineStr">
        <is>
          <t>Industrial / Intemperie</t>
        </is>
      </c>
      <c r="D126" s="18" t="inlineStr">
        <is>
          <t>Conduit RMC</t>
        </is>
      </c>
      <c r="E126" s="18" t="inlineStr">
        <is>
          <t>U</t>
        </is>
      </c>
      <c r="F126" s="21" t="n">
        <v>2</v>
      </c>
      <c r="G126" s="22" t="n">
        <v>15</v>
      </c>
      <c r="H126" s="22" t="n">
        <v>15.75</v>
      </c>
      <c r="I126" s="18" t="inlineStr">
        <is>
          <t>Megametales</t>
        </is>
      </c>
      <c r="J126" s="22" t="n">
        <v>16.35</v>
      </c>
      <c r="K126" s="18" t="inlineStr">
        <is>
          <t>Ferrisariato</t>
        </is>
      </c>
      <c r="L126" s="8">
        <f>F126*G126</f>
        <v/>
      </c>
      <c r="M126" s="145" t="inlineStr">
        <is>
          <t>IE-D50-CND-RMC-DN15</t>
        </is>
      </c>
      <c r="N126" s="18" t="inlineStr">
        <is>
          <t>Instalaciones eléctricas</t>
        </is>
      </c>
      <c r="O126" s="18" t="inlineStr">
        <is>
          <t>Estimado DION · criterio de mercado Guayaquil 2026 (no verificado en tienda)</t>
        </is>
      </c>
      <c r="P126" s="18" t="inlineStr">
        <is>
          <t>oct-2026 (est.)</t>
        </is>
      </c>
      <c r="Q126" s="18" t="n">
        <v>5</v>
      </c>
    </row>
    <row r="127">
      <c r="A127" s="23" t="n">
        <v>106</v>
      </c>
      <c r="B127" s="24" t="inlineStr">
        <is>
          <t xml:space="preserve">        Tubo Rígido Galvanizado RMC ¾" (3 m)</t>
        </is>
      </c>
      <c r="C127" s="25" t="inlineStr">
        <is>
          <t>Industrial / Intemperie</t>
        </is>
      </c>
      <c r="D127" s="23" t="inlineStr">
        <is>
          <t>Conduit RMC</t>
        </is>
      </c>
      <c r="E127" s="23" t="inlineStr">
        <is>
          <t>U</t>
        </is>
      </c>
      <c r="F127" s="26" t="n">
        <v>2</v>
      </c>
      <c r="G127" s="27" t="n">
        <v>18.6</v>
      </c>
      <c r="H127" s="27" t="n">
        <v>18.97</v>
      </c>
      <c r="I127" s="23" t="inlineStr">
        <is>
          <t>Megametales</t>
        </is>
      </c>
      <c r="J127" s="27" t="n">
        <v>20.09</v>
      </c>
      <c r="K127" s="23" t="inlineStr">
        <is>
          <t>Kywi / Megakywi</t>
        </is>
      </c>
      <c r="L127" s="28">
        <f>F127*G127</f>
        <v/>
      </c>
      <c r="M127" s="146" t="inlineStr">
        <is>
          <t>IE-D50-CND-RMC-DN20</t>
        </is>
      </c>
      <c r="N127" s="23" t="inlineStr">
        <is>
          <t>Instalaciones eléctricas</t>
        </is>
      </c>
      <c r="O127" s="23" t="inlineStr">
        <is>
          <t>Estimado DION · criterio de mercado Guayaquil 2026 (no verificado en tienda)</t>
        </is>
      </c>
      <c r="P127" s="23" t="inlineStr">
        <is>
          <t>oct-2026 (est.)</t>
        </is>
      </c>
      <c r="Q127" s="23" t="n">
        <v>5</v>
      </c>
    </row>
    <row r="128">
      <c r="A128" s="18" t="n">
        <v>107</v>
      </c>
      <c r="B128" s="19" t="inlineStr">
        <is>
          <t xml:space="preserve">        Tubo Rígido Galvanizado RMC 1" (3 m)</t>
        </is>
      </c>
      <c r="C128" s="20" t="inlineStr">
        <is>
          <t>Industrial / Intemperie</t>
        </is>
      </c>
      <c r="D128" s="18" t="inlineStr">
        <is>
          <t>Conduit RMC</t>
        </is>
      </c>
      <c r="E128" s="18" t="inlineStr">
        <is>
          <t>U</t>
        </is>
      </c>
      <c r="F128" s="21" t="n">
        <v>2</v>
      </c>
      <c r="G128" s="22" t="n">
        <v>27</v>
      </c>
      <c r="H128" s="22" t="n">
        <v>28.35</v>
      </c>
      <c r="I128" s="18" t="inlineStr">
        <is>
          <t>Megametales</t>
        </is>
      </c>
      <c r="J128" s="22" t="n">
        <v>29.97</v>
      </c>
      <c r="K128" s="18" t="inlineStr">
        <is>
          <t>Ferrisariato</t>
        </is>
      </c>
      <c r="L128" s="8">
        <f>F128*G128</f>
        <v/>
      </c>
      <c r="M128" s="145" t="inlineStr">
        <is>
          <t>IE-D50-CND-RMC-DN25</t>
        </is>
      </c>
      <c r="N128" s="18" t="inlineStr">
        <is>
          <t>Instalaciones eléctricas</t>
        </is>
      </c>
      <c r="O128" s="18" t="inlineStr">
        <is>
          <t>Estimado DION · criterio de mercado Guayaquil 2026 (no verificado en tienda)</t>
        </is>
      </c>
      <c r="P128" s="18" t="inlineStr">
        <is>
          <t>oct-2026 (est.)</t>
        </is>
      </c>
      <c r="Q128" s="18" t="n">
        <v>5</v>
      </c>
    </row>
    <row r="129">
      <c r="A129" s="23" t="n">
        <v>108</v>
      </c>
      <c r="B129" s="24" t="inlineStr">
        <is>
          <t xml:space="preserve">        Tubo Rígido Galvanizado RMC 1½" (3 m)</t>
        </is>
      </c>
      <c r="C129" s="25" t="inlineStr">
        <is>
          <t>Industrial / Intemperie</t>
        </is>
      </c>
      <c r="D129" s="23" t="inlineStr">
        <is>
          <t>Conduit RMC</t>
        </is>
      </c>
      <c r="E129" s="23" t="inlineStr">
        <is>
          <t>U</t>
        </is>
      </c>
      <c r="F129" s="26" t="n">
        <v>2</v>
      </c>
      <c r="G129" s="27" t="n">
        <v>42</v>
      </c>
      <c r="H129" s="27" t="n">
        <v>43.26</v>
      </c>
      <c r="I129" s="23" t="inlineStr">
        <is>
          <t>Megametales</t>
        </is>
      </c>
      <c r="J129" s="27" t="n">
        <v>45.78</v>
      </c>
      <c r="K129" s="23" t="inlineStr">
        <is>
          <t>Kywi / Megakywi</t>
        </is>
      </c>
      <c r="L129" s="28">
        <f>F129*G129</f>
        <v/>
      </c>
      <c r="M129" s="146" t="inlineStr">
        <is>
          <t>IE-D50-CND-RMC-DN40</t>
        </is>
      </c>
      <c r="N129" s="23" t="inlineStr">
        <is>
          <t>Instalaciones eléctricas</t>
        </is>
      </c>
      <c r="O129" s="23" t="inlineStr">
        <is>
          <t>Estimado DION · criterio de mercado Guayaquil 2026 (no verificado en tienda)</t>
        </is>
      </c>
      <c r="P129" s="23" t="inlineStr">
        <is>
          <t>oct-2026 (est.)</t>
        </is>
      </c>
      <c r="Q129" s="23" t="n">
        <v>5</v>
      </c>
    </row>
    <row r="130">
      <c r="A130" s="18" t="n">
        <v>109</v>
      </c>
      <c r="B130" s="19" t="inlineStr">
        <is>
          <t xml:space="preserve">        Tubo Rígido Galvanizado RMC 2" (3 m)</t>
        </is>
      </c>
      <c r="C130" s="20" t="inlineStr">
        <is>
          <t>Industrial / Intemperie</t>
        </is>
      </c>
      <c r="D130" s="18" t="inlineStr">
        <is>
          <t>Conduit RMC</t>
        </is>
      </c>
      <c r="E130" s="18" t="inlineStr">
        <is>
          <t>U</t>
        </is>
      </c>
      <c r="F130" s="21" t="n">
        <v>2</v>
      </c>
      <c r="G130" s="22" t="n">
        <v>55</v>
      </c>
      <c r="H130" s="22" t="n">
        <v>57.75</v>
      </c>
      <c r="I130" s="18" t="inlineStr">
        <is>
          <t>Megametales</t>
        </is>
      </c>
      <c r="J130" s="22" t="n">
        <v>59.95</v>
      </c>
      <c r="K130" s="18" t="inlineStr">
        <is>
          <t>Ferrisariato</t>
        </is>
      </c>
      <c r="L130" s="8">
        <f>F130*G130</f>
        <v/>
      </c>
      <c r="M130" s="145" t="inlineStr">
        <is>
          <t>IE-D50-CND-RMC-DN50</t>
        </is>
      </c>
      <c r="N130" s="18" t="inlineStr">
        <is>
          <t>Instalaciones eléctricas</t>
        </is>
      </c>
      <c r="O130" s="18" t="inlineStr">
        <is>
          <t>Estimado DION · criterio de mercado Guayaquil 2026 (no verificado en tienda)</t>
        </is>
      </c>
      <c r="P130" s="18" t="inlineStr">
        <is>
          <t>oct-2026 (est.)</t>
        </is>
      </c>
      <c r="Q130" s="18" t="n">
        <v>5</v>
      </c>
    </row>
    <row r="131">
      <c r="A131" s="23" t="n">
        <v>110</v>
      </c>
      <c r="B131" s="24" t="inlineStr">
        <is>
          <t xml:space="preserve">        Tubo Rígido Galvanizado RMC 3" (3 m)</t>
        </is>
      </c>
      <c r="C131" s="25" t="inlineStr">
        <is>
          <t>Industrial / Intemperie</t>
        </is>
      </c>
      <c r="D131" s="23" t="inlineStr">
        <is>
          <t>Conduit RMC</t>
        </is>
      </c>
      <c r="E131" s="23" t="inlineStr">
        <is>
          <t>U</t>
        </is>
      </c>
      <c r="F131" s="26" t="n">
        <v>2</v>
      </c>
      <c r="G131" s="27" t="n">
        <v>118</v>
      </c>
      <c r="H131" s="27" t="n">
        <v>122.72</v>
      </c>
      <c r="I131" s="23" t="inlineStr">
        <is>
          <t>Megametales</t>
        </is>
      </c>
      <c r="J131" s="27" t="n">
        <v>130.98</v>
      </c>
      <c r="K131" s="23" t="inlineStr">
        <is>
          <t>Kywi / Megakywi</t>
        </is>
      </c>
      <c r="L131" s="28">
        <f>F131*G131</f>
        <v/>
      </c>
      <c r="M131" s="146" t="inlineStr">
        <is>
          <t>IE-D50-CND-RMC-DN80</t>
        </is>
      </c>
      <c r="N131" s="23" t="inlineStr">
        <is>
          <t>Instalaciones eléctricas</t>
        </is>
      </c>
      <c r="O131" s="23" t="inlineStr">
        <is>
          <t>Estimado DION · criterio de mercado Guayaquil 2026 (no verificado en tienda)</t>
        </is>
      </c>
      <c r="P131" s="23" t="inlineStr">
        <is>
          <t>oct-2026 (est.)</t>
        </is>
      </c>
      <c r="Q131" s="23" t="n">
        <v>5</v>
      </c>
    </row>
    <row r="132">
      <c r="A132" s="18" t="n">
        <v>111</v>
      </c>
      <c r="B132" s="19" t="inlineStr">
        <is>
          <t xml:space="preserve">        Tubo Rígido Galvanizado RMC 4" (3 m)</t>
        </is>
      </c>
      <c r="C132" s="20" t="inlineStr">
        <is>
          <t>Industrial / Intemperie</t>
        </is>
      </c>
      <c r="D132" s="18" t="inlineStr">
        <is>
          <t>Conduit RMC</t>
        </is>
      </c>
      <c r="E132" s="18" t="inlineStr">
        <is>
          <t>U</t>
        </is>
      </c>
      <c r="F132" s="21" t="n">
        <v>2</v>
      </c>
      <c r="G132" s="22" t="n">
        <v>155</v>
      </c>
      <c r="H132" s="22" t="n">
        <v>159.65</v>
      </c>
      <c r="I132" s="18" t="inlineStr">
        <is>
          <t>Megametales</t>
        </is>
      </c>
      <c r="J132" s="22" t="n">
        <v>167.4</v>
      </c>
      <c r="K132" s="18" t="inlineStr">
        <is>
          <t>Ferrisariato</t>
        </is>
      </c>
      <c r="L132" s="8">
        <f>F132*G132</f>
        <v/>
      </c>
      <c r="M132" s="145" t="inlineStr">
        <is>
          <t>IE-D50-CND-RMC-DN100</t>
        </is>
      </c>
      <c r="N132" s="18" t="inlineStr">
        <is>
          <t>Instalaciones eléctricas</t>
        </is>
      </c>
      <c r="O132" s="18" t="inlineStr">
        <is>
          <t>Estimado DION · criterio de mercado Guayaquil 2026 (no verificado en tienda)</t>
        </is>
      </c>
      <c r="P132" s="18" t="inlineStr">
        <is>
          <t>oct-2026 (est.)</t>
        </is>
      </c>
      <c r="Q132" s="18" t="n">
        <v>5</v>
      </c>
    </row>
    <row r="133">
      <c r="A133" s="23" t="n">
        <v>112</v>
      </c>
      <c r="B133" s="24" t="inlineStr">
        <is>
          <t xml:space="preserve">        Manguera Liquidtight / BX Metálica Flexible ½"</t>
        </is>
      </c>
      <c r="C133" s="25" t="inlineStr">
        <is>
          <t>Exterior / Motores</t>
        </is>
      </c>
      <c r="D133" s="23" t="inlineStr">
        <is>
          <t>Liquidtight</t>
        </is>
      </c>
      <c r="E133" s="23" t="inlineStr">
        <is>
          <t>m</t>
        </is>
      </c>
      <c r="F133" s="26" t="n">
        <v>10</v>
      </c>
      <c r="G133" s="27" t="n">
        <v>2.4</v>
      </c>
      <c r="H133" s="27" t="n">
        <v>2.52</v>
      </c>
      <c r="I133" s="23" t="inlineStr">
        <is>
          <t>Megametales</t>
        </is>
      </c>
      <c r="J133" s="27" t="n">
        <v>2.62</v>
      </c>
      <c r="K133" s="23" t="inlineStr">
        <is>
          <t>Kywi / Megakywi</t>
        </is>
      </c>
      <c r="L133" s="28">
        <f>F133*G133</f>
        <v/>
      </c>
      <c r="M133" s="146" t="inlineStr">
        <is>
          <t>IE-D50-CND-BX-DN15</t>
        </is>
      </c>
      <c r="N133" s="23" t="inlineStr">
        <is>
          <t>Instalaciones eléctricas</t>
        </is>
      </c>
      <c r="O133" s="23" t="inlineStr">
        <is>
          <t>Estimado DION · criterio de mercado Guayaquil 2026 (no verificado en tienda)</t>
        </is>
      </c>
      <c r="P133" s="23" t="inlineStr">
        <is>
          <t>oct-2026 (est.)</t>
        </is>
      </c>
      <c r="Q133" s="23" t="n">
        <v>5</v>
      </c>
    </row>
    <row r="134">
      <c r="A134" s="18" t="n">
        <v>113</v>
      </c>
      <c r="B134" s="19" t="inlineStr">
        <is>
          <t xml:space="preserve">        Manguera Liquidtight / BX Metálica Flexible 1"</t>
        </is>
      </c>
      <c r="C134" s="20" t="inlineStr">
        <is>
          <t>Exterior / Motores</t>
        </is>
      </c>
      <c r="D134" s="18" t="inlineStr">
        <is>
          <t>Liquidtight</t>
        </is>
      </c>
      <c r="E134" s="18" t="inlineStr">
        <is>
          <t>m</t>
        </is>
      </c>
      <c r="F134" s="21" t="n">
        <v>10</v>
      </c>
      <c r="G134" s="22" t="n">
        <v>4.6</v>
      </c>
      <c r="H134" s="22" t="n">
        <v>4.74</v>
      </c>
      <c r="I134" s="18" t="inlineStr">
        <is>
          <t>Megametales</t>
        </is>
      </c>
      <c r="J134" s="22" t="n">
        <v>5.06</v>
      </c>
      <c r="K134" s="18" t="inlineStr">
        <is>
          <t>Ferrisariato</t>
        </is>
      </c>
      <c r="L134" s="8">
        <f>F134*G134</f>
        <v/>
      </c>
      <c r="M134" s="145" t="inlineStr">
        <is>
          <t>IE-D50-CND-BX-DN25</t>
        </is>
      </c>
      <c r="N134" s="18" t="inlineStr">
        <is>
          <t>Instalaciones eléctricas</t>
        </is>
      </c>
      <c r="O134" s="18" t="inlineStr">
        <is>
          <t>Estimado DION · criterio de mercado Guayaquil 2026 (no verificado en tienda)</t>
        </is>
      </c>
      <c r="P134" s="18" t="inlineStr">
        <is>
          <t>oct-2026 (est.)</t>
        </is>
      </c>
      <c r="Q134" s="18" t="n">
        <v>5</v>
      </c>
    </row>
    <row r="135">
      <c r="A135" s="23" t="n">
        <v>114</v>
      </c>
      <c r="B135" s="24" t="inlineStr">
        <is>
          <t xml:space="preserve">        Manguera Corrugada Poliducto Naranja ½" (Losas/Paredes)</t>
        </is>
      </c>
      <c r="C135" s="25" t="inlineStr">
        <is>
          <t>Residencial</t>
        </is>
      </c>
      <c r="D135" s="23" t="inlineStr">
        <is>
          <t>Poliducto</t>
        </is>
      </c>
      <c r="E135" s="23" t="inlineStr">
        <is>
          <t>m</t>
        </is>
      </c>
      <c r="F135" s="26" t="n">
        <v>100</v>
      </c>
      <c r="G135" s="27" t="n">
        <v>0.28</v>
      </c>
      <c r="H135" s="27" t="n">
        <v>0.29</v>
      </c>
      <c r="I135" s="23" t="inlineStr">
        <is>
          <t>Megametales</t>
        </is>
      </c>
      <c r="J135" s="27" t="n">
        <v>0.3</v>
      </c>
      <c r="K135" s="23" t="inlineStr">
        <is>
          <t>Kywi / Megakywi</t>
        </is>
      </c>
      <c r="L135" s="28">
        <f>F135*G135</f>
        <v/>
      </c>
      <c r="M135" s="146" t="inlineStr">
        <is>
          <t>IE-D50-CND-MAN-025</t>
        </is>
      </c>
      <c r="N135" s="23" t="inlineStr">
        <is>
          <t>Instalaciones eléctricas</t>
        </is>
      </c>
      <c r="O135" s="23" t="inlineStr">
        <is>
          <t>Estimado DION · criterio de mercado Guayaquil 2026 (no verificado en tienda)</t>
        </is>
      </c>
      <c r="P135" s="23" t="inlineStr">
        <is>
          <t>oct-2026 (est.)</t>
        </is>
      </c>
      <c r="Q135" s="23" t="n">
        <v>5</v>
      </c>
    </row>
    <row r="136">
      <c r="A136" s="18" t="n">
        <v>115</v>
      </c>
      <c r="B136" s="19" t="inlineStr">
        <is>
          <t xml:space="preserve">        Ducto PEAD/PVC Corrugado Ø110 mm Red Subterránea</t>
        </is>
      </c>
      <c r="C136" s="20" t="inlineStr">
        <is>
          <t>Urbanización / Comercial</t>
        </is>
      </c>
      <c r="D136" s="18" t="inlineStr">
        <is>
          <t>Ducto Subterráneo</t>
        </is>
      </c>
      <c r="E136" s="18" t="inlineStr">
        <is>
          <t>m</t>
        </is>
      </c>
      <c r="F136" s="21" t="n">
        <v>30</v>
      </c>
      <c r="G136" s="22" t="n">
        <v>5.6</v>
      </c>
      <c r="H136" s="22" t="n">
        <v>5.77</v>
      </c>
      <c r="I136" s="18" t="inlineStr">
        <is>
          <t>Megametales</t>
        </is>
      </c>
      <c r="J136" s="22" t="n">
        <v>6.16</v>
      </c>
      <c r="K136" s="18" t="inlineStr">
        <is>
          <t>Ferrisariato</t>
        </is>
      </c>
      <c r="L136" s="8">
        <f>F136*G136</f>
        <v/>
      </c>
      <c r="M136" s="145" t="inlineStr">
        <is>
          <t>IE-D50-CND-PEAD-110</t>
        </is>
      </c>
      <c r="N136" s="18" t="inlineStr">
        <is>
          <t>Instalaciones eléctricas</t>
        </is>
      </c>
      <c r="O136" s="18" t="inlineStr">
        <is>
          <t>Estimado DION · criterio de mercado Guayaquil 2026 (no verificado en tienda)</t>
        </is>
      </c>
      <c r="P136" s="18" t="inlineStr">
        <is>
          <t>oct-2026 (est.)</t>
        </is>
      </c>
      <c r="Q136" s="18" t="n">
        <v>3</v>
      </c>
    </row>
    <row r="137">
      <c r="A137" s="23" t="n">
        <v>116</v>
      </c>
      <c r="B137" s="24" t="inlineStr">
        <is>
          <t xml:space="preserve">        Ducto PEAD/PVC Corrugado Ø160 mm Red Subterránea</t>
        </is>
      </c>
      <c r="C137" s="25" t="inlineStr">
        <is>
          <t>Urbanización / Industrial</t>
        </is>
      </c>
      <c r="D137" s="23" t="inlineStr">
        <is>
          <t>Ducto Subterráneo</t>
        </is>
      </c>
      <c r="E137" s="23" t="inlineStr">
        <is>
          <t>m</t>
        </is>
      </c>
      <c r="F137" s="26" t="n">
        <v>20</v>
      </c>
      <c r="G137" s="27" t="n">
        <v>9.800000000000001</v>
      </c>
      <c r="H137" s="27" t="n">
        <v>10.29</v>
      </c>
      <c r="I137" s="23" t="inlineStr">
        <is>
          <t>Megametales</t>
        </is>
      </c>
      <c r="J137" s="27" t="n">
        <v>10.58</v>
      </c>
      <c r="K137" s="23" t="inlineStr">
        <is>
          <t>Kywi / Megakywi</t>
        </is>
      </c>
      <c r="L137" s="28">
        <f>F137*G137</f>
        <v/>
      </c>
      <c r="M137" s="146" t="inlineStr">
        <is>
          <t>IE-D50-CND-PEAD-160</t>
        </is>
      </c>
      <c r="N137" s="23" t="inlineStr">
        <is>
          <t>Instalaciones eléctricas</t>
        </is>
      </c>
      <c r="O137" s="23" t="inlineStr">
        <is>
          <t>Estimado DION · criterio de mercado Guayaquil 2026 (no verificado en tienda)</t>
        </is>
      </c>
      <c r="P137" s="23" t="inlineStr">
        <is>
          <t>oct-2026 (est.)</t>
        </is>
      </c>
      <c r="Q137" s="23" t="n">
        <v>3</v>
      </c>
    </row>
    <row r="138">
      <c r="A138" s="16" t="inlineStr">
        <is>
          <t xml:space="preserve">  ► CATEGORÍA: BANDEJAS PORTACABLES Y CANALETAS</t>
        </is>
      </c>
      <c r="B138" s="143" t="n"/>
      <c r="C138" s="143" t="n"/>
      <c r="D138" s="143" t="n"/>
      <c r="E138" s="143" t="n"/>
      <c r="F138" s="143" t="n"/>
      <c r="G138" s="143" t="n"/>
      <c r="H138" s="143" t="n"/>
      <c r="I138" s="143" t="n"/>
      <c r="J138" s="143" t="n"/>
      <c r="K138" s="143" t="n"/>
      <c r="L138" s="143" t="n"/>
      <c r="M138" s="143" t="n"/>
      <c r="N138" s="143" t="n"/>
      <c r="O138" s="143" t="n"/>
      <c r="P138" s="143" t="n"/>
      <c r="Q138" s="144" t="n"/>
    </row>
    <row r="139">
      <c r="A139" s="17" t="inlineStr">
        <is>
          <t xml:space="preserve">      • Subcategoría Especificada: Escalera, Malla, Canal y Canaletas Plásticas</t>
        </is>
      </c>
      <c r="B139" s="143" t="n"/>
      <c r="C139" s="143" t="n"/>
      <c r="D139" s="143" t="n"/>
      <c r="E139" s="143" t="n"/>
      <c r="F139" s="143" t="n"/>
      <c r="G139" s="143" t="n"/>
      <c r="H139" s="143" t="n"/>
      <c r="I139" s="143" t="n"/>
      <c r="J139" s="143" t="n"/>
      <c r="K139" s="143" t="n"/>
      <c r="L139" s="143" t="n"/>
      <c r="M139" s="143" t="n"/>
      <c r="N139" s="143" t="n"/>
      <c r="O139" s="143" t="n"/>
      <c r="P139" s="143" t="n"/>
      <c r="Q139" s="144" t="n"/>
    </row>
    <row r="140">
      <c r="A140" s="18" t="n">
        <v>117</v>
      </c>
      <c r="B140" s="19" t="inlineStr">
        <is>
          <t xml:space="preserve">        Canaleta Plástica 40x25mm para Cables (2m)</t>
        </is>
      </c>
      <c r="C140" s="20" t="inlineStr">
        <is>
          <t>Comercial / Oficinas</t>
        </is>
      </c>
      <c r="D140" s="18" t="inlineStr">
        <is>
          <t>Canaletas Plásticas</t>
        </is>
      </c>
      <c r="E140" s="18" t="inlineStr">
        <is>
          <t>U</t>
        </is>
      </c>
      <c r="F140" s="21" t="n">
        <v>8</v>
      </c>
      <c r="G140" s="22" t="n">
        <v>3.8</v>
      </c>
      <c r="H140" s="22" t="n">
        <v>3.95</v>
      </c>
      <c r="I140" s="18" t="inlineStr">
        <is>
          <t>Megametales</t>
        </is>
      </c>
      <c r="J140" s="22" t="n">
        <v>4.3</v>
      </c>
      <c r="K140" s="18" t="inlineStr">
        <is>
          <t>Kywi / Megakywi</t>
        </is>
      </c>
      <c r="L140" s="8">
        <f>F140*G140</f>
        <v/>
      </c>
      <c r="M140" s="145" t="inlineStr">
        <is>
          <t>IE-D50-BPC-CNP-40X25</t>
        </is>
      </c>
      <c r="N140" s="18" t="inlineStr">
        <is>
          <t>Instalaciones eléctricas</t>
        </is>
      </c>
      <c r="O140" s="18" t="inlineStr">
        <is>
          <t>Estimado · base original del usuario (sin cotización verificada)</t>
        </is>
      </c>
      <c r="P140" s="18" t="inlineStr">
        <is>
          <t>oct-2026 (est.)</t>
        </is>
      </c>
      <c r="Q140" s="18" t="n"/>
    </row>
    <row r="141">
      <c r="A141" s="23" t="n">
        <v>118</v>
      </c>
      <c r="B141" s="24" t="inlineStr">
        <is>
          <t xml:space="preserve">        Bandeja Portacables Tipo Escalera Aluminio 200x100mm (3m)</t>
        </is>
      </c>
      <c r="C141" s="25" t="inlineStr">
        <is>
          <t>Comercial / Industrial</t>
        </is>
      </c>
      <c r="D141" s="23" t="inlineStr">
        <is>
          <t>Bandejas Escalera</t>
        </is>
      </c>
      <c r="E141" s="23" t="inlineStr">
        <is>
          <t>U</t>
        </is>
      </c>
      <c r="F141" s="26" t="n">
        <v>4</v>
      </c>
      <c r="G141" s="27" t="n">
        <v>45</v>
      </c>
      <c r="H141" s="27" t="n">
        <v>46.8</v>
      </c>
      <c r="I141" s="23" t="inlineStr">
        <is>
          <t>Megametales</t>
        </is>
      </c>
      <c r="J141" s="27" t="n">
        <v>49.5</v>
      </c>
      <c r="K141" s="23" t="inlineStr">
        <is>
          <t>Kywi / Megakywi</t>
        </is>
      </c>
      <c r="L141" s="28">
        <f>F141*G141</f>
        <v/>
      </c>
      <c r="M141" s="146" t="inlineStr">
        <is>
          <t>IE-D50-BPC-ESC-200X100</t>
        </is>
      </c>
      <c r="N141" s="23" t="inlineStr">
        <is>
          <t>Instalaciones eléctricas</t>
        </is>
      </c>
      <c r="O141" s="23" t="inlineStr">
        <is>
          <t>Estimado · base original del usuario (sin cotización verificada)</t>
        </is>
      </c>
      <c r="P141" s="23" t="inlineStr">
        <is>
          <t>oct-2026 (est.)</t>
        </is>
      </c>
      <c r="Q141" s="23" t="n"/>
    </row>
    <row r="142">
      <c r="A142" s="17" t="inlineStr">
        <is>
          <t xml:space="preserve">      • Subcategoría Especificada: Medidas Comerciales de Canaletas y Bandejas + Accesorios</t>
        </is>
      </c>
      <c r="B142" s="143" t="n"/>
      <c r="C142" s="143" t="n"/>
      <c r="D142" s="143" t="n"/>
      <c r="E142" s="143" t="n"/>
      <c r="F142" s="143" t="n"/>
      <c r="G142" s="143" t="n"/>
      <c r="H142" s="143" t="n"/>
      <c r="I142" s="143" t="n"/>
      <c r="J142" s="143" t="n"/>
      <c r="K142" s="143" t="n"/>
      <c r="L142" s="143" t="n"/>
      <c r="M142" s="143" t="n"/>
      <c r="N142" s="143" t="n"/>
      <c r="O142" s="143" t="n"/>
      <c r="P142" s="143" t="n"/>
      <c r="Q142" s="144" t="n"/>
    </row>
    <row r="143">
      <c r="A143" s="18" t="n">
        <v>119</v>
      </c>
      <c r="B143" s="19" t="inlineStr">
        <is>
          <t xml:space="preserve">        Canaleta Plástica con Adhesivo 20x12 mm (2 m)</t>
        </is>
      </c>
      <c r="C143" s="20" t="inlineStr">
        <is>
          <t>Residencial / Oficinas</t>
        </is>
      </c>
      <c r="D143" s="18" t="inlineStr">
        <is>
          <t>Canaletas Plásticas</t>
        </is>
      </c>
      <c r="E143" s="18" t="inlineStr">
        <is>
          <t>U</t>
        </is>
      </c>
      <c r="F143" s="21" t="n">
        <v>10</v>
      </c>
      <c r="G143" s="22" t="n">
        <v>1.65</v>
      </c>
      <c r="H143" s="22" t="n">
        <v>1.73</v>
      </c>
      <c r="I143" s="18" t="inlineStr">
        <is>
          <t>Megametales</t>
        </is>
      </c>
      <c r="J143" s="22" t="n">
        <v>1.78</v>
      </c>
      <c r="K143" s="18" t="inlineStr">
        <is>
          <t>Ferrisariato</t>
        </is>
      </c>
      <c r="L143" s="8">
        <f>F143*G143</f>
        <v/>
      </c>
      <c r="M143" s="145" t="inlineStr">
        <is>
          <t>IE-D50-BPC-CNP-20X12</t>
        </is>
      </c>
      <c r="N143" s="18" t="inlineStr">
        <is>
          <t>Instalaciones eléctricas</t>
        </is>
      </c>
      <c r="O143" s="18" t="inlineStr">
        <is>
          <t>Estimado DION · criterio de mercado Guayaquil 2026 (no verificado en tienda)</t>
        </is>
      </c>
      <c r="P143" s="18" t="inlineStr">
        <is>
          <t>oct-2026 (est.)</t>
        </is>
      </c>
      <c r="Q143" s="18" t="n"/>
    </row>
    <row r="144">
      <c r="A144" s="23" t="n">
        <v>120</v>
      </c>
      <c r="B144" s="24" t="inlineStr">
        <is>
          <t xml:space="preserve">        Canaleta Plástica con División 60x40 mm (2 m)</t>
        </is>
      </c>
      <c r="C144" s="25" t="inlineStr">
        <is>
          <t>Comercial / Oficinas</t>
        </is>
      </c>
      <c r="D144" s="23" t="inlineStr">
        <is>
          <t>Canaletas Plásticas</t>
        </is>
      </c>
      <c r="E144" s="23" t="inlineStr">
        <is>
          <t>U</t>
        </is>
      </c>
      <c r="F144" s="26" t="n">
        <v>6</v>
      </c>
      <c r="G144" s="27" t="n">
        <v>7.6</v>
      </c>
      <c r="H144" s="27" t="n">
        <v>7.9</v>
      </c>
      <c r="I144" s="23" t="inlineStr">
        <is>
          <t>Megametales</t>
        </is>
      </c>
      <c r="J144" s="27" t="n">
        <v>8.359999999999999</v>
      </c>
      <c r="K144" s="23" t="inlineStr">
        <is>
          <t>Kywi / Megakywi</t>
        </is>
      </c>
      <c r="L144" s="28">
        <f>F144*G144</f>
        <v/>
      </c>
      <c r="M144" s="146" t="inlineStr">
        <is>
          <t>IE-D50-BPC-CNP-60X40</t>
        </is>
      </c>
      <c r="N144" s="23" t="inlineStr">
        <is>
          <t>Instalaciones eléctricas</t>
        </is>
      </c>
      <c r="O144" s="23" t="inlineStr">
        <is>
          <t>Estimado DION · criterio de mercado Guayaquil 2026 (no verificado en tienda)</t>
        </is>
      </c>
      <c r="P144" s="23" t="inlineStr">
        <is>
          <t>oct-2026 (est.)</t>
        </is>
      </c>
      <c r="Q144" s="23" t="n"/>
    </row>
    <row r="145">
      <c r="A145" s="18" t="n">
        <v>121</v>
      </c>
      <c r="B145" s="19" t="inlineStr">
        <is>
          <t xml:space="preserve">        Canaleta Plástica Perimetral 100x45 mm (2 m)</t>
        </is>
      </c>
      <c r="C145" s="20" t="inlineStr">
        <is>
          <t>Comercial / Oficinas</t>
        </is>
      </c>
      <c r="D145" s="18" t="inlineStr">
        <is>
          <t>Canaletas Plásticas</t>
        </is>
      </c>
      <c r="E145" s="18" t="inlineStr">
        <is>
          <t>U</t>
        </is>
      </c>
      <c r="F145" s="21" t="n">
        <v>4</v>
      </c>
      <c r="G145" s="22" t="n">
        <v>13.5</v>
      </c>
      <c r="H145" s="22" t="n">
        <v>14.04</v>
      </c>
      <c r="I145" s="18" t="inlineStr">
        <is>
          <t>Megametales</t>
        </is>
      </c>
      <c r="J145" s="22" t="n">
        <v>14.45</v>
      </c>
      <c r="K145" s="18" t="inlineStr">
        <is>
          <t>Ferrisariato</t>
        </is>
      </c>
      <c r="L145" s="8">
        <f>F145*G145</f>
        <v/>
      </c>
      <c r="M145" s="145" t="inlineStr">
        <is>
          <t>IE-D50-BPC-CNP-100X45</t>
        </is>
      </c>
      <c r="N145" s="18" t="inlineStr">
        <is>
          <t>Instalaciones eléctricas</t>
        </is>
      </c>
      <c r="O145" s="18" t="inlineStr">
        <is>
          <t>Estimado DION · criterio de mercado Guayaquil 2026 (no verificado en tienda)</t>
        </is>
      </c>
      <c r="P145" s="18" t="inlineStr">
        <is>
          <t>oct-2026 (est.)</t>
        </is>
      </c>
      <c r="Q145" s="18" t="n"/>
    </row>
    <row r="146">
      <c r="A146" s="23" t="n">
        <v>122</v>
      </c>
      <c r="B146" s="24" t="inlineStr">
        <is>
          <t xml:space="preserve">        Canaleta de Piso Pasacables 70x15 mm (2 m)</t>
        </is>
      </c>
      <c r="C146" s="25" t="inlineStr">
        <is>
          <t>Comercial / Oficinas</t>
        </is>
      </c>
      <c r="D146" s="23" t="inlineStr">
        <is>
          <t>Canaletas de Piso</t>
        </is>
      </c>
      <c r="E146" s="23" t="inlineStr">
        <is>
          <t>U</t>
        </is>
      </c>
      <c r="F146" s="26" t="n">
        <v>2</v>
      </c>
      <c r="G146" s="27" t="n">
        <v>8.9</v>
      </c>
      <c r="H146" s="27" t="n">
        <v>9.26</v>
      </c>
      <c r="I146" s="23" t="inlineStr">
        <is>
          <t>Megametales</t>
        </is>
      </c>
      <c r="J146" s="27" t="n">
        <v>9.609999999999999</v>
      </c>
      <c r="K146" s="23" t="inlineStr">
        <is>
          <t>Kywi / Megakywi</t>
        </is>
      </c>
      <c r="L146" s="28">
        <f>F146*G146</f>
        <v/>
      </c>
      <c r="M146" s="146" t="inlineStr">
        <is>
          <t>IE-D50-BPC-CAN-PIS</t>
        </is>
      </c>
      <c r="N146" s="23" t="inlineStr">
        <is>
          <t>Instalaciones eléctricas</t>
        </is>
      </c>
      <c r="O146" s="23" t="inlineStr">
        <is>
          <t>Estimado DION · criterio de mercado Guayaquil 2026 (no verificado en tienda)</t>
        </is>
      </c>
      <c r="P146" s="23" t="inlineStr">
        <is>
          <t>oct-2026 (est.)</t>
        </is>
      </c>
      <c r="Q146" s="23" t="n"/>
    </row>
    <row r="147">
      <c r="A147" s="18" t="n">
        <v>123</v>
      </c>
      <c r="B147" s="19" t="inlineStr">
        <is>
          <t xml:space="preserve">        Bandeja Portacables Escalera Galvanizada 100x100 mm (3 m)</t>
        </is>
      </c>
      <c r="C147" s="20" t="inlineStr">
        <is>
          <t>Comercial / Industrial</t>
        </is>
      </c>
      <c r="D147" s="18" t="inlineStr">
        <is>
          <t>Bandejas Escalera</t>
        </is>
      </c>
      <c r="E147" s="18" t="inlineStr">
        <is>
          <t>U</t>
        </is>
      </c>
      <c r="F147" s="21" t="n">
        <v>2</v>
      </c>
      <c r="G147" s="22" t="n">
        <v>30</v>
      </c>
      <c r="H147" s="22" t="n">
        <v>31.2</v>
      </c>
      <c r="I147" s="18" t="inlineStr">
        <is>
          <t>Megametales</t>
        </is>
      </c>
      <c r="J147" s="22" t="n">
        <v>33.3</v>
      </c>
      <c r="K147" s="18" t="inlineStr">
        <is>
          <t>Ferrisariato</t>
        </is>
      </c>
      <c r="L147" s="8">
        <f>F147*G147</f>
        <v/>
      </c>
      <c r="M147" s="145" t="inlineStr">
        <is>
          <t>IE-D50-BPC-ESC-100X100</t>
        </is>
      </c>
      <c r="N147" s="18" t="inlineStr">
        <is>
          <t>Instalaciones eléctricas</t>
        </is>
      </c>
      <c r="O147" s="18" t="inlineStr">
        <is>
          <t>Estimado DION · criterio de mercado Guayaquil 2026 (no verificado en tienda)</t>
        </is>
      </c>
      <c r="P147" s="18" t="inlineStr">
        <is>
          <t>oct-2026 (est.)</t>
        </is>
      </c>
      <c r="Q147" s="18" t="n"/>
    </row>
    <row r="148">
      <c r="A148" s="23" t="n">
        <v>124</v>
      </c>
      <c r="B148" s="24" t="inlineStr">
        <is>
          <t xml:space="preserve">        Bandeja Portacables Escalera Galvanizada 300x100 mm (3 m)</t>
        </is>
      </c>
      <c r="C148" s="25" t="inlineStr">
        <is>
          <t>Comercial / Industrial</t>
        </is>
      </c>
      <c r="D148" s="23" t="inlineStr">
        <is>
          <t>Bandejas Escalera</t>
        </is>
      </c>
      <c r="E148" s="23" t="inlineStr">
        <is>
          <t>U</t>
        </is>
      </c>
      <c r="F148" s="26" t="n">
        <v>2</v>
      </c>
      <c r="G148" s="27" t="n">
        <v>62</v>
      </c>
      <c r="H148" s="27" t="n">
        <v>64.48</v>
      </c>
      <c r="I148" s="23" t="inlineStr">
        <is>
          <t>Megametales</t>
        </is>
      </c>
      <c r="J148" s="27" t="n">
        <v>68.2</v>
      </c>
      <c r="K148" s="23" t="inlineStr">
        <is>
          <t>Kywi / Megakywi</t>
        </is>
      </c>
      <c r="L148" s="28">
        <f>F148*G148</f>
        <v/>
      </c>
      <c r="M148" s="146" t="inlineStr">
        <is>
          <t>IE-D50-BPC-ESC-300X100</t>
        </is>
      </c>
      <c r="N148" s="23" t="inlineStr">
        <is>
          <t>Instalaciones eléctricas</t>
        </is>
      </c>
      <c r="O148" s="23" t="inlineStr">
        <is>
          <t>Estimado DION · criterio de mercado Guayaquil 2026 (no verificado en tienda)</t>
        </is>
      </c>
      <c r="P148" s="23" t="inlineStr">
        <is>
          <t>oct-2026 (est.)</t>
        </is>
      </c>
      <c r="Q148" s="23" t="n"/>
    </row>
    <row r="149">
      <c r="A149" s="18" t="n">
        <v>125</v>
      </c>
      <c r="B149" s="19" t="inlineStr">
        <is>
          <t xml:space="preserve">        Bandeja Portacables Escalera Galvanizada 400x100 mm (3 m)</t>
        </is>
      </c>
      <c r="C149" s="20" t="inlineStr">
        <is>
          <t>Comercial / Industrial</t>
        </is>
      </c>
      <c r="D149" s="18" t="inlineStr">
        <is>
          <t>Bandejas Escalera</t>
        </is>
      </c>
      <c r="E149" s="18" t="inlineStr">
        <is>
          <t>U</t>
        </is>
      </c>
      <c r="F149" s="21" t="n">
        <v>2</v>
      </c>
      <c r="G149" s="22" t="n">
        <v>78</v>
      </c>
      <c r="H149" s="22" t="n">
        <v>81.12</v>
      </c>
      <c r="I149" s="18" t="inlineStr">
        <is>
          <t>Megametales</t>
        </is>
      </c>
      <c r="J149" s="22" t="n">
        <v>86.58</v>
      </c>
      <c r="K149" s="18" t="inlineStr">
        <is>
          <t>Ferrisariato</t>
        </is>
      </c>
      <c r="L149" s="8">
        <f>F149*G149</f>
        <v/>
      </c>
      <c r="M149" s="145" t="inlineStr">
        <is>
          <t>IE-D50-BPC-ESC-400X100</t>
        </is>
      </c>
      <c r="N149" s="18" t="inlineStr">
        <is>
          <t>Instalaciones eléctricas</t>
        </is>
      </c>
      <c r="O149" s="18" t="inlineStr">
        <is>
          <t>Estimado DION · criterio de mercado Guayaquil 2026 (no verificado en tienda)</t>
        </is>
      </c>
      <c r="P149" s="18" t="inlineStr">
        <is>
          <t>oct-2026 (est.)</t>
        </is>
      </c>
      <c r="Q149" s="18" t="n"/>
    </row>
    <row r="150">
      <c r="A150" s="23" t="n">
        <v>126</v>
      </c>
      <c r="B150" s="24" t="inlineStr">
        <is>
          <t xml:space="preserve">        Bandeja Portacables Escalera Galvanizada 600x100 mm (3 m)</t>
        </is>
      </c>
      <c r="C150" s="25" t="inlineStr">
        <is>
          <t>Comercial / Industrial</t>
        </is>
      </c>
      <c r="D150" s="23" t="inlineStr">
        <is>
          <t>Bandejas Escalera</t>
        </is>
      </c>
      <c r="E150" s="23" t="inlineStr">
        <is>
          <t>U</t>
        </is>
      </c>
      <c r="F150" s="26" t="n">
        <v>2</v>
      </c>
      <c r="G150" s="27" t="n">
        <v>108</v>
      </c>
      <c r="H150" s="27" t="n">
        <v>112.32</v>
      </c>
      <c r="I150" s="23" t="inlineStr">
        <is>
          <t>Megametales</t>
        </is>
      </c>
      <c r="J150" s="27" t="n">
        <v>119.88</v>
      </c>
      <c r="K150" s="23" t="inlineStr">
        <is>
          <t>Kywi / Megakywi</t>
        </is>
      </c>
      <c r="L150" s="28">
        <f>F150*G150</f>
        <v/>
      </c>
      <c r="M150" s="146" t="inlineStr">
        <is>
          <t>IE-D50-BPC-ESC-600X100</t>
        </is>
      </c>
      <c r="N150" s="23" t="inlineStr">
        <is>
          <t>Instalaciones eléctricas</t>
        </is>
      </c>
      <c r="O150" s="23" t="inlineStr">
        <is>
          <t>Estimado DION · criterio de mercado Guayaquil 2026 (no verificado en tienda)</t>
        </is>
      </c>
      <c r="P150" s="23" t="inlineStr">
        <is>
          <t>oct-2026 (est.)</t>
        </is>
      </c>
      <c r="Q150" s="23" t="n"/>
    </row>
    <row r="151">
      <c r="A151" s="18" t="n">
        <v>127</v>
      </c>
      <c r="B151" s="19" t="inlineStr">
        <is>
          <t xml:space="preserve">        Bandeja Portacables Tipo Malla (Rejiband) 100x100 mm (3 m)</t>
        </is>
      </c>
      <c r="C151" s="20" t="inlineStr">
        <is>
          <t>Comercial / Industrial / Datos</t>
        </is>
      </c>
      <c r="D151" s="18" t="inlineStr">
        <is>
          <t>Bandejas Malla</t>
        </is>
      </c>
      <c r="E151" s="18" t="inlineStr">
        <is>
          <t>U</t>
        </is>
      </c>
      <c r="F151" s="21" t="n">
        <v>2</v>
      </c>
      <c r="G151" s="22" t="n">
        <v>24</v>
      </c>
      <c r="H151" s="22" t="n">
        <v>25.2</v>
      </c>
      <c r="I151" s="18" t="inlineStr">
        <is>
          <t>Megametales</t>
        </is>
      </c>
      <c r="J151" s="22" t="n">
        <v>26.4</v>
      </c>
      <c r="K151" s="18" t="inlineStr">
        <is>
          <t>Ferrisariato</t>
        </is>
      </c>
      <c r="L151" s="8">
        <f>F151*G151</f>
        <v/>
      </c>
      <c r="M151" s="145" t="inlineStr">
        <is>
          <t>IE-D50-BPC-MLL-100X100</t>
        </is>
      </c>
      <c r="N151" s="18" t="inlineStr">
        <is>
          <t>Instalaciones eléctricas</t>
        </is>
      </c>
      <c r="O151" s="18" t="inlineStr">
        <is>
          <t>Estimado DION · criterio de mercado Guayaquil 2026 (no verificado en tienda)</t>
        </is>
      </c>
      <c r="P151" s="18" t="inlineStr">
        <is>
          <t>oct-2026 (est.)</t>
        </is>
      </c>
      <c r="Q151" s="18" t="n"/>
    </row>
    <row r="152">
      <c r="A152" s="23" t="n">
        <v>128</v>
      </c>
      <c r="B152" s="24" t="inlineStr">
        <is>
          <t xml:space="preserve">        Bandeja Portacables Tipo Malla (Rejiband) 200x100 mm (3 m)</t>
        </is>
      </c>
      <c r="C152" s="25" t="inlineStr">
        <is>
          <t>Comercial / Industrial / Datos</t>
        </is>
      </c>
      <c r="D152" s="23" t="inlineStr">
        <is>
          <t>Bandejas Malla</t>
        </is>
      </c>
      <c r="E152" s="23" t="inlineStr">
        <is>
          <t>U</t>
        </is>
      </c>
      <c r="F152" s="26" t="n">
        <v>2</v>
      </c>
      <c r="G152" s="27" t="n">
        <v>34</v>
      </c>
      <c r="H152" s="27" t="n">
        <v>35.36</v>
      </c>
      <c r="I152" s="23" t="inlineStr">
        <is>
          <t>Megametales</t>
        </is>
      </c>
      <c r="J152" s="27" t="n">
        <v>37.74</v>
      </c>
      <c r="K152" s="23" t="inlineStr">
        <is>
          <t>Kywi / Megakywi</t>
        </is>
      </c>
      <c r="L152" s="28">
        <f>F152*G152</f>
        <v/>
      </c>
      <c r="M152" s="146" t="inlineStr">
        <is>
          <t>IE-D50-BPC-MLL-200X100</t>
        </is>
      </c>
      <c r="N152" s="23" t="inlineStr">
        <is>
          <t>Instalaciones eléctricas</t>
        </is>
      </c>
      <c r="O152" s="23" t="inlineStr">
        <is>
          <t>Estimado DION · criterio de mercado Guayaquil 2026 (no verificado en tienda)</t>
        </is>
      </c>
      <c r="P152" s="23" t="inlineStr">
        <is>
          <t>oct-2026 (est.)</t>
        </is>
      </c>
      <c r="Q152" s="23" t="n"/>
    </row>
    <row r="153">
      <c r="A153" s="18" t="n">
        <v>129</v>
      </c>
      <c r="B153" s="19" t="inlineStr">
        <is>
          <t xml:space="preserve">        Bandeja Portacables Tipo Malla (Rejiband) 300x100 mm (3 m)</t>
        </is>
      </c>
      <c r="C153" s="20" t="inlineStr">
        <is>
          <t>Comercial / Industrial / Datos</t>
        </is>
      </c>
      <c r="D153" s="18" t="inlineStr">
        <is>
          <t>Bandejas Malla</t>
        </is>
      </c>
      <c r="E153" s="18" t="inlineStr">
        <is>
          <t>U</t>
        </is>
      </c>
      <c r="F153" s="21" t="n">
        <v>2</v>
      </c>
      <c r="G153" s="22" t="n">
        <v>48</v>
      </c>
      <c r="H153" s="22" t="n">
        <v>49.44</v>
      </c>
      <c r="I153" s="18" t="inlineStr">
        <is>
          <t>Megametales</t>
        </is>
      </c>
      <c r="J153" s="22" t="n">
        <v>52.32</v>
      </c>
      <c r="K153" s="18" t="inlineStr">
        <is>
          <t>Ferrisariato</t>
        </is>
      </c>
      <c r="L153" s="8">
        <f>F153*G153</f>
        <v/>
      </c>
      <c r="M153" s="145" t="inlineStr">
        <is>
          <t>IE-D50-BPC-MLL-300X100</t>
        </is>
      </c>
      <c r="N153" s="18" t="inlineStr">
        <is>
          <t>Instalaciones eléctricas</t>
        </is>
      </c>
      <c r="O153" s="18" t="inlineStr">
        <is>
          <t>Estimado DION · criterio de mercado Guayaquil 2026 (no verificado en tienda)</t>
        </is>
      </c>
      <c r="P153" s="18" t="inlineStr">
        <is>
          <t>oct-2026 (est.)</t>
        </is>
      </c>
      <c r="Q153" s="18" t="n"/>
    </row>
    <row r="154">
      <c r="A154" s="23" t="n">
        <v>130</v>
      </c>
      <c r="B154" s="24" t="inlineStr">
        <is>
          <t xml:space="preserve">        Bandeja Portacables Tipo Malla (Rejiband) 400x100 mm (3 m)</t>
        </is>
      </c>
      <c r="C154" s="25" t="inlineStr">
        <is>
          <t>Comercial / Industrial / Datos</t>
        </is>
      </c>
      <c r="D154" s="23" t="inlineStr">
        <is>
          <t>Bandejas Malla</t>
        </is>
      </c>
      <c r="E154" s="23" t="inlineStr">
        <is>
          <t>U</t>
        </is>
      </c>
      <c r="F154" s="26" t="n">
        <v>2</v>
      </c>
      <c r="G154" s="27" t="n">
        <v>60</v>
      </c>
      <c r="H154" s="27" t="n">
        <v>61.2</v>
      </c>
      <c r="I154" s="23" t="inlineStr">
        <is>
          <t>Megametales</t>
        </is>
      </c>
      <c r="J154" s="27" t="n">
        <v>64.8</v>
      </c>
      <c r="K154" s="23" t="inlineStr">
        <is>
          <t>Kywi / Megakywi</t>
        </is>
      </c>
      <c r="L154" s="28">
        <f>F154*G154</f>
        <v/>
      </c>
      <c r="M154" s="146" t="inlineStr">
        <is>
          <t>IE-D50-BPC-MLL-400X100</t>
        </is>
      </c>
      <c r="N154" s="23" t="inlineStr">
        <is>
          <t>Instalaciones eléctricas</t>
        </is>
      </c>
      <c r="O154" s="23" t="inlineStr">
        <is>
          <t>Estimado DION · criterio de mercado Guayaquil 2026 (no verificado en tienda)</t>
        </is>
      </c>
      <c r="P154" s="23" t="inlineStr">
        <is>
          <t>oct-2026 (est.)</t>
        </is>
      </c>
      <c r="Q154" s="23" t="n"/>
    </row>
    <row r="155">
      <c r="A155" s="18" t="n">
        <v>131</v>
      </c>
      <c r="B155" s="19" t="inlineStr">
        <is>
          <t xml:space="preserve">        Bandeja Portacables Tipo Malla (Rejiband) 600x100 mm (3 m)</t>
        </is>
      </c>
      <c r="C155" s="20" t="inlineStr">
        <is>
          <t>Comercial / Industrial / Datos</t>
        </is>
      </c>
      <c r="D155" s="18" t="inlineStr">
        <is>
          <t>Bandejas Malla</t>
        </is>
      </c>
      <c r="E155" s="18" t="inlineStr">
        <is>
          <t>U</t>
        </is>
      </c>
      <c r="F155" s="21" t="n">
        <v>2</v>
      </c>
      <c r="G155" s="22" t="n">
        <v>84</v>
      </c>
      <c r="H155" s="22" t="n">
        <v>87.36</v>
      </c>
      <c r="I155" s="18" t="inlineStr">
        <is>
          <t>Megametales</t>
        </is>
      </c>
      <c r="J155" s="22" t="n">
        <v>92.40000000000001</v>
      </c>
      <c r="K155" s="18" t="inlineStr">
        <is>
          <t>Ferrisariato</t>
        </is>
      </c>
      <c r="L155" s="8">
        <f>F155*G155</f>
        <v/>
      </c>
      <c r="M155" s="145" t="inlineStr">
        <is>
          <t>IE-D50-BPC-MLL-600X100</t>
        </is>
      </c>
      <c r="N155" s="18" t="inlineStr">
        <is>
          <t>Instalaciones eléctricas</t>
        </is>
      </c>
      <c r="O155" s="18" t="inlineStr">
        <is>
          <t>Estimado DION · criterio de mercado Guayaquil 2026 (no verificado en tienda)</t>
        </is>
      </c>
      <c r="P155" s="18" t="inlineStr">
        <is>
          <t>oct-2026 (est.)</t>
        </is>
      </c>
      <c r="Q155" s="18" t="n"/>
    </row>
    <row r="156">
      <c r="A156" s="23" t="n">
        <v>132</v>
      </c>
      <c r="B156" s="24" t="inlineStr">
        <is>
          <t xml:space="preserve">        Bandeja Portacables Tipo Canal Ciega con Tapa 200x100 mm (3 m)</t>
        </is>
      </c>
      <c r="C156" s="25" t="inlineStr">
        <is>
          <t>Industrial</t>
        </is>
      </c>
      <c r="D156" s="23" t="inlineStr">
        <is>
          <t>Bandejas Canal</t>
        </is>
      </c>
      <c r="E156" s="23" t="inlineStr">
        <is>
          <t>U</t>
        </is>
      </c>
      <c r="F156" s="26" t="n">
        <v>2</v>
      </c>
      <c r="G156" s="27" t="n">
        <v>52</v>
      </c>
      <c r="H156" s="27" t="n">
        <v>54.6</v>
      </c>
      <c r="I156" s="23" t="inlineStr">
        <is>
          <t>Megametales</t>
        </is>
      </c>
      <c r="J156" s="27" t="n">
        <v>56.16</v>
      </c>
      <c r="K156" s="23" t="inlineStr">
        <is>
          <t>Kywi / Megakywi</t>
        </is>
      </c>
      <c r="L156" s="28">
        <f>F156*G156</f>
        <v/>
      </c>
      <c r="M156" s="146" t="inlineStr">
        <is>
          <t>IE-D50-BPC-CAN-200X100</t>
        </is>
      </c>
      <c r="N156" s="23" t="inlineStr">
        <is>
          <t>Instalaciones eléctricas</t>
        </is>
      </c>
      <c r="O156" s="23" t="inlineStr">
        <is>
          <t>Estimado DION · criterio de mercado Guayaquil 2026 (no verificado en tienda)</t>
        </is>
      </c>
      <c r="P156" s="23" t="inlineStr">
        <is>
          <t>oct-2026 (est.)</t>
        </is>
      </c>
      <c r="Q156" s="23" t="n"/>
    </row>
    <row r="157">
      <c r="A157" s="18" t="n">
        <v>133</v>
      </c>
      <c r="B157" s="19" t="inlineStr">
        <is>
          <t xml:space="preserve">        Bandeja Portacables Tipo Canal Ciega con Tapa 300x100 mm (3 m)</t>
        </is>
      </c>
      <c r="C157" s="20" t="inlineStr">
        <is>
          <t>Industrial</t>
        </is>
      </c>
      <c r="D157" s="18" t="inlineStr">
        <is>
          <t>Bandejas Canal</t>
        </is>
      </c>
      <c r="E157" s="18" t="inlineStr">
        <is>
          <t>U</t>
        </is>
      </c>
      <c r="F157" s="21" t="n">
        <v>2</v>
      </c>
      <c r="G157" s="22" t="n">
        <v>68</v>
      </c>
      <c r="H157" s="22" t="n">
        <v>70.72</v>
      </c>
      <c r="I157" s="18" t="inlineStr">
        <is>
          <t>Megametales</t>
        </is>
      </c>
      <c r="J157" s="22" t="n">
        <v>73.44</v>
      </c>
      <c r="K157" s="18" t="inlineStr">
        <is>
          <t>Ferrisariato</t>
        </is>
      </c>
      <c r="L157" s="8">
        <f>F157*G157</f>
        <v/>
      </c>
      <c r="M157" s="145" t="inlineStr">
        <is>
          <t>IE-D50-BPC-CAN-300X100</t>
        </is>
      </c>
      <c r="N157" s="18" t="inlineStr">
        <is>
          <t>Instalaciones eléctricas</t>
        </is>
      </c>
      <c r="O157" s="18" t="inlineStr">
        <is>
          <t>Estimado DION · criterio de mercado Guayaquil 2026 (no verificado en tienda)</t>
        </is>
      </c>
      <c r="P157" s="18" t="inlineStr">
        <is>
          <t>oct-2026 (est.)</t>
        </is>
      </c>
      <c r="Q157" s="18" t="n"/>
    </row>
    <row r="158">
      <c r="A158" s="23" t="n">
        <v>134</v>
      </c>
      <c r="B158" s="24" t="inlineStr">
        <is>
          <t xml:space="preserve">        Bandeja Portacables Tipo Canal Ciega con Tapa 400x100 mm (3 m)</t>
        </is>
      </c>
      <c r="C158" s="25" t="inlineStr">
        <is>
          <t>Industrial</t>
        </is>
      </c>
      <c r="D158" s="23" t="inlineStr">
        <is>
          <t>Bandejas Canal</t>
        </is>
      </c>
      <c r="E158" s="23" t="inlineStr">
        <is>
          <t>U</t>
        </is>
      </c>
      <c r="F158" s="26" t="n">
        <v>2</v>
      </c>
      <c r="G158" s="27" t="n">
        <v>85</v>
      </c>
      <c r="H158" s="27" t="n">
        <v>86.7</v>
      </c>
      <c r="I158" s="23" t="inlineStr">
        <is>
          <t>Megametales</t>
        </is>
      </c>
      <c r="J158" s="27" t="n">
        <v>91.8</v>
      </c>
      <c r="K158" s="23" t="inlineStr">
        <is>
          <t>Kywi / Megakywi</t>
        </is>
      </c>
      <c r="L158" s="28">
        <f>F158*G158</f>
        <v/>
      </c>
      <c r="M158" s="146" t="inlineStr">
        <is>
          <t>IE-D50-BPC-CAN-400X100</t>
        </is>
      </c>
      <c r="N158" s="23" t="inlineStr">
        <is>
          <t>Instalaciones eléctricas</t>
        </is>
      </c>
      <c r="O158" s="23" t="inlineStr">
        <is>
          <t>Estimado DION · criterio de mercado Guayaquil 2026 (no verificado en tienda)</t>
        </is>
      </c>
      <c r="P158" s="23" t="inlineStr">
        <is>
          <t>oct-2026 (est.)</t>
        </is>
      </c>
      <c r="Q158" s="23" t="n"/>
    </row>
    <row r="159">
      <c r="A159" s="18" t="n">
        <v>135</v>
      </c>
      <c r="B159" s="19" t="inlineStr">
        <is>
          <t xml:space="preserve">        Curva Horizontal 90° para Bandeja 300 mm</t>
        </is>
      </c>
      <c r="C159" s="20" t="inlineStr">
        <is>
          <t>Comercial / Industrial</t>
        </is>
      </c>
      <c r="D159" s="18" t="inlineStr">
        <is>
          <t>Accesorios Bandeja</t>
        </is>
      </c>
      <c r="E159" s="18" t="inlineStr">
        <is>
          <t>U</t>
        </is>
      </c>
      <c r="F159" s="21" t="n">
        <v>2</v>
      </c>
      <c r="G159" s="22" t="n">
        <v>38</v>
      </c>
      <c r="H159" s="22" t="n">
        <v>39.52</v>
      </c>
      <c r="I159" s="18" t="inlineStr">
        <is>
          <t>Megametales</t>
        </is>
      </c>
      <c r="J159" s="22" t="n">
        <v>41.04</v>
      </c>
      <c r="K159" s="18" t="inlineStr">
        <is>
          <t>Ferrisariato</t>
        </is>
      </c>
      <c r="L159" s="8">
        <f>F159*G159</f>
        <v/>
      </c>
      <c r="M159" s="145" t="inlineStr">
        <is>
          <t>IE-D50-BPC-CUR-090</t>
        </is>
      </c>
      <c r="N159" s="18" t="inlineStr">
        <is>
          <t>Instalaciones eléctricas</t>
        </is>
      </c>
      <c r="O159" s="18" t="inlineStr">
        <is>
          <t>Estimado DION · criterio de mercado Guayaquil 2026 (no verificado en tienda)</t>
        </is>
      </c>
      <c r="P159" s="18" t="inlineStr">
        <is>
          <t>oct-2026 (est.)</t>
        </is>
      </c>
      <c r="Q159" s="18" t="n"/>
    </row>
    <row r="160">
      <c r="A160" s="23" t="n">
        <v>136</v>
      </c>
      <c r="B160" s="24" t="inlineStr">
        <is>
          <t xml:space="preserve">        Tee Horizontal para Bandeja 300 mm</t>
        </is>
      </c>
      <c r="C160" s="25" t="inlineStr">
        <is>
          <t>Comercial / Industrial</t>
        </is>
      </c>
      <c r="D160" s="23" t="inlineStr">
        <is>
          <t>Accesorios Bandeja</t>
        </is>
      </c>
      <c r="E160" s="23" t="inlineStr">
        <is>
          <t>U</t>
        </is>
      </c>
      <c r="F160" s="26" t="n">
        <v>1</v>
      </c>
      <c r="G160" s="27" t="n">
        <v>46</v>
      </c>
      <c r="H160" s="27" t="n">
        <v>48.3</v>
      </c>
      <c r="I160" s="23" t="inlineStr">
        <is>
          <t>Megametales</t>
        </is>
      </c>
      <c r="J160" s="27" t="n">
        <v>49.68</v>
      </c>
      <c r="K160" s="23" t="inlineStr">
        <is>
          <t>Kywi / Megakywi</t>
        </is>
      </c>
      <c r="L160" s="28">
        <f>F160*G160</f>
        <v/>
      </c>
      <c r="M160" s="146" t="inlineStr">
        <is>
          <t>IE-D50-BPC-TEE-HOR</t>
        </is>
      </c>
      <c r="N160" s="23" t="inlineStr">
        <is>
          <t>Instalaciones eléctricas</t>
        </is>
      </c>
      <c r="O160" s="23" t="inlineStr">
        <is>
          <t>Estimado DION · criterio de mercado Guayaquil 2026 (no verificado en tienda)</t>
        </is>
      </c>
      <c r="P160" s="23" t="inlineStr">
        <is>
          <t>oct-2026 (est.)</t>
        </is>
      </c>
      <c r="Q160" s="23" t="n"/>
    </row>
    <row r="161">
      <c r="A161" s="18" t="n">
        <v>137</v>
      </c>
      <c r="B161" s="19" t="inlineStr">
        <is>
          <t xml:space="preserve">        Cruz Horizontal para Bandeja 300 mm</t>
        </is>
      </c>
      <c r="C161" s="20" t="inlineStr">
        <is>
          <t>Comercial / Industrial</t>
        </is>
      </c>
      <c r="D161" s="18" t="inlineStr">
        <is>
          <t>Accesorios Bandeja</t>
        </is>
      </c>
      <c r="E161" s="18" t="inlineStr">
        <is>
          <t>U</t>
        </is>
      </c>
      <c r="F161" s="21" t="n">
        <v>1</v>
      </c>
      <c r="G161" s="22" t="n">
        <v>55</v>
      </c>
      <c r="H161" s="22" t="n">
        <v>56.1</v>
      </c>
      <c r="I161" s="18" t="inlineStr">
        <is>
          <t>Megametales</t>
        </is>
      </c>
      <c r="J161" s="22" t="n">
        <v>61.05</v>
      </c>
      <c r="K161" s="18" t="inlineStr">
        <is>
          <t>Ferrisariato</t>
        </is>
      </c>
      <c r="L161" s="8">
        <f>F161*G161</f>
        <v/>
      </c>
      <c r="M161" s="145" t="inlineStr">
        <is>
          <t>IE-D50-BPC-CRU</t>
        </is>
      </c>
      <c r="N161" s="18" t="inlineStr">
        <is>
          <t>Instalaciones eléctricas</t>
        </is>
      </c>
      <c r="O161" s="18" t="inlineStr">
        <is>
          <t>Estimado DION · criterio de mercado Guayaquil 2026 (no verificado en tienda)</t>
        </is>
      </c>
      <c r="P161" s="18" t="inlineStr">
        <is>
          <t>oct-2026 (est.)</t>
        </is>
      </c>
      <c r="Q161" s="18" t="n"/>
    </row>
    <row r="162">
      <c r="A162" s="14" t="inlineStr">
        <is>
          <t>EQUIPOS</t>
        </is>
      </c>
      <c r="B162" s="143" t="n"/>
      <c r="C162" s="143" t="n"/>
      <c r="D162" s="143" t="n"/>
      <c r="E162" s="143" t="n"/>
      <c r="F162" s="143" t="n"/>
      <c r="G162" s="143" t="n"/>
      <c r="H162" s="143" t="n"/>
      <c r="I162" s="143" t="n"/>
      <c r="J162" s="143" t="n"/>
      <c r="K162" s="143" t="n"/>
      <c r="L162" s="143" t="n"/>
      <c r="M162" s="143" t="n"/>
      <c r="N162" s="143" t="n"/>
      <c r="O162" s="143" t="n"/>
      <c r="P162" s="143" t="n"/>
      <c r="Q162" s="144" t="n"/>
    </row>
    <row r="163">
      <c r="A163" s="16" t="inlineStr">
        <is>
          <t xml:space="preserve">  ► CATEGORÍA: PANELES ELÉCTRICOS Y CENTROS DE CARGA</t>
        </is>
      </c>
      <c r="B163" s="143" t="n"/>
      <c r="C163" s="143" t="n"/>
      <c r="D163" s="143" t="n"/>
      <c r="E163" s="143" t="n"/>
      <c r="F163" s="143" t="n"/>
      <c r="G163" s="143" t="n"/>
      <c r="H163" s="143" t="n"/>
      <c r="I163" s="143" t="n"/>
      <c r="J163" s="143" t="n"/>
      <c r="K163" s="143" t="n"/>
      <c r="L163" s="143" t="n"/>
      <c r="M163" s="143" t="n"/>
      <c r="N163" s="143" t="n"/>
      <c r="O163" s="143" t="n"/>
      <c r="P163" s="143" t="n"/>
      <c r="Q163" s="144" t="n"/>
    </row>
    <row r="164">
      <c r="A164" s="17" t="inlineStr">
        <is>
          <t xml:space="preserve">      • Subcategoría Especificada: Main Breaker, Subpaneles, Main Lug, ATS, Medidores y TGBT</t>
        </is>
      </c>
      <c r="B164" s="143" t="n"/>
      <c r="C164" s="143" t="n"/>
      <c r="D164" s="143" t="n"/>
      <c r="E164" s="143" t="n"/>
      <c r="F164" s="143" t="n"/>
      <c r="G164" s="143" t="n"/>
      <c r="H164" s="143" t="n"/>
      <c r="I164" s="143" t="n"/>
      <c r="J164" s="143" t="n"/>
      <c r="K164" s="143" t="n"/>
      <c r="L164" s="143" t="n"/>
      <c r="M164" s="143" t="n"/>
      <c r="N164" s="143" t="n"/>
      <c r="O164" s="143" t="n"/>
      <c r="P164" s="143" t="n"/>
      <c r="Q164" s="144" t="n"/>
    </row>
    <row r="165">
      <c r="A165" s="23" t="n">
        <v>138</v>
      </c>
      <c r="B165" s="24" t="inlineStr">
        <is>
          <t xml:space="preserve">        Panel Principal 4 a 24 Espacios (60A-200A)</t>
        </is>
      </c>
      <c r="C165" s="25" t="inlineStr">
        <is>
          <t>Residencial / Comercial</t>
        </is>
      </c>
      <c r="D165" s="23" t="inlineStr">
        <is>
          <t>Paneles Main Breaker</t>
        </is>
      </c>
      <c r="E165" s="23" t="inlineStr">
        <is>
          <t>U</t>
        </is>
      </c>
      <c r="F165" s="26" t="n">
        <v>1</v>
      </c>
      <c r="G165" s="27" t="n">
        <v>95</v>
      </c>
      <c r="H165" s="27" t="n">
        <v>98</v>
      </c>
      <c r="I165" s="23" t="inlineStr">
        <is>
          <t>Megametales</t>
        </is>
      </c>
      <c r="J165" s="27" t="n">
        <v>104</v>
      </c>
      <c r="K165" s="23" t="inlineStr">
        <is>
          <t>Ferrisariato</t>
        </is>
      </c>
      <c r="L165" s="28">
        <f>F165*G165</f>
        <v/>
      </c>
      <c r="M165" s="146" t="inlineStr">
        <is>
          <t>IE-D50-TAB-CC1-12</t>
        </is>
      </c>
      <c r="N165" s="23" t="inlineStr">
        <is>
          <t>Instalaciones eléctricas</t>
        </is>
      </c>
      <c r="O165" s="23" t="inlineStr">
        <is>
          <t>Estimado · base original del usuario (sin cotización verificada)</t>
        </is>
      </c>
      <c r="P165" s="23" t="inlineStr">
        <is>
          <t>oct-2026 (est.)</t>
        </is>
      </c>
      <c r="Q165" s="23" t="n"/>
    </row>
    <row r="166">
      <c r="A166" s="18" t="n">
        <v>139</v>
      </c>
      <c r="B166" s="19" t="inlineStr">
        <is>
          <t xml:space="preserve">        Panel Principal 30 a 42 Espacios (200A-250A)</t>
        </is>
      </c>
      <c r="C166" s="20" t="inlineStr">
        <is>
          <t>Comercial / Edificios</t>
        </is>
      </c>
      <c r="D166" s="18" t="inlineStr">
        <is>
          <t>Paneles Main Breaker</t>
        </is>
      </c>
      <c r="E166" s="18" t="inlineStr">
        <is>
          <t>U</t>
        </is>
      </c>
      <c r="F166" s="21" t="n">
        <v>1</v>
      </c>
      <c r="G166" s="22" t="n">
        <v>185</v>
      </c>
      <c r="H166" s="22" t="n">
        <v>192</v>
      </c>
      <c r="I166" s="18" t="inlineStr">
        <is>
          <t>Megametales</t>
        </is>
      </c>
      <c r="J166" s="22" t="n">
        <v>205</v>
      </c>
      <c r="K166" s="18" t="inlineStr">
        <is>
          <t>Kywi / Megakywi</t>
        </is>
      </c>
      <c r="L166" s="8">
        <f>F166*G166</f>
        <v/>
      </c>
      <c r="M166" s="145" t="inlineStr">
        <is>
          <t>IE-D50-TAB-CC1-42</t>
        </is>
      </c>
      <c r="N166" s="18" t="inlineStr">
        <is>
          <t>Instalaciones eléctricas</t>
        </is>
      </c>
      <c r="O166" s="18" t="inlineStr">
        <is>
          <t>Estimado · base original del usuario (sin cotización verificada)</t>
        </is>
      </c>
      <c r="P166" s="18" t="inlineStr">
        <is>
          <t>oct-2026 (est.)</t>
        </is>
      </c>
      <c r="Q166" s="18" t="n"/>
    </row>
    <row r="167">
      <c r="A167" s="23" t="n">
        <v>140</v>
      </c>
      <c r="B167" s="24" t="inlineStr">
        <is>
          <t xml:space="preserve">        Panel Principal 60 a 100+ Espacios (300A-600A)</t>
        </is>
      </c>
      <c r="C167" s="25" t="inlineStr">
        <is>
          <t>Industrial Heavy Duty</t>
        </is>
      </c>
      <c r="D167" s="23" t="inlineStr">
        <is>
          <t>Paneles Main Breaker</t>
        </is>
      </c>
      <c r="E167" s="23" t="inlineStr">
        <is>
          <t>U</t>
        </is>
      </c>
      <c r="F167" s="26" t="n">
        <v>1</v>
      </c>
      <c r="G167" s="27" t="n">
        <v>680</v>
      </c>
      <c r="H167" s="27" t="n">
        <v>710</v>
      </c>
      <c r="I167" s="23" t="inlineStr">
        <is>
          <t>Megametales</t>
        </is>
      </c>
      <c r="J167" s="27" t="n">
        <v>745</v>
      </c>
      <c r="K167" s="23" t="inlineStr">
        <is>
          <t>Ferrisariato</t>
        </is>
      </c>
      <c r="L167" s="28">
        <f>F167*G167</f>
        <v/>
      </c>
      <c r="M167" s="146" t="inlineStr">
        <is>
          <t>IE-D50-TAB-TDP-0600A</t>
        </is>
      </c>
      <c r="N167" s="23" t="inlineStr">
        <is>
          <t>Instalaciones eléctricas</t>
        </is>
      </c>
      <c r="O167" s="23" t="inlineStr">
        <is>
          <t>Estimado · base original del usuario (sin cotización verificada)</t>
        </is>
      </c>
      <c r="P167" s="23" t="inlineStr">
        <is>
          <t>oct-2026 (est.)</t>
        </is>
      </c>
      <c r="Q167" s="23" t="n"/>
    </row>
    <row r="168">
      <c r="A168" s="18" t="n">
        <v>141</v>
      </c>
      <c r="B168" s="19" t="inlineStr">
        <is>
          <t xml:space="preserve">        Tablero de Transferencia Automática ATS (100A-250A)</t>
        </is>
      </c>
      <c r="C168" s="20" t="inlineStr">
        <is>
          <t>Residencial / Comercial / Ind</t>
        </is>
      </c>
      <c r="D168" s="18" t="inlineStr">
        <is>
          <t>Paneles ATS</t>
        </is>
      </c>
      <c r="E168" s="18" t="inlineStr">
        <is>
          <t>U</t>
        </is>
      </c>
      <c r="F168" s="21" t="n">
        <v>1</v>
      </c>
      <c r="G168" s="22" t="n">
        <v>380</v>
      </c>
      <c r="H168" s="22" t="n">
        <v>395</v>
      </c>
      <c r="I168" s="18" t="inlineStr">
        <is>
          <t>Megametales</t>
        </is>
      </c>
      <c r="J168" s="22" t="n">
        <v>415</v>
      </c>
      <c r="K168" s="18" t="inlineStr">
        <is>
          <t>Kywi / Megakywi</t>
        </is>
      </c>
      <c r="L168" s="8">
        <f>F168*G168</f>
        <v/>
      </c>
      <c r="M168" s="145" t="inlineStr">
        <is>
          <t>IE-D50-GEN-ATS-0200A</t>
        </is>
      </c>
      <c r="N168" s="18" t="inlineStr">
        <is>
          <t>Instalaciones eléctricas</t>
        </is>
      </c>
      <c r="O168" s="18" t="inlineStr">
        <is>
          <t>Estimado · base original del usuario (sin cotización verificada)</t>
        </is>
      </c>
      <c r="P168" s="18" t="inlineStr">
        <is>
          <t>oct-2026 (est.)</t>
        </is>
      </c>
      <c r="Q168" s="18" t="n"/>
    </row>
    <row r="169">
      <c r="A169" s="23" t="n">
        <v>142</v>
      </c>
      <c r="B169" s="24" t="inlineStr">
        <is>
          <t xml:space="preserve">        Tablero General de Baja Tensión TGBT (400A - 1000A+)</t>
        </is>
      </c>
      <c r="C169" s="25" t="inlineStr">
        <is>
          <t>Industrial Heavy Duty</t>
        </is>
      </c>
      <c r="D169" s="23" t="inlineStr">
        <is>
          <t>TGBT Baja Tensión</t>
        </is>
      </c>
      <c r="E169" s="23" t="inlineStr">
        <is>
          <t>U</t>
        </is>
      </c>
      <c r="F169" s="26" t="n">
        <v>1</v>
      </c>
      <c r="G169" s="27" t="n">
        <v>2800</v>
      </c>
      <c r="H169" s="27" t="n">
        <v>2900</v>
      </c>
      <c r="I169" s="23" t="inlineStr">
        <is>
          <t>Megametales</t>
        </is>
      </c>
      <c r="J169" s="27" t="n">
        <v>3050</v>
      </c>
      <c r="K169" s="23" t="inlineStr">
        <is>
          <t>Ferrisariato</t>
        </is>
      </c>
      <c r="L169" s="28">
        <f>F169*G169</f>
        <v/>
      </c>
      <c r="M169" s="146" t="inlineStr">
        <is>
          <t>IE-D50-TAB-TDP-1200A</t>
        </is>
      </c>
      <c r="N169" s="23" t="inlineStr">
        <is>
          <t>Instalaciones eléctricas</t>
        </is>
      </c>
      <c r="O169" s="23" t="inlineStr">
        <is>
          <t>Estimado · base original del usuario (sin cotización verificada)</t>
        </is>
      </c>
      <c r="P169" s="23" t="inlineStr">
        <is>
          <t>oct-2026 (est.)</t>
        </is>
      </c>
      <c r="Q169" s="23" t="n"/>
    </row>
    <row r="170">
      <c r="A170" s="17" t="inlineStr">
        <is>
          <t xml:space="preserve">      • Subcategoría Especificada: Centros de Carga por Nº de Espacios, Trifásicos, TDP y Especiales</t>
        </is>
      </c>
      <c r="B170" s="143" t="n"/>
      <c r="C170" s="143" t="n"/>
      <c r="D170" s="143" t="n"/>
      <c r="E170" s="143" t="n"/>
      <c r="F170" s="143" t="n"/>
      <c r="G170" s="143" t="n"/>
      <c r="H170" s="143" t="n"/>
      <c r="I170" s="143" t="n"/>
      <c r="J170" s="143" t="n"/>
      <c r="K170" s="143" t="n"/>
      <c r="L170" s="143" t="n"/>
      <c r="M170" s="143" t="n"/>
      <c r="N170" s="143" t="n"/>
      <c r="O170" s="143" t="n"/>
      <c r="P170" s="143" t="n"/>
      <c r="Q170" s="144" t="n"/>
    </row>
    <row r="171">
      <c r="A171" s="18" t="n">
        <v>143</v>
      </c>
      <c r="B171" s="19" t="inlineStr">
        <is>
          <t xml:space="preserve">        Centro de Carga Monofásico 2 Espacios Empotrable</t>
        </is>
      </c>
      <c r="C171" s="20" t="inlineStr">
        <is>
          <t>Residencial / Comercial</t>
        </is>
      </c>
      <c r="D171" s="18" t="inlineStr">
        <is>
          <t>Centros de Carga 1F</t>
        </is>
      </c>
      <c r="E171" s="18" t="inlineStr">
        <is>
          <t>U</t>
        </is>
      </c>
      <c r="F171" s="21" t="n">
        <v>1</v>
      </c>
      <c r="G171" s="22" t="n">
        <v>18</v>
      </c>
      <c r="H171" s="22" t="n">
        <v>18.72</v>
      </c>
      <c r="I171" s="18" t="inlineStr">
        <is>
          <t>Megametales</t>
        </is>
      </c>
      <c r="J171" s="22" t="n">
        <v>19.62</v>
      </c>
      <c r="K171" s="18" t="inlineStr">
        <is>
          <t>Ferrisariato</t>
        </is>
      </c>
      <c r="L171" s="8">
        <f>F171*G171</f>
        <v/>
      </c>
      <c r="M171" s="145" t="inlineStr">
        <is>
          <t>IE-D50-TAB-CC1-02</t>
        </is>
      </c>
      <c r="N171" s="18" t="inlineStr">
        <is>
          <t>Instalaciones eléctricas</t>
        </is>
      </c>
      <c r="O171" s="18" t="inlineStr">
        <is>
          <t>Estimado DION · criterio de mercado Guayaquil 2026 (no verificado en tienda)</t>
        </is>
      </c>
      <c r="P171" s="18" t="inlineStr">
        <is>
          <t>oct-2026 (est.)</t>
        </is>
      </c>
      <c r="Q171" s="18" t="n"/>
    </row>
    <row r="172">
      <c r="A172" s="23" t="n">
        <v>144</v>
      </c>
      <c r="B172" s="24" t="inlineStr">
        <is>
          <t xml:space="preserve">        Centro de Carga Monofásico 4 Espacios Empotrable</t>
        </is>
      </c>
      <c r="C172" s="25" t="inlineStr">
        <is>
          <t>Residencial / Comercial</t>
        </is>
      </c>
      <c r="D172" s="23" t="inlineStr">
        <is>
          <t>Centros de Carga 1F</t>
        </is>
      </c>
      <c r="E172" s="23" t="inlineStr">
        <is>
          <t>U</t>
        </is>
      </c>
      <c r="F172" s="26" t="n">
        <v>1</v>
      </c>
      <c r="G172" s="27" t="n">
        <v>32</v>
      </c>
      <c r="H172" s="27" t="n">
        <v>32.64</v>
      </c>
      <c r="I172" s="23" t="inlineStr">
        <is>
          <t>Megametales</t>
        </is>
      </c>
      <c r="J172" s="27" t="n">
        <v>35.2</v>
      </c>
      <c r="K172" s="23" t="inlineStr">
        <is>
          <t>Kywi / Megakywi</t>
        </is>
      </c>
      <c r="L172" s="28">
        <f>F172*G172</f>
        <v/>
      </c>
      <c r="M172" s="146" t="inlineStr">
        <is>
          <t>IE-D50-TAB-CC1-04</t>
        </is>
      </c>
      <c r="N172" s="23" t="inlineStr">
        <is>
          <t>Instalaciones eléctricas</t>
        </is>
      </c>
      <c r="O172" s="23" t="inlineStr">
        <is>
          <t>Estimado DION · criterio de mercado Guayaquil 2026 (no verificado en tienda)</t>
        </is>
      </c>
      <c r="P172" s="23" t="inlineStr">
        <is>
          <t>oct-2026 (est.)</t>
        </is>
      </c>
      <c r="Q172" s="23" t="n"/>
    </row>
    <row r="173">
      <c r="A173" s="18" t="n">
        <v>145</v>
      </c>
      <c r="B173" s="19" t="inlineStr">
        <is>
          <t xml:space="preserve">        Centro de Carga Monofásico 6 Espacios Empotrable</t>
        </is>
      </c>
      <c r="C173" s="20" t="inlineStr">
        <is>
          <t>Residencial / Comercial</t>
        </is>
      </c>
      <c r="D173" s="18" t="inlineStr">
        <is>
          <t>Centros de Carga 1F</t>
        </is>
      </c>
      <c r="E173" s="18" t="inlineStr">
        <is>
          <t>U</t>
        </is>
      </c>
      <c r="F173" s="21" t="n">
        <v>1</v>
      </c>
      <c r="G173" s="22" t="n">
        <v>45</v>
      </c>
      <c r="H173" s="22" t="n">
        <v>46.8</v>
      </c>
      <c r="I173" s="18" t="inlineStr">
        <is>
          <t>Megametales</t>
        </is>
      </c>
      <c r="J173" s="22" t="n">
        <v>48.6</v>
      </c>
      <c r="K173" s="18" t="inlineStr">
        <is>
          <t>Ferrisariato</t>
        </is>
      </c>
      <c r="L173" s="8">
        <f>F173*G173</f>
        <v/>
      </c>
      <c r="M173" s="145" t="inlineStr">
        <is>
          <t>IE-D50-TAB-CC1-06</t>
        </is>
      </c>
      <c r="N173" s="18" t="inlineStr">
        <is>
          <t>Instalaciones eléctricas</t>
        </is>
      </c>
      <c r="O173" s="18" t="inlineStr">
        <is>
          <t>Estimado DION · criterio de mercado Guayaquil 2026 (no verificado en tienda)</t>
        </is>
      </c>
      <c r="P173" s="18" t="inlineStr">
        <is>
          <t>oct-2026 (est.)</t>
        </is>
      </c>
      <c r="Q173" s="18" t="n"/>
    </row>
    <row r="174">
      <c r="A174" s="23" t="n">
        <v>146</v>
      </c>
      <c r="B174" s="24" t="inlineStr">
        <is>
          <t xml:space="preserve">        Centro de Carga Monofásico 8 Espacios Empotrable</t>
        </is>
      </c>
      <c r="C174" s="25" t="inlineStr">
        <is>
          <t>Residencial / Comercial</t>
        </is>
      </c>
      <c r="D174" s="23" t="inlineStr">
        <is>
          <t>Centros de Carga 1F</t>
        </is>
      </c>
      <c r="E174" s="23" t="inlineStr">
        <is>
          <t>U</t>
        </is>
      </c>
      <c r="F174" s="26" t="n">
        <v>1</v>
      </c>
      <c r="G174" s="27" t="n">
        <v>58</v>
      </c>
      <c r="H174" s="27" t="n">
        <v>59.16</v>
      </c>
      <c r="I174" s="23" t="inlineStr">
        <is>
          <t>Megametales</t>
        </is>
      </c>
      <c r="J174" s="27" t="n">
        <v>64.38</v>
      </c>
      <c r="K174" s="23" t="inlineStr">
        <is>
          <t>Kywi / Megakywi</t>
        </is>
      </c>
      <c r="L174" s="28">
        <f>F174*G174</f>
        <v/>
      </c>
      <c r="M174" s="146" t="inlineStr">
        <is>
          <t>IE-D50-TAB-CC1-08</t>
        </is>
      </c>
      <c r="N174" s="23" t="inlineStr">
        <is>
          <t>Instalaciones eléctricas</t>
        </is>
      </c>
      <c r="O174" s="23" t="inlineStr">
        <is>
          <t>Estimado DION · criterio de mercado Guayaquil 2026 (no verificado en tienda)</t>
        </is>
      </c>
      <c r="P174" s="23" t="inlineStr">
        <is>
          <t>oct-2026 (est.)</t>
        </is>
      </c>
      <c r="Q174" s="23" t="n"/>
    </row>
    <row r="175">
      <c r="A175" s="18" t="n">
        <v>147</v>
      </c>
      <c r="B175" s="19" t="inlineStr">
        <is>
          <t xml:space="preserve">        Centro de Carga Monofásico 16 Espacios Empotrable</t>
        </is>
      </c>
      <c r="C175" s="20" t="inlineStr">
        <is>
          <t>Residencial / Comercial</t>
        </is>
      </c>
      <c r="D175" s="18" t="inlineStr">
        <is>
          <t>Centros de Carga 1F</t>
        </is>
      </c>
      <c r="E175" s="18" t="inlineStr">
        <is>
          <t>U</t>
        </is>
      </c>
      <c r="F175" s="21" t="n">
        <v>1</v>
      </c>
      <c r="G175" s="22" t="n">
        <v>118</v>
      </c>
      <c r="H175" s="22" t="n">
        <v>121.54</v>
      </c>
      <c r="I175" s="18" t="inlineStr">
        <is>
          <t>Megametales</t>
        </is>
      </c>
      <c r="J175" s="22" t="n">
        <v>130.98</v>
      </c>
      <c r="K175" s="18" t="inlineStr">
        <is>
          <t>Ferrisariato</t>
        </is>
      </c>
      <c r="L175" s="8">
        <f>F175*G175</f>
        <v/>
      </c>
      <c r="M175" s="145" t="inlineStr">
        <is>
          <t>IE-D50-TAB-CC1-16</t>
        </is>
      </c>
      <c r="N175" s="18" t="inlineStr">
        <is>
          <t>Instalaciones eléctricas</t>
        </is>
      </c>
      <c r="O175" s="18" t="inlineStr">
        <is>
          <t>Estimado DION · criterio de mercado Guayaquil 2026 (no verificado en tienda)</t>
        </is>
      </c>
      <c r="P175" s="18" t="inlineStr">
        <is>
          <t>oct-2026 (est.)</t>
        </is>
      </c>
      <c r="Q175" s="18" t="n"/>
    </row>
    <row r="176">
      <c r="A176" s="23" t="n">
        <v>148</v>
      </c>
      <c r="B176" s="24" t="inlineStr">
        <is>
          <t xml:space="preserve">        Centro de Carga Monofásico 20 Espacios Empotrable</t>
        </is>
      </c>
      <c r="C176" s="25" t="inlineStr">
        <is>
          <t>Residencial / Comercial</t>
        </is>
      </c>
      <c r="D176" s="23" t="inlineStr">
        <is>
          <t>Centros de Carga 1F</t>
        </is>
      </c>
      <c r="E176" s="23" t="inlineStr">
        <is>
          <t>U</t>
        </is>
      </c>
      <c r="F176" s="26" t="n">
        <v>1</v>
      </c>
      <c r="G176" s="27" t="n">
        <v>148</v>
      </c>
      <c r="H176" s="27" t="n">
        <v>152.44</v>
      </c>
      <c r="I176" s="23" t="inlineStr">
        <is>
          <t>Megametales</t>
        </is>
      </c>
      <c r="J176" s="27" t="n">
        <v>159.84</v>
      </c>
      <c r="K176" s="23" t="inlineStr">
        <is>
          <t>Kywi / Megakywi</t>
        </is>
      </c>
      <c r="L176" s="28">
        <f>F176*G176</f>
        <v/>
      </c>
      <c r="M176" s="146" t="inlineStr">
        <is>
          <t>IE-D50-TAB-CC1-20</t>
        </is>
      </c>
      <c r="N176" s="23" t="inlineStr">
        <is>
          <t>Instalaciones eléctricas</t>
        </is>
      </c>
      <c r="O176" s="23" t="inlineStr">
        <is>
          <t>Estimado DION · criterio de mercado Guayaquil 2026 (no verificado en tienda)</t>
        </is>
      </c>
      <c r="P176" s="23" t="inlineStr">
        <is>
          <t>oct-2026 (est.)</t>
        </is>
      </c>
      <c r="Q176" s="23" t="n"/>
    </row>
    <row r="177">
      <c r="A177" s="18" t="n">
        <v>149</v>
      </c>
      <c r="B177" s="19" t="inlineStr">
        <is>
          <t xml:space="preserve">        Centro de Carga Monofásico 24 Espacios Empotrable</t>
        </is>
      </c>
      <c r="C177" s="20" t="inlineStr">
        <is>
          <t>Residencial / Comercial</t>
        </is>
      </c>
      <c r="D177" s="18" t="inlineStr">
        <is>
          <t>Centros de Carga 1F</t>
        </is>
      </c>
      <c r="E177" s="18" t="inlineStr">
        <is>
          <t>U</t>
        </is>
      </c>
      <c r="F177" s="21" t="n">
        <v>1</v>
      </c>
      <c r="G177" s="22" t="n">
        <v>178</v>
      </c>
      <c r="H177" s="22" t="n">
        <v>181.56</v>
      </c>
      <c r="I177" s="18" t="inlineStr">
        <is>
          <t>Megametales</t>
        </is>
      </c>
      <c r="J177" s="22" t="n">
        <v>197.58</v>
      </c>
      <c r="K177" s="18" t="inlineStr">
        <is>
          <t>Ferrisariato</t>
        </is>
      </c>
      <c r="L177" s="8">
        <f>F177*G177</f>
        <v/>
      </c>
      <c r="M177" s="145" t="inlineStr">
        <is>
          <t>IE-D50-TAB-CC1-24</t>
        </is>
      </c>
      <c r="N177" s="18" t="inlineStr">
        <is>
          <t>Instalaciones eléctricas</t>
        </is>
      </c>
      <c r="O177" s="18" t="inlineStr">
        <is>
          <t>Estimado DION · criterio de mercado Guayaquil 2026 (no verificado en tienda)</t>
        </is>
      </c>
      <c r="P177" s="18" t="inlineStr">
        <is>
          <t>oct-2026 (est.)</t>
        </is>
      </c>
      <c r="Q177" s="18" t="n"/>
    </row>
    <row r="178">
      <c r="A178" s="23" t="n">
        <v>150</v>
      </c>
      <c r="B178" s="24" t="inlineStr">
        <is>
          <t xml:space="preserve">        Centro de Carga Monofásico 30 Espacios Empotrable</t>
        </is>
      </c>
      <c r="C178" s="25" t="inlineStr">
        <is>
          <t>Residencial / Comercial</t>
        </is>
      </c>
      <c r="D178" s="23" t="inlineStr">
        <is>
          <t>Centros de Carga 1F</t>
        </is>
      </c>
      <c r="E178" s="23" t="inlineStr">
        <is>
          <t>U</t>
        </is>
      </c>
      <c r="F178" s="26" t="n">
        <v>1</v>
      </c>
      <c r="G178" s="27" t="n">
        <v>265</v>
      </c>
      <c r="H178" s="27" t="n">
        <v>270.3</v>
      </c>
      <c r="I178" s="23" t="inlineStr">
        <is>
          <t>Megametales</t>
        </is>
      </c>
      <c r="J178" s="27" t="n">
        <v>283.55</v>
      </c>
      <c r="K178" s="23" t="inlineStr">
        <is>
          <t>Kywi / Megakywi</t>
        </is>
      </c>
      <c r="L178" s="28">
        <f>F178*G178</f>
        <v/>
      </c>
      <c r="M178" s="146" t="inlineStr">
        <is>
          <t>IE-D50-TAB-CC1-30</t>
        </is>
      </c>
      <c r="N178" s="23" t="inlineStr">
        <is>
          <t>Instalaciones eléctricas</t>
        </is>
      </c>
      <c r="O178" s="23" t="inlineStr">
        <is>
          <t>Estimado DION · criterio de mercado Guayaquil 2026 (no verificado en tienda)</t>
        </is>
      </c>
      <c r="P178" s="23" t="inlineStr">
        <is>
          <t>oct-2026 (est.)</t>
        </is>
      </c>
      <c r="Q178" s="23" t="n"/>
    </row>
    <row r="179">
      <c r="A179" s="18" t="n">
        <v>151</v>
      </c>
      <c r="B179" s="19" t="inlineStr">
        <is>
          <t xml:space="preserve">        Tablero Trifásico 12 Espacios Barras 225A 4 Hilos</t>
        </is>
      </c>
      <c r="C179" s="20" t="inlineStr">
        <is>
          <t>Comercial / Industrial</t>
        </is>
      </c>
      <c r="D179" s="18" t="inlineStr">
        <is>
          <t>Tableros 3F</t>
        </is>
      </c>
      <c r="E179" s="18" t="inlineStr">
        <is>
          <t>U</t>
        </is>
      </c>
      <c r="F179" s="21" t="n">
        <v>1</v>
      </c>
      <c r="G179" s="22" t="n">
        <v>225</v>
      </c>
      <c r="H179" s="22" t="n">
        <v>229.5</v>
      </c>
      <c r="I179" s="18" t="inlineStr">
        <is>
          <t>Megametales</t>
        </is>
      </c>
      <c r="J179" s="22" t="n">
        <v>249.75</v>
      </c>
      <c r="K179" s="18" t="inlineStr">
        <is>
          <t>Ferrisariato</t>
        </is>
      </c>
      <c r="L179" s="8">
        <f>F179*G179</f>
        <v/>
      </c>
      <c r="M179" s="145" t="inlineStr">
        <is>
          <t>IE-D50-TAB-CC3-12</t>
        </is>
      </c>
      <c r="N179" s="18" t="inlineStr">
        <is>
          <t>Instalaciones eléctricas</t>
        </is>
      </c>
      <c r="O179" s="18" t="inlineStr">
        <is>
          <t>Estimado DION · criterio de mercado Guayaquil 2026 (no verificado en tienda)</t>
        </is>
      </c>
      <c r="P179" s="18" t="inlineStr">
        <is>
          <t>oct-2026 (est.)</t>
        </is>
      </c>
      <c r="Q179" s="18" t="n"/>
    </row>
    <row r="180">
      <c r="A180" s="23" t="n">
        <v>152</v>
      </c>
      <c r="B180" s="24" t="inlineStr">
        <is>
          <t xml:space="preserve">        Tablero Trifásico 18 Espacios Barras 225A 4 Hilos</t>
        </is>
      </c>
      <c r="C180" s="25" t="inlineStr">
        <is>
          <t>Comercial / Industrial</t>
        </is>
      </c>
      <c r="D180" s="23" t="inlineStr">
        <is>
          <t>Tableros 3F</t>
        </is>
      </c>
      <c r="E180" s="23" t="inlineStr">
        <is>
          <t>U</t>
        </is>
      </c>
      <c r="F180" s="26" t="n">
        <v>1</v>
      </c>
      <c r="G180" s="27" t="n">
        <v>295</v>
      </c>
      <c r="H180" s="27" t="n">
        <v>309.75</v>
      </c>
      <c r="I180" s="23" t="inlineStr">
        <is>
          <t>Megametales</t>
        </is>
      </c>
      <c r="J180" s="27" t="n">
        <v>318.6</v>
      </c>
      <c r="K180" s="23" t="inlineStr">
        <is>
          <t>Kywi / Megakywi</t>
        </is>
      </c>
      <c r="L180" s="28">
        <f>F180*G180</f>
        <v/>
      </c>
      <c r="M180" s="146" t="inlineStr">
        <is>
          <t>IE-D50-TAB-CC3-18</t>
        </is>
      </c>
      <c r="N180" s="23" t="inlineStr">
        <is>
          <t>Instalaciones eléctricas</t>
        </is>
      </c>
      <c r="O180" s="23" t="inlineStr">
        <is>
          <t>Estimado DION · criterio de mercado Guayaquil 2026 (no verificado en tienda)</t>
        </is>
      </c>
      <c r="P180" s="23" t="inlineStr">
        <is>
          <t>oct-2026 (est.)</t>
        </is>
      </c>
      <c r="Q180" s="23" t="n"/>
    </row>
    <row r="181">
      <c r="A181" s="18" t="n">
        <v>153</v>
      </c>
      <c r="B181" s="19" t="inlineStr">
        <is>
          <t xml:space="preserve">        Tablero Trifásico 24 Espacios Barras 225A 4 Hilos</t>
        </is>
      </c>
      <c r="C181" s="20" t="inlineStr">
        <is>
          <t>Comercial / Industrial</t>
        </is>
      </c>
      <c r="D181" s="18" t="inlineStr">
        <is>
          <t>Tableros 3F</t>
        </is>
      </c>
      <c r="E181" s="18" t="inlineStr">
        <is>
          <t>U</t>
        </is>
      </c>
      <c r="F181" s="21" t="n">
        <v>1</v>
      </c>
      <c r="G181" s="22" t="n">
        <v>385</v>
      </c>
      <c r="H181" s="22" t="n">
        <v>396.55</v>
      </c>
      <c r="I181" s="18" t="inlineStr">
        <is>
          <t>Megametales</t>
        </is>
      </c>
      <c r="J181" s="22" t="n">
        <v>423.5</v>
      </c>
      <c r="K181" s="18" t="inlineStr">
        <is>
          <t>Ferrisariato</t>
        </is>
      </c>
      <c r="L181" s="8">
        <f>F181*G181</f>
        <v/>
      </c>
      <c r="M181" s="145" t="inlineStr">
        <is>
          <t>IE-D50-TAB-CC3-24</t>
        </is>
      </c>
      <c r="N181" s="18" t="inlineStr">
        <is>
          <t>Instalaciones eléctricas</t>
        </is>
      </c>
      <c r="O181" s="18" t="inlineStr">
        <is>
          <t>Estimado DION · criterio de mercado Guayaquil 2026 (no verificado en tienda)</t>
        </is>
      </c>
      <c r="P181" s="18" t="inlineStr">
        <is>
          <t>oct-2026 (est.)</t>
        </is>
      </c>
      <c r="Q181" s="18" t="n"/>
    </row>
    <row r="182">
      <c r="A182" s="23" t="n">
        <v>154</v>
      </c>
      <c r="B182" s="24" t="inlineStr">
        <is>
          <t xml:space="preserve">        Tablero Trifásico 30 Espacios Barras 225A 4 Hilos</t>
        </is>
      </c>
      <c r="C182" s="25" t="inlineStr">
        <is>
          <t>Comercial / Industrial</t>
        </is>
      </c>
      <c r="D182" s="23" t="inlineStr">
        <is>
          <t>Tableros 3F</t>
        </is>
      </c>
      <c r="E182" s="23" t="inlineStr">
        <is>
          <t>U</t>
        </is>
      </c>
      <c r="F182" s="26" t="n">
        <v>1</v>
      </c>
      <c r="G182" s="27" t="n">
        <v>485</v>
      </c>
      <c r="H182" s="27" t="n">
        <v>509.25</v>
      </c>
      <c r="I182" s="23" t="inlineStr">
        <is>
          <t>Megametales</t>
        </is>
      </c>
      <c r="J182" s="27" t="n">
        <v>528.65</v>
      </c>
      <c r="K182" s="23" t="inlineStr">
        <is>
          <t>Kywi / Megakywi</t>
        </is>
      </c>
      <c r="L182" s="28">
        <f>F182*G182</f>
        <v/>
      </c>
      <c r="M182" s="146" t="inlineStr">
        <is>
          <t>IE-D50-TAB-CC3-30</t>
        </is>
      </c>
      <c r="N182" s="23" t="inlineStr">
        <is>
          <t>Instalaciones eléctricas</t>
        </is>
      </c>
      <c r="O182" s="23" t="inlineStr">
        <is>
          <t>Estimado DION · criterio de mercado Guayaquil 2026 (no verificado en tienda)</t>
        </is>
      </c>
      <c r="P182" s="23" t="inlineStr">
        <is>
          <t>oct-2026 (est.)</t>
        </is>
      </c>
      <c r="Q182" s="23" t="n"/>
    </row>
    <row r="183">
      <c r="A183" s="18" t="n">
        <v>155</v>
      </c>
      <c r="B183" s="19" t="inlineStr">
        <is>
          <t xml:space="preserve">        Tablero Trifásico 42 Espacios Barras 225A 4 Hilos</t>
        </is>
      </c>
      <c r="C183" s="20" t="inlineStr">
        <is>
          <t>Comercial / Industrial</t>
        </is>
      </c>
      <c r="D183" s="18" t="inlineStr">
        <is>
          <t>Tableros 3F</t>
        </is>
      </c>
      <c r="E183" s="18" t="inlineStr">
        <is>
          <t>U</t>
        </is>
      </c>
      <c r="F183" s="21" t="n">
        <v>0</v>
      </c>
      <c r="G183" s="22" t="n">
        <v>660</v>
      </c>
      <c r="H183" s="22" t="n">
        <v>679.8</v>
      </c>
      <c r="I183" s="18" t="inlineStr">
        <is>
          <t>Megametales</t>
        </is>
      </c>
      <c r="J183" s="22" t="n">
        <v>706.2</v>
      </c>
      <c r="K183" s="18" t="inlineStr">
        <is>
          <t>Ferrisariato</t>
        </is>
      </c>
      <c r="L183" s="8">
        <f>F183*G183</f>
        <v/>
      </c>
      <c r="M183" s="145" t="inlineStr">
        <is>
          <t>IE-D50-TAB-CC3-42</t>
        </is>
      </c>
      <c r="N183" s="18" t="inlineStr">
        <is>
          <t>Instalaciones eléctricas</t>
        </is>
      </c>
      <c r="O183" s="18" t="inlineStr">
        <is>
          <t>Estimado DION · criterio de mercado Guayaquil 2026 (no verificado en tienda)</t>
        </is>
      </c>
      <c r="P183" s="18" t="inlineStr">
        <is>
          <t>oct-2026 (est.)</t>
        </is>
      </c>
      <c r="Q183" s="18" t="n"/>
    </row>
    <row r="184">
      <c r="A184" s="23" t="n">
        <v>156</v>
      </c>
      <c r="B184" s="24" t="inlineStr">
        <is>
          <t xml:space="preserve">        Tablero de Distribución Principal TDP 225A Autosoportado</t>
        </is>
      </c>
      <c r="C184" s="25" t="inlineStr">
        <is>
          <t>Industrial / Edificios</t>
        </is>
      </c>
      <c r="D184" s="23" t="inlineStr">
        <is>
          <t>TDP Baja Tensión</t>
        </is>
      </c>
      <c r="E184" s="23" t="inlineStr">
        <is>
          <t>U</t>
        </is>
      </c>
      <c r="F184" s="26" t="n">
        <v>0</v>
      </c>
      <c r="G184" s="27" t="n">
        <v>1850</v>
      </c>
      <c r="H184" s="27" t="n">
        <v>1924</v>
      </c>
      <c r="I184" s="23" t="inlineStr">
        <is>
          <t>Megametales</t>
        </is>
      </c>
      <c r="J184" s="27" t="n">
        <v>2035</v>
      </c>
      <c r="K184" s="23" t="inlineStr">
        <is>
          <t>Kywi / Megakywi</t>
        </is>
      </c>
      <c r="L184" s="28">
        <f>F184*G184</f>
        <v/>
      </c>
      <c r="M184" s="146" t="inlineStr">
        <is>
          <t>IE-D50-TAB-TDP-0225A</t>
        </is>
      </c>
      <c r="N184" s="23" t="inlineStr">
        <is>
          <t>Instalaciones eléctricas</t>
        </is>
      </c>
      <c r="O184" s="23" t="inlineStr">
        <is>
          <t>Estimado DION · criterio de mercado Guayaquil 2026 (no verificado en tienda)</t>
        </is>
      </c>
      <c r="P184" s="23" t="inlineStr">
        <is>
          <t>oct-2026 (est.)</t>
        </is>
      </c>
      <c r="Q184" s="23" t="n"/>
    </row>
    <row r="185">
      <c r="A185" s="18" t="n">
        <v>157</v>
      </c>
      <c r="B185" s="19" t="inlineStr">
        <is>
          <t xml:space="preserve">        Tablero de Distribución Principal TDP 400A Autosoportado</t>
        </is>
      </c>
      <c r="C185" s="20" t="inlineStr">
        <is>
          <t>Industrial / Edificios</t>
        </is>
      </c>
      <c r="D185" s="18" t="inlineStr">
        <is>
          <t>TDP Baja Tensión</t>
        </is>
      </c>
      <c r="E185" s="18" t="inlineStr">
        <is>
          <t>U</t>
        </is>
      </c>
      <c r="F185" s="21" t="n">
        <v>0</v>
      </c>
      <c r="G185" s="22" t="n">
        <v>3300</v>
      </c>
      <c r="H185" s="22" t="n">
        <v>3432</v>
      </c>
      <c r="I185" s="18" t="inlineStr">
        <is>
          <t>Megametales</t>
        </is>
      </c>
      <c r="J185" s="22" t="n">
        <v>3630</v>
      </c>
      <c r="K185" s="18" t="inlineStr">
        <is>
          <t>Ferrisariato</t>
        </is>
      </c>
      <c r="L185" s="8">
        <f>F185*G185</f>
        <v/>
      </c>
      <c r="M185" s="145" t="inlineStr">
        <is>
          <t>IE-D50-TAB-TDP-0400A</t>
        </is>
      </c>
      <c r="N185" s="18" t="inlineStr">
        <is>
          <t>Instalaciones eléctricas</t>
        </is>
      </c>
      <c r="O185" s="18" t="inlineStr">
        <is>
          <t>Estimado DION · criterio de mercado Guayaquil 2026 (no verificado en tienda)</t>
        </is>
      </c>
      <c r="P185" s="18" t="inlineStr">
        <is>
          <t>oct-2026 (est.)</t>
        </is>
      </c>
      <c r="Q185" s="18" t="n"/>
    </row>
    <row r="186">
      <c r="A186" s="23" t="n">
        <v>158</v>
      </c>
      <c r="B186" s="24" t="inlineStr">
        <is>
          <t xml:space="preserve">        Tablero de Distribución Principal TDP 800A Autosoportado</t>
        </is>
      </c>
      <c r="C186" s="25" t="inlineStr">
        <is>
          <t>Industrial / Edificios</t>
        </is>
      </c>
      <c r="D186" s="23" t="inlineStr">
        <is>
          <t>TDP Baja Tensión</t>
        </is>
      </c>
      <c r="E186" s="23" t="inlineStr">
        <is>
          <t>U</t>
        </is>
      </c>
      <c r="F186" s="26" t="n">
        <v>0</v>
      </c>
      <c r="G186" s="27" t="n">
        <v>6700</v>
      </c>
      <c r="H186" s="27" t="n">
        <v>7035</v>
      </c>
      <c r="I186" s="23" t="inlineStr">
        <is>
          <t>Megametales</t>
        </is>
      </c>
      <c r="J186" s="27" t="n">
        <v>7303</v>
      </c>
      <c r="K186" s="23" t="inlineStr">
        <is>
          <t>Kywi / Megakywi</t>
        </is>
      </c>
      <c r="L186" s="28">
        <f>F186*G186</f>
        <v/>
      </c>
      <c r="M186" s="146" t="inlineStr">
        <is>
          <t>IE-D50-TAB-TDP-0800A</t>
        </is>
      </c>
      <c r="N186" s="23" t="inlineStr">
        <is>
          <t>Instalaciones eléctricas</t>
        </is>
      </c>
      <c r="O186" s="23" t="inlineStr">
        <is>
          <t>Estimado DION · criterio de mercado Guayaquil 2026 (no verificado en tienda)</t>
        </is>
      </c>
      <c r="P186" s="23" t="inlineStr">
        <is>
          <t>oct-2026 (est.)</t>
        </is>
      </c>
      <c r="Q186" s="23" t="n"/>
    </row>
    <row r="187">
      <c r="A187" s="18" t="n">
        <v>159</v>
      </c>
      <c r="B187" s="19" t="inlineStr">
        <is>
          <t xml:space="preserve">        Tablero de Distribución Principal TDP 1600A Autosoportado</t>
        </is>
      </c>
      <c r="C187" s="20" t="inlineStr">
        <is>
          <t>Industrial / Edificios</t>
        </is>
      </c>
      <c r="D187" s="18" t="inlineStr">
        <is>
          <t>TDP Baja Tensión</t>
        </is>
      </c>
      <c r="E187" s="18" t="inlineStr">
        <is>
          <t>U</t>
        </is>
      </c>
      <c r="F187" s="21" t="n">
        <v>0</v>
      </c>
      <c r="G187" s="22" t="n">
        <v>13800</v>
      </c>
      <c r="H187" s="22" t="n">
        <v>14490</v>
      </c>
      <c r="I187" s="18" t="inlineStr">
        <is>
          <t>Megametales</t>
        </is>
      </c>
      <c r="J187" s="22" t="n">
        <v>15180</v>
      </c>
      <c r="K187" s="18" t="inlineStr">
        <is>
          <t>Ferrisariato</t>
        </is>
      </c>
      <c r="L187" s="8">
        <f>F187*G187</f>
        <v/>
      </c>
      <c r="M187" s="145" t="inlineStr">
        <is>
          <t>IE-D50-TAB-TDP-1600A</t>
        </is>
      </c>
      <c r="N187" s="18" t="inlineStr">
        <is>
          <t>Instalaciones eléctricas</t>
        </is>
      </c>
      <c r="O187" s="18" t="inlineStr">
        <is>
          <t>Estimado DION · criterio de mercado Guayaquil 2026 (no verificado en tienda)</t>
        </is>
      </c>
      <c r="P187" s="18" t="inlineStr">
        <is>
          <t>oct-2026 (est.)</t>
        </is>
      </c>
      <c r="Q187" s="18" t="n"/>
    </row>
    <row r="188">
      <c r="A188" s="23" t="n">
        <v>160</v>
      </c>
      <c r="B188" s="24" t="inlineStr">
        <is>
          <t xml:space="preserve">        Tablero de Distribución Principal TDP 2000A Autosoportado</t>
        </is>
      </c>
      <c r="C188" s="25" t="inlineStr">
        <is>
          <t>Industrial / Edificios</t>
        </is>
      </c>
      <c r="D188" s="23" t="inlineStr">
        <is>
          <t>TDP Baja Tensión</t>
        </is>
      </c>
      <c r="E188" s="23" t="inlineStr">
        <is>
          <t>U</t>
        </is>
      </c>
      <c r="F188" s="26" t="n">
        <v>0</v>
      </c>
      <c r="G188" s="27" t="n">
        <v>17800</v>
      </c>
      <c r="H188" s="27" t="n">
        <v>18334</v>
      </c>
      <c r="I188" s="23" t="inlineStr">
        <is>
          <t>Megametales</t>
        </is>
      </c>
      <c r="J188" s="27" t="n">
        <v>19224</v>
      </c>
      <c r="K188" s="23" t="inlineStr">
        <is>
          <t>Kywi / Megakywi</t>
        </is>
      </c>
      <c r="L188" s="28">
        <f>F188*G188</f>
        <v/>
      </c>
      <c r="M188" s="146" t="inlineStr">
        <is>
          <t>IE-D50-TAB-TDP-2000A</t>
        </is>
      </c>
      <c r="N188" s="23" t="inlineStr">
        <is>
          <t>Instalaciones eléctricas</t>
        </is>
      </c>
      <c r="O188" s="23" t="inlineStr">
        <is>
          <t>Estimado DION · criterio de mercado Guayaquil 2026 (no verificado en tienda)</t>
        </is>
      </c>
      <c r="P188" s="23" t="inlineStr">
        <is>
          <t>oct-2026 (est.)</t>
        </is>
      </c>
      <c r="Q188" s="23" t="n"/>
    </row>
    <row r="189">
      <c r="A189" s="18" t="n">
        <v>161</v>
      </c>
      <c r="B189" s="19" t="inlineStr">
        <is>
          <t xml:space="preserve">        Tablero de Distribución Principal TDP 2500A Autosoportado</t>
        </is>
      </c>
      <c r="C189" s="20" t="inlineStr">
        <is>
          <t>Industrial / Edificios</t>
        </is>
      </c>
      <c r="D189" s="18" t="inlineStr">
        <is>
          <t>TDP Baja Tensión</t>
        </is>
      </c>
      <c r="E189" s="18" t="inlineStr">
        <is>
          <t>U</t>
        </is>
      </c>
      <c r="F189" s="21" t="n">
        <v>0</v>
      </c>
      <c r="G189" s="22" t="n">
        <v>22500</v>
      </c>
      <c r="H189" s="22" t="n">
        <v>23175</v>
      </c>
      <c r="I189" s="18" t="inlineStr">
        <is>
          <t>Megametales</t>
        </is>
      </c>
      <c r="J189" s="22" t="n">
        <v>24975</v>
      </c>
      <c r="K189" s="18" t="inlineStr">
        <is>
          <t>Ferrisariato</t>
        </is>
      </c>
      <c r="L189" s="8">
        <f>F189*G189</f>
        <v/>
      </c>
      <c r="M189" s="145" t="inlineStr">
        <is>
          <t>IE-D50-TAB-TDP-2500A</t>
        </is>
      </c>
      <c r="N189" s="18" t="inlineStr">
        <is>
          <t>Instalaciones eléctricas</t>
        </is>
      </c>
      <c r="O189" s="18" t="inlineStr">
        <is>
          <t>Estimado DION · criterio de mercado Guayaquil 2026 (no verificado en tienda)</t>
        </is>
      </c>
      <c r="P189" s="18" t="inlineStr">
        <is>
          <t>oct-2026 (est.)</t>
        </is>
      </c>
      <c r="Q189" s="18" t="n"/>
    </row>
    <row r="190">
      <c r="A190" s="23" t="n">
        <v>162</v>
      </c>
      <c r="B190" s="24" t="inlineStr">
        <is>
          <t xml:space="preserve">        Tablero de Emergencia (Cargas Esenciales) 225A</t>
        </is>
      </c>
      <c r="C190" s="25" t="inlineStr">
        <is>
          <t>Comercial / Industrial / Hospitalario</t>
        </is>
      </c>
      <c r="D190" s="23" t="inlineStr">
        <is>
          <t>Tableros Especiales</t>
        </is>
      </c>
      <c r="E190" s="23" t="inlineStr">
        <is>
          <t>U</t>
        </is>
      </c>
      <c r="F190" s="26" t="n">
        <v>0</v>
      </c>
      <c r="G190" s="27" t="n">
        <v>1250</v>
      </c>
      <c r="H190" s="27" t="n">
        <v>1300</v>
      </c>
      <c r="I190" s="23" t="inlineStr">
        <is>
          <t>Megametales</t>
        </is>
      </c>
      <c r="J190" s="27" t="n">
        <v>1375</v>
      </c>
      <c r="K190" s="23" t="inlineStr">
        <is>
          <t>Kywi / Megakywi</t>
        </is>
      </c>
      <c r="L190" s="28">
        <f>F190*G190</f>
        <v/>
      </c>
      <c r="M190" s="146" t="inlineStr">
        <is>
          <t>IE-D50-TAB-EME</t>
        </is>
      </c>
      <c r="N190" s="23" t="inlineStr">
        <is>
          <t>Instalaciones eléctricas</t>
        </is>
      </c>
      <c r="O190" s="23" t="inlineStr">
        <is>
          <t>Estimado DION · criterio de mercado Guayaquil 2026 (no verificado en tienda)</t>
        </is>
      </c>
      <c r="P190" s="23" t="inlineStr">
        <is>
          <t>oct-2026 (est.)</t>
        </is>
      </c>
      <c r="Q190" s="23" t="n"/>
    </row>
    <row r="191">
      <c r="A191" s="18" t="n">
        <v>163</v>
      </c>
      <c r="B191" s="19" t="inlineStr">
        <is>
          <t xml:space="preserve">        Tablero Regulado de UPS 100A</t>
        </is>
      </c>
      <c r="C191" s="20" t="inlineStr">
        <is>
          <t>Comercial / Industrial / Hospitalario</t>
        </is>
      </c>
      <c r="D191" s="18" t="inlineStr">
        <is>
          <t>Tableros Especiales</t>
        </is>
      </c>
      <c r="E191" s="18" t="inlineStr">
        <is>
          <t>U</t>
        </is>
      </c>
      <c r="F191" s="21" t="n">
        <v>0</v>
      </c>
      <c r="G191" s="22" t="n">
        <v>780</v>
      </c>
      <c r="H191" s="22" t="n">
        <v>819</v>
      </c>
      <c r="I191" s="18" t="inlineStr">
        <is>
          <t>Megametales</t>
        </is>
      </c>
      <c r="J191" s="22" t="n">
        <v>834.6</v>
      </c>
      <c r="K191" s="18" t="inlineStr">
        <is>
          <t>Ferrisariato</t>
        </is>
      </c>
      <c r="L191" s="8">
        <f>F191*G191</f>
        <v/>
      </c>
      <c r="M191" s="145" t="inlineStr">
        <is>
          <t>IE-D50-TAB-UPS</t>
        </is>
      </c>
      <c r="N191" s="18" t="inlineStr">
        <is>
          <t>Instalaciones eléctricas</t>
        </is>
      </c>
      <c r="O191" s="18" t="inlineStr">
        <is>
          <t>Estimado DION · criterio de mercado Guayaquil 2026 (no verificado en tienda)</t>
        </is>
      </c>
      <c r="P191" s="18" t="inlineStr">
        <is>
          <t>oct-2026 (est.)</t>
        </is>
      </c>
      <c r="Q191" s="18" t="n"/>
    </row>
    <row r="192">
      <c r="A192" s="23" t="n">
        <v>164</v>
      </c>
      <c r="B192" s="24" t="inlineStr">
        <is>
          <t xml:space="preserve">        Tablero de Aislamiento Hospitalario IT 7.5kVA (Quirófano)</t>
        </is>
      </c>
      <c r="C192" s="25" t="inlineStr">
        <is>
          <t>Comercial / Industrial / Hospitalario</t>
        </is>
      </c>
      <c r="D192" s="23" t="inlineStr">
        <is>
          <t>Tableros Especiales</t>
        </is>
      </c>
      <c r="E192" s="23" t="inlineStr">
        <is>
          <t>U</t>
        </is>
      </c>
      <c r="F192" s="26" t="n">
        <v>0</v>
      </c>
      <c r="G192" s="27" t="n">
        <v>9800</v>
      </c>
      <c r="H192" s="27" t="n">
        <v>9996</v>
      </c>
      <c r="I192" s="23" t="inlineStr">
        <is>
          <t>Megametales</t>
        </is>
      </c>
      <c r="J192" s="27" t="n">
        <v>10780</v>
      </c>
      <c r="K192" s="23" t="inlineStr">
        <is>
          <t>Kywi / Megakywi</t>
        </is>
      </c>
      <c r="L192" s="28">
        <f>F192*G192</f>
        <v/>
      </c>
      <c r="M192" s="146" t="inlineStr">
        <is>
          <t>IE-D50-TAB-AIS</t>
        </is>
      </c>
      <c r="N192" s="23" t="inlineStr">
        <is>
          <t>Instalaciones eléctricas</t>
        </is>
      </c>
      <c r="O192" s="23" t="inlineStr">
        <is>
          <t>Estimado DION · criterio de mercado Guayaquil 2026 (no verificado en tienda)</t>
        </is>
      </c>
      <c r="P192" s="23" t="inlineStr">
        <is>
          <t>oct-2026 (est.)</t>
        </is>
      </c>
      <c r="Q192" s="23" t="n"/>
    </row>
    <row r="193">
      <c r="A193" s="18" t="n">
        <v>165</v>
      </c>
      <c r="B193" s="19" t="inlineStr">
        <is>
          <t xml:space="preserve">        Tablero de Control de Bombas Alternador</t>
        </is>
      </c>
      <c r="C193" s="20" t="inlineStr">
        <is>
          <t>Comercial / Industrial / Hospitalario</t>
        </is>
      </c>
      <c r="D193" s="18" t="inlineStr">
        <is>
          <t>Tableros Especiales</t>
        </is>
      </c>
      <c r="E193" s="18" t="inlineStr">
        <is>
          <t>U</t>
        </is>
      </c>
      <c r="F193" s="21" t="n">
        <v>0</v>
      </c>
      <c r="G193" s="22" t="n">
        <v>850</v>
      </c>
      <c r="H193" s="22" t="n">
        <v>884</v>
      </c>
      <c r="I193" s="18" t="inlineStr">
        <is>
          <t>Megametales</t>
        </is>
      </c>
      <c r="J193" s="22" t="n">
        <v>909.5</v>
      </c>
      <c r="K193" s="18" t="inlineStr">
        <is>
          <t>Ferrisariato</t>
        </is>
      </c>
      <c r="L193" s="8">
        <f>F193*G193</f>
        <v/>
      </c>
      <c r="M193" s="145" t="inlineStr">
        <is>
          <t>IE-D50-TAB-BOM</t>
        </is>
      </c>
      <c r="N193" s="18" t="inlineStr">
        <is>
          <t>Instalaciones eléctricas</t>
        </is>
      </c>
      <c r="O193" s="18" t="inlineStr">
        <is>
          <t>Estimado DION · criterio de mercado Guayaquil 2026 (no verificado en tienda)</t>
        </is>
      </c>
      <c r="P193" s="18" t="inlineStr">
        <is>
          <t>oct-2026 (est.)</t>
        </is>
      </c>
      <c r="Q193" s="18" t="n"/>
    </row>
    <row r="194">
      <c r="A194" s="23" t="n">
        <v>166</v>
      </c>
      <c r="B194" s="24" t="inlineStr">
        <is>
          <t xml:space="preserve">        Tablero de Fuerza Ascensor con Seccionador</t>
        </is>
      </c>
      <c r="C194" s="25" t="inlineStr">
        <is>
          <t>Comercial / Industrial / Hospitalario</t>
        </is>
      </c>
      <c r="D194" s="23" t="inlineStr">
        <is>
          <t>Tableros Especiales</t>
        </is>
      </c>
      <c r="E194" s="23" t="inlineStr">
        <is>
          <t>U</t>
        </is>
      </c>
      <c r="F194" s="26" t="n">
        <v>0</v>
      </c>
      <c r="G194" s="27" t="n">
        <v>650</v>
      </c>
      <c r="H194" s="27" t="n">
        <v>663</v>
      </c>
      <c r="I194" s="23" t="inlineStr">
        <is>
          <t>Megametales</t>
        </is>
      </c>
      <c r="J194" s="27" t="n">
        <v>708.5</v>
      </c>
      <c r="K194" s="23" t="inlineStr">
        <is>
          <t>Kywi / Megakywi</t>
        </is>
      </c>
      <c r="L194" s="28">
        <f>F194*G194</f>
        <v/>
      </c>
      <c r="M194" s="146" t="inlineStr">
        <is>
          <t>IE-D50-TAB-ASC</t>
        </is>
      </c>
      <c r="N194" s="23" t="inlineStr">
        <is>
          <t>Instalaciones eléctricas</t>
        </is>
      </c>
      <c r="O194" s="23" t="inlineStr">
        <is>
          <t>Estimado DION · criterio de mercado Guayaquil 2026 (no verificado en tienda)</t>
        </is>
      </c>
      <c r="P194" s="23" t="inlineStr">
        <is>
          <t>oct-2026 (est.)</t>
        </is>
      </c>
      <c r="Q194" s="23" t="n"/>
    </row>
    <row r="195">
      <c r="A195" s="18" t="n">
        <v>167</v>
      </c>
      <c r="B195" s="19" t="inlineStr">
        <is>
          <t xml:space="preserve">        Tablero de Aire Acondicionado 24 Espacios</t>
        </is>
      </c>
      <c r="C195" s="20" t="inlineStr">
        <is>
          <t>Comercial / Industrial / Hospitalario</t>
        </is>
      </c>
      <c r="D195" s="18" t="inlineStr">
        <is>
          <t>Tableros Especiales</t>
        </is>
      </c>
      <c r="E195" s="18" t="inlineStr">
        <is>
          <t>U</t>
        </is>
      </c>
      <c r="F195" s="21" t="n">
        <v>1</v>
      </c>
      <c r="G195" s="22" t="n">
        <v>420</v>
      </c>
      <c r="H195" s="22" t="n">
        <v>432.6</v>
      </c>
      <c r="I195" s="18" t="inlineStr">
        <is>
          <t>Megametales</t>
        </is>
      </c>
      <c r="J195" s="22" t="n">
        <v>457.8</v>
      </c>
      <c r="K195" s="18" t="inlineStr">
        <is>
          <t>Ferrisariato</t>
        </is>
      </c>
      <c r="L195" s="8">
        <f>F195*G195</f>
        <v/>
      </c>
      <c r="M195" s="145" t="inlineStr">
        <is>
          <t>IE-D50-TAB-AA</t>
        </is>
      </c>
      <c r="N195" s="18" t="inlineStr">
        <is>
          <t>Instalaciones eléctricas</t>
        </is>
      </c>
      <c r="O195" s="18" t="inlineStr">
        <is>
          <t>Estimado DION · criterio de mercado Guayaquil 2026 (no verificado en tienda)</t>
        </is>
      </c>
      <c r="P195" s="18" t="inlineStr">
        <is>
          <t>oct-2026 (est.)</t>
        </is>
      </c>
      <c r="Q195" s="18" t="n"/>
    </row>
    <row r="196">
      <c r="A196" s="23" t="n">
        <v>168</v>
      </c>
      <c r="B196" s="24" t="inlineStr">
        <is>
          <t xml:space="preserve">        Tablero de Iluminación 30 Espacios</t>
        </is>
      </c>
      <c r="C196" s="25" t="inlineStr">
        <is>
          <t>Comercial / Industrial / Hospitalario</t>
        </is>
      </c>
      <c r="D196" s="23" t="inlineStr">
        <is>
          <t>Tableros Especiales</t>
        </is>
      </c>
      <c r="E196" s="23" t="inlineStr">
        <is>
          <t>U</t>
        </is>
      </c>
      <c r="F196" s="26" t="n">
        <v>1</v>
      </c>
      <c r="G196" s="27" t="n">
        <v>360</v>
      </c>
      <c r="H196" s="27" t="n">
        <v>370.8</v>
      </c>
      <c r="I196" s="23" t="inlineStr">
        <is>
          <t>Megametales</t>
        </is>
      </c>
      <c r="J196" s="27" t="n">
        <v>388.8</v>
      </c>
      <c r="K196" s="23" t="inlineStr">
        <is>
          <t>Kywi / Megakywi</t>
        </is>
      </c>
      <c r="L196" s="28">
        <f>F196*G196</f>
        <v/>
      </c>
      <c r="M196" s="146" t="inlineStr">
        <is>
          <t>IE-D50-TAB-ILU</t>
        </is>
      </c>
      <c r="N196" s="23" t="inlineStr">
        <is>
          <t>Instalaciones eléctricas</t>
        </is>
      </c>
      <c r="O196" s="23" t="inlineStr">
        <is>
          <t>Estimado DION · criterio de mercado Guayaquil 2026 (no verificado en tienda)</t>
        </is>
      </c>
      <c r="P196" s="23" t="inlineStr">
        <is>
          <t>oct-2026 (est.)</t>
        </is>
      </c>
      <c r="Q196" s="23" t="n"/>
    </row>
    <row r="197">
      <c r="A197" s="18" t="n">
        <v>169</v>
      </c>
      <c r="B197" s="19" t="inlineStr">
        <is>
          <t xml:space="preserve">        Tablero de Transferencia + Totalizador</t>
        </is>
      </c>
      <c r="C197" s="20" t="inlineStr">
        <is>
          <t>Comercial / Industrial / Hospitalario</t>
        </is>
      </c>
      <c r="D197" s="18" t="inlineStr">
        <is>
          <t>Tableros Especiales</t>
        </is>
      </c>
      <c r="E197" s="18" t="inlineStr">
        <is>
          <t>U</t>
        </is>
      </c>
      <c r="F197" s="21" t="n">
        <v>0</v>
      </c>
      <c r="G197" s="22" t="n">
        <v>1850</v>
      </c>
      <c r="H197" s="22" t="n">
        <v>1905.5</v>
      </c>
      <c r="I197" s="18" t="inlineStr">
        <is>
          <t>Megametales</t>
        </is>
      </c>
      <c r="J197" s="22" t="n">
        <v>2035</v>
      </c>
      <c r="K197" s="18" t="inlineStr">
        <is>
          <t>Ferrisariato</t>
        </is>
      </c>
      <c r="L197" s="8">
        <f>F197*G197</f>
        <v/>
      </c>
      <c r="M197" s="145" t="inlineStr">
        <is>
          <t>IE-D50-TAB-TTA</t>
        </is>
      </c>
      <c r="N197" s="18" t="inlineStr">
        <is>
          <t>Instalaciones eléctricas</t>
        </is>
      </c>
      <c r="O197" s="18" t="inlineStr">
        <is>
          <t>Estimado DION · criterio de mercado Guayaquil 2026 (no verificado en tienda)</t>
        </is>
      </c>
      <c r="P197" s="18" t="inlineStr">
        <is>
          <t>oct-2026 (est.)</t>
        </is>
      </c>
      <c r="Q197" s="18" t="n"/>
    </row>
    <row r="198">
      <c r="A198" s="23" t="n">
        <v>170</v>
      </c>
      <c r="B198" s="24" t="inlineStr">
        <is>
          <t xml:space="preserve">        Centro de Control de Motores CCM 400A</t>
        </is>
      </c>
      <c r="C198" s="25" t="inlineStr">
        <is>
          <t>Comercial / Industrial / Hospitalario</t>
        </is>
      </c>
      <c r="D198" s="23" t="inlineStr">
        <is>
          <t>Tableros Especiales</t>
        </is>
      </c>
      <c r="E198" s="23" t="inlineStr">
        <is>
          <t>U</t>
        </is>
      </c>
      <c r="F198" s="26" t="n">
        <v>0</v>
      </c>
      <c r="G198" s="27" t="n">
        <v>14500</v>
      </c>
      <c r="H198" s="27" t="n">
        <v>15225</v>
      </c>
      <c r="I198" s="23" t="inlineStr">
        <is>
          <t>Megametales</t>
        </is>
      </c>
      <c r="J198" s="27" t="n">
        <v>15805</v>
      </c>
      <c r="K198" s="23" t="inlineStr">
        <is>
          <t>Kywi / Megakywi</t>
        </is>
      </c>
      <c r="L198" s="28">
        <f>F198*G198</f>
        <v/>
      </c>
      <c r="M198" s="146" t="inlineStr">
        <is>
          <t>IE-D50-TAB-CCM-MOT</t>
        </is>
      </c>
      <c r="N198" s="23" t="inlineStr">
        <is>
          <t>Instalaciones eléctricas</t>
        </is>
      </c>
      <c r="O198" s="23" t="inlineStr">
        <is>
          <t>Estimado DION · criterio de mercado Guayaquil 2026 (no verificado en tienda)</t>
        </is>
      </c>
      <c r="P198" s="23" t="inlineStr">
        <is>
          <t>oct-2026 (est.)</t>
        </is>
      </c>
      <c r="Q198" s="23" t="n"/>
    </row>
    <row r="199">
      <c r="A199" s="18" t="n">
        <v>171</v>
      </c>
      <c r="B199" s="19" t="inlineStr">
        <is>
          <t xml:space="preserve">        Banco de Capacitores Automático 50 kVAR</t>
        </is>
      </c>
      <c r="C199" s="20" t="inlineStr">
        <is>
          <t>Comercial / Industrial / Hospitalario</t>
        </is>
      </c>
      <c r="D199" s="18" t="inlineStr">
        <is>
          <t>Tableros Especiales</t>
        </is>
      </c>
      <c r="E199" s="18" t="inlineStr">
        <is>
          <t>U</t>
        </is>
      </c>
      <c r="F199" s="21" t="n">
        <v>0</v>
      </c>
      <c r="G199" s="22" t="n">
        <v>3200</v>
      </c>
      <c r="H199" s="22" t="n">
        <v>3264</v>
      </c>
      <c r="I199" s="18" t="inlineStr">
        <is>
          <t>Megametales</t>
        </is>
      </c>
      <c r="J199" s="22" t="n">
        <v>3520</v>
      </c>
      <c r="K199" s="18" t="inlineStr">
        <is>
          <t>Ferrisariato</t>
        </is>
      </c>
      <c r="L199" s="8">
        <f>F199*G199</f>
        <v/>
      </c>
      <c r="M199" s="145" t="inlineStr">
        <is>
          <t>IE-D50-TAB-BCO-CAP</t>
        </is>
      </c>
      <c r="N199" s="18" t="inlineStr">
        <is>
          <t>Instalaciones eléctricas</t>
        </is>
      </c>
      <c r="O199" s="18" t="inlineStr">
        <is>
          <t>Estimado DION · criterio de mercado Guayaquil 2026 (no verificado en tienda)</t>
        </is>
      </c>
      <c r="P199" s="18" t="inlineStr">
        <is>
          <t>oct-2026 (est.)</t>
        </is>
      </c>
      <c r="Q199" s="18" t="n"/>
    </row>
    <row r="200">
      <c r="A200" s="16" t="inlineStr">
        <is>
          <t xml:space="preserve">  ► CATEGORÍA: BREAKERS, PROTECCIONES Y FUSIBLES</t>
        </is>
      </c>
      <c r="B200" s="143" t="n"/>
      <c r="C200" s="143" t="n"/>
      <c r="D200" s="143" t="n"/>
      <c r="E200" s="143" t="n"/>
      <c r="F200" s="143" t="n"/>
      <c r="G200" s="143" t="n"/>
      <c r="H200" s="143" t="n"/>
      <c r="I200" s="143" t="n"/>
      <c r="J200" s="143" t="n"/>
      <c r="K200" s="143" t="n"/>
      <c r="L200" s="143" t="n"/>
      <c r="M200" s="143" t="n"/>
      <c r="N200" s="143" t="n"/>
      <c r="O200" s="143" t="n"/>
      <c r="P200" s="143" t="n"/>
      <c r="Q200" s="144" t="n"/>
    </row>
    <row r="201">
      <c r="A201" s="17" t="inlineStr">
        <is>
          <t xml:space="preserve">      • Subcategoría Especificada: Termomagnéticos 1P/2P/3P, GFCI, MCCB, ACB y Fusibles NH</t>
        </is>
      </c>
      <c r="B201" s="143" t="n"/>
      <c r="C201" s="143" t="n"/>
      <c r="D201" s="143" t="n"/>
      <c r="E201" s="143" t="n"/>
      <c r="F201" s="143" t="n"/>
      <c r="G201" s="143" t="n"/>
      <c r="H201" s="143" t="n"/>
      <c r="I201" s="143" t="n"/>
      <c r="J201" s="143" t="n"/>
      <c r="K201" s="143" t="n"/>
      <c r="L201" s="143" t="n"/>
      <c r="M201" s="143" t="n"/>
      <c r="N201" s="143" t="n"/>
      <c r="O201" s="143" t="n"/>
      <c r="P201" s="143" t="n"/>
      <c r="Q201" s="144" t="n"/>
    </row>
    <row r="202">
      <c r="A202" s="23" t="n">
        <v>172</v>
      </c>
      <c r="B202" s="24" t="inlineStr">
        <is>
          <t xml:space="preserve">        Breaker Termomagnético 1P, 2P, 3P (15A a 100A)</t>
        </is>
      </c>
      <c r="C202" s="25" t="inlineStr">
        <is>
          <t>Residencial / Comercial / Ind</t>
        </is>
      </c>
      <c r="D202" s="23" t="inlineStr">
        <is>
          <t>Breakers Polos</t>
        </is>
      </c>
      <c r="E202" s="23" t="inlineStr">
        <is>
          <t>U</t>
        </is>
      </c>
      <c r="F202" s="26" t="n">
        <v>12</v>
      </c>
      <c r="G202" s="27" t="n">
        <v>14.2</v>
      </c>
      <c r="H202" s="27" t="n">
        <v>14.6</v>
      </c>
      <c r="I202" s="23" t="inlineStr">
        <is>
          <t>Megametales</t>
        </is>
      </c>
      <c r="J202" s="27" t="n">
        <v>15.5</v>
      </c>
      <c r="K202" s="23" t="inlineStr">
        <is>
          <t>Ferrisariato</t>
        </is>
      </c>
      <c r="L202" s="28">
        <f>F202*G202</f>
        <v/>
      </c>
      <c r="M202" s="146" t="inlineStr">
        <is>
          <t>IE-D50-BRK-1P-020A</t>
        </is>
      </c>
      <c r="N202" s="23" t="inlineStr">
        <is>
          <t>Instalaciones eléctricas</t>
        </is>
      </c>
      <c r="O202" s="23" t="inlineStr">
        <is>
          <t>Estimado · base original del usuario (sin cotización verificada)</t>
        </is>
      </c>
      <c r="P202" s="23" t="inlineStr">
        <is>
          <t>oct-2026 (est.)</t>
        </is>
      </c>
      <c r="Q202" s="23" t="n"/>
    </row>
    <row r="203">
      <c r="A203" s="18" t="n">
        <v>173</v>
      </c>
      <c r="B203" s="19" t="inlineStr">
        <is>
          <t xml:space="preserve">        Breaker Diferencial (GFCI / RCD) 1P / 2P (20A - 40A)</t>
        </is>
      </c>
      <c r="C203" s="20" t="inlineStr">
        <is>
          <t>Residencial / Piscina</t>
        </is>
      </c>
      <c r="D203" s="18" t="inlineStr">
        <is>
          <t>Breakers GFCI</t>
        </is>
      </c>
      <c r="E203" s="18" t="inlineStr">
        <is>
          <t>U</t>
        </is>
      </c>
      <c r="F203" s="21" t="n">
        <v>2</v>
      </c>
      <c r="G203" s="22" t="n">
        <v>42</v>
      </c>
      <c r="H203" s="22" t="n">
        <v>43.5</v>
      </c>
      <c r="I203" s="18" t="inlineStr">
        <is>
          <t>Megametales</t>
        </is>
      </c>
      <c r="J203" s="22" t="n">
        <v>46</v>
      </c>
      <c r="K203" s="18" t="inlineStr">
        <is>
          <t>Kywi / Megakywi</t>
        </is>
      </c>
      <c r="L203" s="8">
        <f>F203*G203</f>
        <v/>
      </c>
      <c r="M203" s="145" t="inlineStr">
        <is>
          <t>IE-D50-BRK-GFCI-030A</t>
        </is>
      </c>
      <c r="N203" s="18" t="inlineStr">
        <is>
          <t>Instalaciones eléctricas</t>
        </is>
      </c>
      <c r="O203" s="18" t="inlineStr">
        <is>
          <t>Estimado · base original del usuario (sin cotización verificada)</t>
        </is>
      </c>
      <c r="P203" s="18" t="inlineStr">
        <is>
          <t>oct-2026 (est.)</t>
        </is>
      </c>
      <c r="Q203" s="18" t="n"/>
    </row>
    <row r="204">
      <c r="A204" s="23" t="n">
        <v>174</v>
      </c>
      <c r="B204" s="24" t="inlineStr">
        <is>
          <t xml:space="preserve">        Interruptor Caja Moldeada (MCCB) 3P 150A / 225A</t>
        </is>
      </c>
      <c r="C204" s="25" t="inlineStr">
        <is>
          <t>Comercial / Industrial</t>
        </is>
      </c>
      <c r="D204" s="23" t="inlineStr">
        <is>
          <t>Breakers MCCB</t>
        </is>
      </c>
      <c r="E204" s="23" t="inlineStr">
        <is>
          <t>U</t>
        </is>
      </c>
      <c r="F204" s="26" t="n">
        <v>1</v>
      </c>
      <c r="G204" s="27" t="n">
        <v>145</v>
      </c>
      <c r="H204" s="27" t="n">
        <v>150</v>
      </c>
      <c r="I204" s="23" t="inlineStr">
        <is>
          <t>Megametales</t>
        </is>
      </c>
      <c r="J204" s="27" t="n">
        <v>160</v>
      </c>
      <c r="K204" s="23" t="inlineStr">
        <is>
          <t>Ferrisariato</t>
        </is>
      </c>
      <c r="L204" s="28">
        <f>F204*G204</f>
        <v/>
      </c>
      <c r="M204" s="146" t="inlineStr">
        <is>
          <t>IE-D50-BRK-MCCB-3P-0150A</t>
        </is>
      </c>
      <c r="N204" s="23" t="inlineStr">
        <is>
          <t>Instalaciones eléctricas</t>
        </is>
      </c>
      <c r="O204" s="23" t="inlineStr">
        <is>
          <t>Estimado · base original del usuario (sin cotización verificada)</t>
        </is>
      </c>
      <c r="P204" s="23" t="inlineStr">
        <is>
          <t>oct-2026 (est.)</t>
        </is>
      </c>
      <c r="Q204" s="23" t="n"/>
    </row>
    <row r="205">
      <c r="A205" s="18" t="n">
        <v>175</v>
      </c>
      <c r="B205" s="19" t="inlineStr">
        <is>
          <t xml:space="preserve">        Fusible Industrial Tipo NH00 a NH3 con Base DIN</t>
        </is>
      </c>
      <c r="C205" s="20" t="inlineStr">
        <is>
          <t>Industrial Heavy Duty</t>
        </is>
      </c>
      <c r="D205" s="18" t="inlineStr">
        <is>
          <t>Fusibles NH</t>
        </is>
      </c>
      <c r="E205" s="18" t="inlineStr">
        <is>
          <t>U</t>
        </is>
      </c>
      <c r="F205" s="21" t="n">
        <v>3</v>
      </c>
      <c r="G205" s="22" t="n">
        <v>18.5</v>
      </c>
      <c r="H205" s="22" t="n">
        <v>19.2</v>
      </c>
      <c r="I205" s="18" t="inlineStr">
        <is>
          <t>Megametales</t>
        </is>
      </c>
      <c r="J205" s="22" t="n">
        <v>20.8</v>
      </c>
      <c r="K205" s="18" t="inlineStr">
        <is>
          <t>Ferrisariato</t>
        </is>
      </c>
      <c r="L205" s="8">
        <f>F205*G205</f>
        <v/>
      </c>
      <c r="M205" s="145" t="inlineStr">
        <is>
          <t>IE-D50-BRK-FUS-NH</t>
        </is>
      </c>
      <c r="N205" s="18" t="inlineStr">
        <is>
          <t>Instalaciones eléctricas</t>
        </is>
      </c>
      <c r="O205" s="18" t="inlineStr">
        <is>
          <t>Estimado · base original del usuario (sin cotización verificada)</t>
        </is>
      </c>
      <c r="P205" s="18" t="inlineStr">
        <is>
          <t>oct-2026 (est.)</t>
        </is>
      </c>
      <c r="Q205" s="18" t="n"/>
    </row>
    <row r="206">
      <c r="A206" s="17" t="inlineStr">
        <is>
          <t xml:space="preserve">      • Subcategoría Especificada: Breakers por Polos y Amperaje (15A–1600A), Diferenciales y SPD</t>
        </is>
      </c>
      <c r="B206" s="143" t="n"/>
      <c r="C206" s="143" t="n"/>
      <c r="D206" s="143" t="n"/>
      <c r="E206" s="143" t="n"/>
      <c r="F206" s="143" t="n"/>
      <c r="G206" s="143" t="n"/>
      <c r="H206" s="143" t="n"/>
      <c r="I206" s="143" t="n"/>
      <c r="J206" s="143" t="n"/>
      <c r="K206" s="143" t="n"/>
      <c r="L206" s="143" t="n"/>
      <c r="M206" s="143" t="n"/>
      <c r="N206" s="143" t="n"/>
      <c r="O206" s="143" t="n"/>
      <c r="P206" s="143" t="n"/>
      <c r="Q206" s="144" t="n"/>
    </row>
    <row r="207">
      <c r="A207" s="23" t="n">
        <v>176</v>
      </c>
      <c r="B207" s="24" t="inlineStr">
        <is>
          <t xml:space="preserve">        Breaker Enchufable 1 Polo 15A 10kA</t>
        </is>
      </c>
      <c r="C207" s="25" t="inlineStr">
        <is>
          <t>Residencial / Comercial</t>
        </is>
      </c>
      <c r="D207" s="23" t="inlineStr">
        <is>
          <t>Breakers 1P</t>
        </is>
      </c>
      <c r="E207" s="23" t="inlineStr">
        <is>
          <t>U</t>
        </is>
      </c>
      <c r="F207" s="26" t="n">
        <v>4</v>
      </c>
      <c r="G207" s="27" t="n">
        <v>6.8</v>
      </c>
      <c r="H207" s="27" t="n">
        <v>6.94</v>
      </c>
      <c r="I207" s="23" t="inlineStr">
        <is>
          <t>Megametales</t>
        </is>
      </c>
      <c r="J207" s="27" t="n">
        <v>7.41</v>
      </c>
      <c r="K207" s="23" t="inlineStr">
        <is>
          <t>Kywi / Megakywi</t>
        </is>
      </c>
      <c r="L207" s="28">
        <f>F207*G207</f>
        <v/>
      </c>
      <c r="M207" s="146" t="inlineStr">
        <is>
          <t>IE-D50-BRK-1P-015A</t>
        </is>
      </c>
      <c r="N207" s="23" t="inlineStr">
        <is>
          <t>Instalaciones eléctricas</t>
        </is>
      </c>
      <c r="O207" s="23" t="inlineStr">
        <is>
          <t>Estimado DION · criterio de mercado Guayaquil 2026 (no verificado en tienda)</t>
        </is>
      </c>
      <c r="P207" s="23" t="inlineStr">
        <is>
          <t>oct-2026 (est.)</t>
        </is>
      </c>
      <c r="Q207" s="23" t="n"/>
    </row>
    <row r="208">
      <c r="A208" s="18" t="n">
        <v>177</v>
      </c>
      <c r="B208" s="19" t="inlineStr">
        <is>
          <t xml:space="preserve">        Breaker Enchufable 1 Polo 20A 10kA</t>
        </is>
      </c>
      <c r="C208" s="20" t="inlineStr">
        <is>
          <t>Residencial / Comercial</t>
        </is>
      </c>
      <c r="D208" s="18" t="inlineStr">
        <is>
          <t>Breakers 1P</t>
        </is>
      </c>
      <c r="E208" s="18" t="inlineStr">
        <is>
          <t>U</t>
        </is>
      </c>
      <c r="F208" s="21" t="n">
        <v>4</v>
      </c>
      <c r="G208" s="22" t="n">
        <v>6.8</v>
      </c>
      <c r="H208" s="22" t="n">
        <v>7.07</v>
      </c>
      <c r="I208" s="18" t="inlineStr">
        <is>
          <t>Megametales</t>
        </is>
      </c>
      <c r="J208" s="22" t="n">
        <v>7.55</v>
      </c>
      <c r="K208" s="18" t="inlineStr">
        <is>
          <t>Ferrisariato</t>
        </is>
      </c>
      <c r="L208" s="8">
        <f>F208*G208</f>
        <v/>
      </c>
      <c r="M208" s="145" t="inlineStr">
        <is>
          <t>IE-D50-BRK-1P-020A</t>
        </is>
      </c>
      <c r="N208" s="18" t="inlineStr">
        <is>
          <t>Instalaciones eléctricas</t>
        </is>
      </c>
      <c r="O208" s="18" t="inlineStr">
        <is>
          <t>Estimado DION · criterio de mercado Guayaquil 2026 (no verificado en tienda)</t>
        </is>
      </c>
      <c r="P208" s="18" t="inlineStr">
        <is>
          <t>oct-2026 (est.)</t>
        </is>
      </c>
      <c r="Q208" s="18" t="n"/>
    </row>
    <row r="209">
      <c r="A209" s="23" t="n">
        <v>178</v>
      </c>
      <c r="B209" s="24" t="inlineStr">
        <is>
          <t xml:space="preserve">        Breaker Enchufable 1 Polo 30A 10kA</t>
        </is>
      </c>
      <c r="C209" s="25" t="inlineStr">
        <is>
          <t>Residencial / Comercial</t>
        </is>
      </c>
      <c r="D209" s="23" t="inlineStr">
        <is>
          <t>Breakers 1P</t>
        </is>
      </c>
      <c r="E209" s="23" t="inlineStr">
        <is>
          <t>U</t>
        </is>
      </c>
      <c r="F209" s="26" t="n">
        <v>4</v>
      </c>
      <c r="G209" s="27" t="n">
        <v>7.2</v>
      </c>
      <c r="H209" s="27" t="n">
        <v>7.56</v>
      </c>
      <c r="I209" s="23" t="inlineStr">
        <is>
          <t>Megametales</t>
        </is>
      </c>
      <c r="J209" s="27" t="n">
        <v>7.78</v>
      </c>
      <c r="K209" s="23" t="inlineStr">
        <is>
          <t>Kywi / Megakywi</t>
        </is>
      </c>
      <c r="L209" s="28">
        <f>F209*G209</f>
        <v/>
      </c>
      <c r="M209" s="146" t="inlineStr">
        <is>
          <t>IE-D50-BRK-1P-030A</t>
        </is>
      </c>
      <c r="N209" s="23" t="inlineStr">
        <is>
          <t>Instalaciones eléctricas</t>
        </is>
      </c>
      <c r="O209" s="23" t="inlineStr">
        <is>
          <t>Estimado DION · criterio de mercado Guayaquil 2026 (no verificado en tienda)</t>
        </is>
      </c>
      <c r="P209" s="23" t="inlineStr">
        <is>
          <t>oct-2026 (est.)</t>
        </is>
      </c>
      <c r="Q209" s="23" t="n"/>
    </row>
    <row r="210">
      <c r="A210" s="18" t="n">
        <v>179</v>
      </c>
      <c r="B210" s="19" t="inlineStr">
        <is>
          <t xml:space="preserve">        Breaker Enchufable 1 Polo 40A 10kA</t>
        </is>
      </c>
      <c r="C210" s="20" t="inlineStr">
        <is>
          <t>Residencial / Comercial</t>
        </is>
      </c>
      <c r="D210" s="18" t="inlineStr">
        <is>
          <t>Breakers 1P</t>
        </is>
      </c>
      <c r="E210" s="18" t="inlineStr">
        <is>
          <t>U</t>
        </is>
      </c>
      <c r="F210" s="21" t="n">
        <v>4</v>
      </c>
      <c r="G210" s="22" t="n">
        <v>7.9</v>
      </c>
      <c r="H210" s="22" t="n">
        <v>8.140000000000001</v>
      </c>
      <c r="I210" s="18" t="inlineStr">
        <is>
          <t>Megametales</t>
        </is>
      </c>
      <c r="J210" s="22" t="n">
        <v>8.609999999999999</v>
      </c>
      <c r="K210" s="18" t="inlineStr">
        <is>
          <t>Ferrisariato</t>
        </is>
      </c>
      <c r="L210" s="8">
        <f>F210*G210</f>
        <v/>
      </c>
      <c r="M210" s="145" t="inlineStr">
        <is>
          <t>IE-D50-BRK-1P-040A</t>
        </is>
      </c>
      <c r="N210" s="18" t="inlineStr">
        <is>
          <t>Instalaciones eléctricas</t>
        </is>
      </c>
      <c r="O210" s="18" t="inlineStr">
        <is>
          <t>Estimado DION · criterio de mercado Guayaquil 2026 (no verificado en tienda)</t>
        </is>
      </c>
      <c r="P210" s="18" t="inlineStr">
        <is>
          <t>oct-2026 (est.)</t>
        </is>
      </c>
      <c r="Q210" s="18" t="n"/>
    </row>
    <row r="211">
      <c r="A211" s="23" t="n">
        <v>180</v>
      </c>
      <c r="B211" s="24" t="inlineStr">
        <is>
          <t xml:space="preserve">        Breaker Enchufable 1 Polo 50A 10kA</t>
        </is>
      </c>
      <c r="C211" s="25" t="inlineStr">
        <is>
          <t>Residencial / Comercial</t>
        </is>
      </c>
      <c r="D211" s="23" t="inlineStr">
        <is>
          <t>Breakers 1P</t>
        </is>
      </c>
      <c r="E211" s="23" t="inlineStr">
        <is>
          <t>U</t>
        </is>
      </c>
      <c r="F211" s="26" t="n">
        <v>4</v>
      </c>
      <c r="G211" s="27" t="n">
        <v>8.6</v>
      </c>
      <c r="H211" s="27" t="n">
        <v>8.77</v>
      </c>
      <c r="I211" s="23" t="inlineStr">
        <is>
          <t>Megametales</t>
        </is>
      </c>
      <c r="J211" s="27" t="n">
        <v>9.289999999999999</v>
      </c>
      <c r="K211" s="23" t="inlineStr">
        <is>
          <t>Kywi / Megakywi</t>
        </is>
      </c>
      <c r="L211" s="28">
        <f>F211*G211</f>
        <v/>
      </c>
      <c r="M211" s="146" t="inlineStr">
        <is>
          <t>IE-D50-BRK-1P-050A</t>
        </is>
      </c>
      <c r="N211" s="23" t="inlineStr">
        <is>
          <t>Instalaciones eléctricas</t>
        </is>
      </c>
      <c r="O211" s="23" t="inlineStr">
        <is>
          <t>Estimado DION · criterio de mercado Guayaquil 2026 (no verificado en tienda)</t>
        </is>
      </c>
      <c r="P211" s="23" t="inlineStr">
        <is>
          <t>oct-2026 (est.)</t>
        </is>
      </c>
      <c r="Q211" s="23" t="n"/>
    </row>
    <row r="212">
      <c r="A212" s="18" t="n">
        <v>181</v>
      </c>
      <c r="B212" s="19" t="inlineStr">
        <is>
          <t xml:space="preserve">        Breaker Enchufable 1 Polo 60A 10kA</t>
        </is>
      </c>
      <c r="C212" s="20" t="inlineStr">
        <is>
          <t>Residencial / Comercial</t>
        </is>
      </c>
      <c r="D212" s="18" t="inlineStr">
        <is>
          <t>Breakers 1P</t>
        </is>
      </c>
      <c r="E212" s="18" t="inlineStr">
        <is>
          <t>U</t>
        </is>
      </c>
      <c r="F212" s="21" t="n">
        <v>4</v>
      </c>
      <c r="G212" s="22" t="n">
        <v>9.4</v>
      </c>
      <c r="H212" s="22" t="n">
        <v>9.869999999999999</v>
      </c>
      <c r="I212" s="18" t="inlineStr">
        <is>
          <t>Megametales</t>
        </is>
      </c>
      <c r="J212" s="22" t="n">
        <v>10.43</v>
      </c>
      <c r="K212" s="18" t="inlineStr">
        <is>
          <t>Ferrisariato</t>
        </is>
      </c>
      <c r="L212" s="8">
        <f>F212*G212</f>
        <v/>
      </c>
      <c r="M212" s="145" t="inlineStr">
        <is>
          <t>IE-D50-BRK-1P-060A</t>
        </is>
      </c>
      <c r="N212" s="18" t="inlineStr">
        <is>
          <t>Instalaciones eléctricas</t>
        </is>
      </c>
      <c r="O212" s="18" t="inlineStr">
        <is>
          <t>Estimado DION · criterio de mercado Guayaquil 2026 (no verificado en tienda)</t>
        </is>
      </c>
      <c r="P212" s="18" t="inlineStr">
        <is>
          <t>oct-2026 (est.)</t>
        </is>
      </c>
      <c r="Q212" s="18" t="n"/>
    </row>
    <row r="213">
      <c r="A213" s="23" t="n">
        <v>182</v>
      </c>
      <c r="B213" s="24" t="inlineStr">
        <is>
          <t xml:space="preserve">        Breaker Enchufable 1 Polo 70A 10kA</t>
        </is>
      </c>
      <c r="C213" s="25" t="inlineStr">
        <is>
          <t>Residencial / Comercial</t>
        </is>
      </c>
      <c r="D213" s="23" t="inlineStr">
        <is>
          <t>Breakers 1P</t>
        </is>
      </c>
      <c r="E213" s="23" t="inlineStr">
        <is>
          <t>U</t>
        </is>
      </c>
      <c r="F213" s="26" t="n">
        <v>4</v>
      </c>
      <c r="G213" s="27" t="n">
        <v>10.8</v>
      </c>
      <c r="H213" s="27" t="n">
        <v>11.23</v>
      </c>
      <c r="I213" s="23" t="inlineStr">
        <is>
          <t>Megametales</t>
        </is>
      </c>
      <c r="J213" s="27" t="n">
        <v>11.66</v>
      </c>
      <c r="K213" s="23" t="inlineStr">
        <is>
          <t>Kywi / Megakywi</t>
        </is>
      </c>
      <c r="L213" s="28">
        <f>F213*G213</f>
        <v/>
      </c>
      <c r="M213" s="146" t="inlineStr">
        <is>
          <t>IE-D50-BRK-1P-070A</t>
        </is>
      </c>
      <c r="N213" s="23" t="inlineStr">
        <is>
          <t>Instalaciones eléctricas</t>
        </is>
      </c>
      <c r="O213" s="23" t="inlineStr">
        <is>
          <t>Estimado DION · criterio de mercado Guayaquil 2026 (no verificado en tienda)</t>
        </is>
      </c>
      <c r="P213" s="23" t="inlineStr">
        <is>
          <t>oct-2026 (est.)</t>
        </is>
      </c>
      <c r="Q213" s="23" t="n"/>
    </row>
    <row r="214">
      <c r="A214" s="18" t="n">
        <v>183</v>
      </c>
      <c r="B214" s="19" t="inlineStr">
        <is>
          <t xml:space="preserve">        Breaker Enchufable 2 Polos 15A 10kA</t>
        </is>
      </c>
      <c r="C214" s="20" t="inlineStr">
        <is>
          <t>Residencial / Comercial</t>
        </is>
      </c>
      <c r="D214" s="18" t="inlineStr">
        <is>
          <t>Breakers 2P</t>
        </is>
      </c>
      <c r="E214" s="18" t="inlineStr">
        <is>
          <t>U</t>
        </is>
      </c>
      <c r="F214" s="21" t="n">
        <v>2</v>
      </c>
      <c r="G214" s="22" t="n">
        <v>16.5</v>
      </c>
      <c r="H214" s="22" t="n">
        <v>17.32</v>
      </c>
      <c r="I214" s="18" t="inlineStr">
        <is>
          <t>Megametales</t>
        </is>
      </c>
      <c r="J214" s="22" t="n">
        <v>18.15</v>
      </c>
      <c r="K214" s="18" t="inlineStr">
        <is>
          <t>Ferrisariato</t>
        </is>
      </c>
      <c r="L214" s="8">
        <f>F214*G214</f>
        <v/>
      </c>
      <c r="M214" s="145" t="inlineStr">
        <is>
          <t>IE-D50-BRK-2P-015A</t>
        </is>
      </c>
      <c r="N214" s="18" t="inlineStr">
        <is>
          <t>Instalaciones eléctricas</t>
        </is>
      </c>
      <c r="O214" s="18" t="inlineStr">
        <is>
          <t>Estimado DION · criterio de mercado Guayaquil 2026 (no verificado en tienda)</t>
        </is>
      </c>
      <c r="P214" s="18" t="inlineStr">
        <is>
          <t>oct-2026 (est.)</t>
        </is>
      </c>
      <c r="Q214" s="18" t="n"/>
    </row>
    <row r="215">
      <c r="A215" s="23" t="n">
        <v>184</v>
      </c>
      <c r="B215" s="24" t="inlineStr">
        <is>
          <t xml:space="preserve">        Breaker Enchufable 2 Polos 20A 10kA</t>
        </is>
      </c>
      <c r="C215" s="25" t="inlineStr">
        <is>
          <t>Residencial / Comercial</t>
        </is>
      </c>
      <c r="D215" s="23" t="inlineStr">
        <is>
          <t>Breakers 2P</t>
        </is>
      </c>
      <c r="E215" s="23" t="inlineStr">
        <is>
          <t>U</t>
        </is>
      </c>
      <c r="F215" s="26" t="n">
        <v>2</v>
      </c>
      <c r="G215" s="27" t="n">
        <v>16.5</v>
      </c>
      <c r="H215" s="27" t="n">
        <v>16.83</v>
      </c>
      <c r="I215" s="23" t="inlineStr">
        <is>
          <t>Megametales</t>
        </is>
      </c>
      <c r="J215" s="27" t="n">
        <v>18.15</v>
      </c>
      <c r="K215" s="23" t="inlineStr">
        <is>
          <t>Kywi / Megakywi</t>
        </is>
      </c>
      <c r="L215" s="28">
        <f>F215*G215</f>
        <v/>
      </c>
      <c r="M215" s="146" t="inlineStr">
        <is>
          <t>IE-D50-BRK-2P-020A</t>
        </is>
      </c>
      <c r="N215" s="23" t="inlineStr">
        <is>
          <t>Instalaciones eléctricas</t>
        </is>
      </c>
      <c r="O215" s="23" t="inlineStr">
        <is>
          <t>Estimado DION · criterio de mercado Guayaquil 2026 (no verificado en tienda)</t>
        </is>
      </c>
      <c r="P215" s="23" t="inlineStr">
        <is>
          <t>oct-2026 (est.)</t>
        </is>
      </c>
      <c r="Q215" s="23" t="n"/>
    </row>
    <row r="216">
      <c r="A216" s="18" t="n">
        <v>185</v>
      </c>
      <c r="B216" s="19" t="inlineStr">
        <is>
          <t xml:space="preserve">        Breaker Enchufable 2 Polos 30A 10kA</t>
        </is>
      </c>
      <c r="C216" s="20" t="inlineStr">
        <is>
          <t>Residencial / Comercial</t>
        </is>
      </c>
      <c r="D216" s="18" t="inlineStr">
        <is>
          <t>Breakers 2P</t>
        </is>
      </c>
      <c r="E216" s="18" t="inlineStr">
        <is>
          <t>U</t>
        </is>
      </c>
      <c r="F216" s="21" t="n">
        <v>2</v>
      </c>
      <c r="G216" s="22" t="n">
        <v>17.2</v>
      </c>
      <c r="H216" s="22" t="n">
        <v>17.54</v>
      </c>
      <c r="I216" s="18" t="inlineStr">
        <is>
          <t>Megametales</t>
        </is>
      </c>
      <c r="J216" s="22" t="n">
        <v>19.09</v>
      </c>
      <c r="K216" s="18" t="inlineStr">
        <is>
          <t>Ferrisariato</t>
        </is>
      </c>
      <c r="L216" s="8">
        <f>F216*G216</f>
        <v/>
      </c>
      <c r="M216" s="145" t="inlineStr">
        <is>
          <t>IE-D50-BRK-2P-030A</t>
        </is>
      </c>
      <c r="N216" s="18" t="inlineStr">
        <is>
          <t>Instalaciones eléctricas</t>
        </is>
      </c>
      <c r="O216" s="18" t="inlineStr">
        <is>
          <t>Estimado DION · criterio de mercado Guayaquil 2026 (no verificado en tienda)</t>
        </is>
      </c>
      <c r="P216" s="18" t="inlineStr">
        <is>
          <t>oct-2026 (est.)</t>
        </is>
      </c>
      <c r="Q216" s="18" t="n"/>
    </row>
    <row r="217">
      <c r="A217" s="23" t="n">
        <v>186</v>
      </c>
      <c r="B217" s="24" t="inlineStr">
        <is>
          <t xml:space="preserve">        Breaker Enchufable 2 Polos 40A 10kA</t>
        </is>
      </c>
      <c r="C217" s="25" t="inlineStr">
        <is>
          <t>Residencial / Comercial</t>
        </is>
      </c>
      <c r="D217" s="23" t="inlineStr">
        <is>
          <t>Breakers 2P</t>
        </is>
      </c>
      <c r="E217" s="23" t="inlineStr">
        <is>
          <t>U</t>
        </is>
      </c>
      <c r="F217" s="26" t="n">
        <v>2</v>
      </c>
      <c r="G217" s="27" t="n">
        <v>18.5</v>
      </c>
      <c r="H217" s="27" t="n">
        <v>19.05</v>
      </c>
      <c r="I217" s="23" t="inlineStr">
        <is>
          <t>Megametales</t>
        </is>
      </c>
      <c r="J217" s="27" t="n">
        <v>20.54</v>
      </c>
      <c r="K217" s="23" t="inlineStr">
        <is>
          <t>Kywi / Megakywi</t>
        </is>
      </c>
      <c r="L217" s="28">
        <f>F217*G217</f>
        <v/>
      </c>
      <c r="M217" s="146" t="inlineStr">
        <is>
          <t>IE-D50-BRK-2P-040A</t>
        </is>
      </c>
      <c r="N217" s="23" t="inlineStr">
        <is>
          <t>Instalaciones eléctricas</t>
        </is>
      </c>
      <c r="O217" s="23" t="inlineStr">
        <is>
          <t>Estimado DION · criterio de mercado Guayaquil 2026 (no verificado en tienda)</t>
        </is>
      </c>
      <c r="P217" s="23" t="inlineStr">
        <is>
          <t>oct-2026 (est.)</t>
        </is>
      </c>
      <c r="Q217" s="23" t="n"/>
    </row>
    <row r="218">
      <c r="A218" s="18" t="n">
        <v>187</v>
      </c>
      <c r="B218" s="19" t="inlineStr">
        <is>
          <t xml:space="preserve">        Breaker Enchufable 2 Polos 50A 10kA</t>
        </is>
      </c>
      <c r="C218" s="20" t="inlineStr">
        <is>
          <t>Residencial / Comercial</t>
        </is>
      </c>
      <c r="D218" s="18" t="inlineStr">
        <is>
          <t>Breakers 2P</t>
        </is>
      </c>
      <c r="E218" s="18" t="inlineStr">
        <is>
          <t>U</t>
        </is>
      </c>
      <c r="F218" s="21" t="n">
        <v>2</v>
      </c>
      <c r="G218" s="22" t="n">
        <v>19.8</v>
      </c>
      <c r="H218" s="22" t="n">
        <v>20.39</v>
      </c>
      <c r="I218" s="18" t="inlineStr">
        <is>
          <t>Megametales</t>
        </is>
      </c>
      <c r="J218" s="22" t="n">
        <v>21.19</v>
      </c>
      <c r="K218" s="18" t="inlineStr">
        <is>
          <t>Ferrisariato</t>
        </is>
      </c>
      <c r="L218" s="8">
        <f>F218*G218</f>
        <v/>
      </c>
      <c r="M218" s="145" t="inlineStr">
        <is>
          <t>IE-D50-BRK-2P-050A</t>
        </is>
      </c>
      <c r="N218" s="18" t="inlineStr">
        <is>
          <t>Instalaciones eléctricas</t>
        </is>
      </c>
      <c r="O218" s="18" t="inlineStr">
        <is>
          <t>Estimado DION · criterio de mercado Guayaquil 2026 (no verificado en tienda)</t>
        </is>
      </c>
      <c r="P218" s="18" t="inlineStr">
        <is>
          <t>oct-2026 (est.)</t>
        </is>
      </c>
      <c r="Q218" s="18" t="n"/>
    </row>
    <row r="219">
      <c r="A219" s="23" t="n">
        <v>188</v>
      </c>
      <c r="B219" s="24" t="inlineStr">
        <is>
          <t xml:space="preserve">        Breaker Enchufable 2 Polos 60A 10kA</t>
        </is>
      </c>
      <c r="C219" s="25" t="inlineStr">
        <is>
          <t>Residencial / Comercial</t>
        </is>
      </c>
      <c r="D219" s="23" t="inlineStr">
        <is>
          <t>Breakers 2P</t>
        </is>
      </c>
      <c r="E219" s="23" t="inlineStr">
        <is>
          <t>U</t>
        </is>
      </c>
      <c r="F219" s="26" t="n">
        <v>2</v>
      </c>
      <c r="G219" s="27" t="n">
        <v>21.5</v>
      </c>
      <c r="H219" s="27" t="n">
        <v>22.14</v>
      </c>
      <c r="I219" s="23" t="inlineStr">
        <is>
          <t>Megametales</t>
        </is>
      </c>
      <c r="J219" s="27" t="n">
        <v>23.87</v>
      </c>
      <c r="K219" s="23" t="inlineStr">
        <is>
          <t>Kywi / Megakywi</t>
        </is>
      </c>
      <c r="L219" s="28">
        <f>F219*G219</f>
        <v/>
      </c>
      <c r="M219" s="146" t="inlineStr">
        <is>
          <t>IE-D50-BRK-2P-060A</t>
        </is>
      </c>
      <c r="N219" s="23" t="inlineStr">
        <is>
          <t>Instalaciones eléctricas</t>
        </is>
      </c>
      <c r="O219" s="23" t="inlineStr">
        <is>
          <t>Estimado DION · criterio de mercado Guayaquil 2026 (no verificado en tienda)</t>
        </is>
      </c>
      <c r="P219" s="23" t="inlineStr">
        <is>
          <t>oct-2026 (est.)</t>
        </is>
      </c>
      <c r="Q219" s="23" t="n"/>
    </row>
    <row r="220">
      <c r="A220" s="18" t="n">
        <v>189</v>
      </c>
      <c r="B220" s="19" t="inlineStr">
        <is>
          <t xml:space="preserve">        Breaker Enchufable 2 Polos 70A 10kA</t>
        </is>
      </c>
      <c r="C220" s="20" t="inlineStr">
        <is>
          <t>Residencial / Comercial</t>
        </is>
      </c>
      <c r="D220" s="18" t="inlineStr">
        <is>
          <t>Breakers 2P</t>
        </is>
      </c>
      <c r="E220" s="18" t="inlineStr">
        <is>
          <t>U</t>
        </is>
      </c>
      <c r="F220" s="21" t="n">
        <v>2</v>
      </c>
      <c r="G220" s="22" t="n">
        <v>24.5</v>
      </c>
      <c r="H220" s="22" t="n">
        <v>25.23</v>
      </c>
      <c r="I220" s="18" t="inlineStr">
        <is>
          <t>Megametales</t>
        </is>
      </c>
      <c r="J220" s="22" t="n">
        <v>26.21</v>
      </c>
      <c r="K220" s="18" t="inlineStr">
        <is>
          <t>Ferrisariato</t>
        </is>
      </c>
      <c r="L220" s="8">
        <f>F220*G220</f>
        <v/>
      </c>
      <c r="M220" s="145" t="inlineStr">
        <is>
          <t>IE-D50-BRK-2P-070A</t>
        </is>
      </c>
      <c r="N220" s="18" t="inlineStr">
        <is>
          <t>Instalaciones eléctricas</t>
        </is>
      </c>
      <c r="O220" s="18" t="inlineStr">
        <is>
          <t>Estimado DION · criterio de mercado Guayaquil 2026 (no verificado en tienda)</t>
        </is>
      </c>
      <c r="P220" s="18" t="inlineStr">
        <is>
          <t>oct-2026 (est.)</t>
        </is>
      </c>
      <c r="Q220" s="18" t="n"/>
    </row>
    <row r="221">
      <c r="A221" s="23" t="n">
        <v>190</v>
      </c>
      <c r="B221" s="24" t="inlineStr">
        <is>
          <t xml:space="preserve">        Breaker Enchufable 2 Polos 100A 10kA</t>
        </is>
      </c>
      <c r="C221" s="25" t="inlineStr">
        <is>
          <t>Residencial / Comercial</t>
        </is>
      </c>
      <c r="D221" s="23" t="inlineStr">
        <is>
          <t>Breakers 2P</t>
        </is>
      </c>
      <c r="E221" s="23" t="inlineStr">
        <is>
          <t>U</t>
        </is>
      </c>
      <c r="F221" s="26" t="n">
        <v>2</v>
      </c>
      <c r="G221" s="27" t="n">
        <v>46</v>
      </c>
      <c r="H221" s="27" t="n">
        <v>46.92</v>
      </c>
      <c r="I221" s="23" t="inlineStr">
        <is>
          <t>Megametales</t>
        </is>
      </c>
      <c r="J221" s="27" t="n">
        <v>50.14</v>
      </c>
      <c r="K221" s="23" t="inlineStr">
        <is>
          <t>Kywi / Megakywi</t>
        </is>
      </c>
      <c r="L221" s="28">
        <f>F221*G221</f>
        <v/>
      </c>
      <c r="M221" s="146" t="inlineStr">
        <is>
          <t>IE-D50-BRK-2P-100A</t>
        </is>
      </c>
      <c r="N221" s="23" t="inlineStr">
        <is>
          <t>Instalaciones eléctricas</t>
        </is>
      </c>
      <c r="O221" s="23" t="inlineStr">
        <is>
          <t>Estimado DION · criterio de mercado Guayaquil 2026 (no verificado en tienda)</t>
        </is>
      </c>
      <c r="P221" s="23" t="inlineStr">
        <is>
          <t>oct-2026 (est.)</t>
        </is>
      </c>
      <c r="Q221" s="23" t="n"/>
    </row>
    <row r="222">
      <c r="A222" s="18" t="n">
        <v>191</v>
      </c>
      <c r="B222" s="19" t="inlineStr">
        <is>
          <t xml:space="preserve">        Breaker Trifásico 3 Polos 15A</t>
        </is>
      </c>
      <c r="C222" s="20" t="inlineStr">
        <is>
          <t>Comercial / Industrial</t>
        </is>
      </c>
      <c r="D222" s="18" t="inlineStr">
        <is>
          <t>Breakers 3P</t>
        </is>
      </c>
      <c r="E222" s="18" t="inlineStr">
        <is>
          <t>U</t>
        </is>
      </c>
      <c r="F222" s="21" t="n">
        <v>1</v>
      </c>
      <c r="G222" s="22" t="n">
        <v>48</v>
      </c>
      <c r="H222" s="22" t="n">
        <v>48.96</v>
      </c>
      <c r="I222" s="18" t="inlineStr">
        <is>
          <t>Megametales</t>
        </is>
      </c>
      <c r="J222" s="22" t="n">
        <v>51.84</v>
      </c>
      <c r="K222" s="18" t="inlineStr">
        <is>
          <t>Ferrisariato</t>
        </is>
      </c>
      <c r="L222" s="8">
        <f>F222*G222</f>
        <v/>
      </c>
      <c r="M222" s="145" t="inlineStr">
        <is>
          <t>IE-D50-BRK-3P-015A</t>
        </is>
      </c>
      <c r="N222" s="18" t="inlineStr">
        <is>
          <t>Instalaciones eléctricas</t>
        </is>
      </c>
      <c r="O222" s="18" t="inlineStr">
        <is>
          <t>Estimado DION · criterio de mercado Guayaquil 2026 (no verificado en tienda)</t>
        </is>
      </c>
      <c r="P222" s="18" t="inlineStr">
        <is>
          <t>oct-2026 (est.)</t>
        </is>
      </c>
      <c r="Q222" s="18" t="n"/>
    </row>
    <row r="223">
      <c r="A223" s="23" t="n">
        <v>192</v>
      </c>
      <c r="B223" s="24" t="inlineStr">
        <is>
          <t xml:space="preserve">        Breaker Trifásico 3 Polos 20A</t>
        </is>
      </c>
      <c r="C223" s="25" t="inlineStr">
        <is>
          <t>Comercial / Industrial</t>
        </is>
      </c>
      <c r="D223" s="23" t="inlineStr">
        <is>
          <t>Breakers 3P</t>
        </is>
      </c>
      <c r="E223" s="23" t="inlineStr">
        <is>
          <t>U</t>
        </is>
      </c>
      <c r="F223" s="26" t="n">
        <v>1</v>
      </c>
      <c r="G223" s="27" t="n">
        <v>48</v>
      </c>
      <c r="H223" s="27" t="n">
        <v>49.44</v>
      </c>
      <c r="I223" s="23" t="inlineStr">
        <is>
          <t>Megametales</t>
        </is>
      </c>
      <c r="J223" s="27" t="n">
        <v>51.36</v>
      </c>
      <c r="K223" s="23" t="inlineStr">
        <is>
          <t>Kywi / Megakywi</t>
        </is>
      </c>
      <c r="L223" s="28">
        <f>F223*G223</f>
        <v/>
      </c>
      <c r="M223" s="146" t="inlineStr">
        <is>
          <t>IE-D50-BRK-3P-020A</t>
        </is>
      </c>
      <c r="N223" s="23" t="inlineStr">
        <is>
          <t>Instalaciones eléctricas</t>
        </is>
      </c>
      <c r="O223" s="23" t="inlineStr">
        <is>
          <t>Estimado DION · criterio de mercado Guayaquil 2026 (no verificado en tienda)</t>
        </is>
      </c>
      <c r="P223" s="23" t="inlineStr">
        <is>
          <t>oct-2026 (est.)</t>
        </is>
      </c>
      <c r="Q223" s="23" t="n"/>
    </row>
    <row r="224">
      <c r="A224" s="18" t="n">
        <v>193</v>
      </c>
      <c r="B224" s="19" t="inlineStr">
        <is>
          <t xml:space="preserve">        Breaker Trifásico 3 Polos 30A</t>
        </is>
      </c>
      <c r="C224" s="20" t="inlineStr">
        <is>
          <t>Comercial / Industrial</t>
        </is>
      </c>
      <c r="D224" s="18" t="inlineStr">
        <is>
          <t>Breakers 3P</t>
        </is>
      </c>
      <c r="E224" s="18" t="inlineStr">
        <is>
          <t>U</t>
        </is>
      </c>
      <c r="F224" s="21" t="n">
        <v>1</v>
      </c>
      <c r="G224" s="22" t="n">
        <v>52</v>
      </c>
      <c r="H224" s="22" t="n">
        <v>53.56</v>
      </c>
      <c r="I224" s="18" t="inlineStr">
        <is>
          <t>Megametales</t>
        </is>
      </c>
      <c r="J224" s="22" t="n">
        <v>56.16</v>
      </c>
      <c r="K224" s="18" t="inlineStr">
        <is>
          <t>Ferrisariato</t>
        </is>
      </c>
      <c r="L224" s="8">
        <f>F224*G224</f>
        <v/>
      </c>
      <c r="M224" s="145" t="inlineStr">
        <is>
          <t>IE-D50-BRK-3P-030A</t>
        </is>
      </c>
      <c r="N224" s="18" t="inlineStr">
        <is>
          <t>Instalaciones eléctricas</t>
        </is>
      </c>
      <c r="O224" s="18" t="inlineStr">
        <is>
          <t>Estimado DION · criterio de mercado Guayaquil 2026 (no verificado en tienda)</t>
        </is>
      </c>
      <c r="P224" s="18" t="inlineStr">
        <is>
          <t>oct-2026 (est.)</t>
        </is>
      </c>
      <c r="Q224" s="18" t="n"/>
    </row>
    <row r="225">
      <c r="A225" s="23" t="n">
        <v>194</v>
      </c>
      <c r="B225" s="24" t="inlineStr">
        <is>
          <t xml:space="preserve">        Breaker Trifásico 3 Polos 40A</t>
        </is>
      </c>
      <c r="C225" s="25" t="inlineStr">
        <is>
          <t>Comercial / Industrial</t>
        </is>
      </c>
      <c r="D225" s="23" t="inlineStr">
        <is>
          <t>Breakers 3P</t>
        </is>
      </c>
      <c r="E225" s="23" t="inlineStr">
        <is>
          <t>U</t>
        </is>
      </c>
      <c r="F225" s="26" t="n">
        <v>1</v>
      </c>
      <c r="G225" s="27" t="n">
        <v>56</v>
      </c>
      <c r="H225" s="27" t="n">
        <v>57.68</v>
      </c>
      <c r="I225" s="23" t="inlineStr">
        <is>
          <t>Megametales</t>
        </is>
      </c>
      <c r="J225" s="27" t="n">
        <v>62.16</v>
      </c>
      <c r="K225" s="23" t="inlineStr">
        <is>
          <t>Kywi / Megakywi</t>
        </is>
      </c>
      <c r="L225" s="28">
        <f>F225*G225</f>
        <v/>
      </c>
      <c r="M225" s="146" t="inlineStr">
        <is>
          <t>IE-D50-BRK-3P-040A</t>
        </is>
      </c>
      <c r="N225" s="23" t="inlineStr">
        <is>
          <t>Instalaciones eléctricas</t>
        </is>
      </c>
      <c r="O225" s="23" t="inlineStr">
        <is>
          <t>Estimado DION · criterio de mercado Guayaquil 2026 (no verificado en tienda)</t>
        </is>
      </c>
      <c r="P225" s="23" t="inlineStr">
        <is>
          <t>oct-2026 (est.)</t>
        </is>
      </c>
      <c r="Q225" s="23" t="n"/>
    </row>
    <row r="226">
      <c r="A226" s="18" t="n">
        <v>195</v>
      </c>
      <c r="B226" s="19" t="inlineStr">
        <is>
          <t xml:space="preserve">        Breaker Trifásico 3 Polos 50A</t>
        </is>
      </c>
      <c r="C226" s="20" t="inlineStr">
        <is>
          <t>Comercial / Industrial</t>
        </is>
      </c>
      <c r="D226" s="18" t="inlineStr">
        <is>
          <t>Breakers 3P</t>
        </is>
      </c>
      <c r="E226" s="18" t="inlineStr">
        <is>
          <t>U</t>
        </is>
      </c>
      <c r="F226" s="21" t="n">
        <v>1</v>
      </c>
      <c r="G226" s="22" t="n">
        <v>62</v>
      </c>
      <c r="H226" s="22" t="n">
        <v>63.86</v>
      </c>
      <c r="I226" s="18" t="inlineStr">
        <is>
          <t>Megametales</t>
        </is>
      </c>
      <c r="J226" s="22" t="n">
        <v>66.95999999999999</v>
      </c>
      <c r="K226" s="18" t="inlineStr">
        <is>
          <t>Ferrisariato</t>
        </is>
      </c>
      <c r="L226" s="8">
        <f>F226*G226</f>
        <v/>
      </c>
      <c r="M226" s="145" t="inlineStr">
        <is>
          <t>IE-D50-BRK-3P-050A</t>
        </is>
      </c>
      <c r="N226" s="18" t="inlineStr">
        <is>
          <t>Instalaciones eléctricas</t>
        </is>
      </c>
      <c r="O226" s="18" t="inlineStr">
        <is>
          <t>Estimado DION · criterio de mercado Guayaquil 2026 (no verificado en tienda)</t>
        </is>
      </c>
      <c r="P226" s="18" t="inlineStr">
        <is>
          <t>oct-2026 (est.)</t>
        </is>
      </c>
      <c r="Q226" s="18" t="n"/>
    </row>
    <row r="227">
      <c r="A227" s="23" t="n">
        <v>196</v>
      </c>
      <c r="B227" s="24" t="inlineStr">
        <is>
          <t xml:space="preserve">        Breaker Trifásico 3 Polos 60A</t>
        </is>
      </c>
      <c r="C227" s="25" t="inlineStr">
        <is>
          <t>Comercial / Industrial</t>
        </is>
      </c>
      <c r="D227" s="23" t="inlineStr">
        <is>
          <t>Breakers 3P</t>
        </is>
      </c>
      <c r="E227" s="23" t="inlineStr">
        <is>
          <t>U</t>
        </is>
      </c>
      <c r="F227" s="26" t="n">
        <v>1</v>
      </c>
      <c r="G227" s="27" t="n">
        <v>68</v>
      </c>
      <c r="H227" s="27" t="n">
        <v>70.04000000000001</v>
      </c>
      <c r="I227" s="23" t="inlineStr">
        <is>
          <t>Megametales</t>
        </is>
      </c>
      <c r="J227" s="27" t="n">
        <v>74.8</v>
      </c>
      <c r="K227" s="23" t="inlineStr">
        <is>
          <t>Kywi / Megakywi</t>
        </is>
      </c>
      <c r="L227" s="28">
        <f>F227*G227</f>
        <v/>
      </c>
      <c r="M227" s="146" t="inlineStr">
        <is>
          <t>IE-D50-BRK-3P-060A</t>
        </is>
      </c>
      <c r="N227" s="23" t="inlineStr">
        <is>
          <t>Instalaciones eléctricas</t>
        </is>
      </c>
      <c r="O227" s="23" t="inlineStr">
        <is>
          <t>Estimado DION · criterio de mercado Guayaquil 2026 (no verificado en tienda)</t>
        </is>
      </c>
      <c r="P227" s="23" t="inlineStr">
        <is>
          <t>oct-2026 (est.)</t>
        </is>
      </c>
      <c r="Q227" s="23" t="n"/>
    </row>
    <row r="228">
      <c r="A228" s="18" t="n">
        <v>197</v>
      </c>
      <c r="B228" s="19" t="inlineStr">
        <is>
          <t xml:space="preserve">        Breaker Trifásico 3 Polos 70A</t>
        </is>
      </c>
      <c r="C228" s="20" t="inlineStr">
        <is>
          <t>Comercial / Industrial</t>
        </is>
      </c>
      <c r="D228" s="18" t="inlineStr">
        <is>
          <t>Breakers 3P</t>
        </is>
      </c>
      <c r="E228" s="18" t="inlineStr">
        <is>
          <t>U</t>
        </is>
      </c>
      <c r="F228" s="21" t="n">
        <v>1</v>
      </c>
      <c r="G228" s="22" t="n">
        <v>78</v>
      </c>
      <c r="H228" s="22" t="n">
        <v>80.34</v>
      </c>
      <c r="I228" s="18" t="inlineStr">
        <is>
          <t>Megametales</t>
        </is>
      </c>
      <c r="J228" s="22" t="n">
        <v>85.8</v>
      </c>
      <c r="K228" s="18" t="inlineStr">
        <is>
          <t>Ferrisariato</t>
        </is>
      </c>
      <c r="L228" s="8">
        <f>F228*G228</f>
        <v/>
      </c>
      <c r="M228" s="145" t="inlineStr">
        <is>
          <t>IE-D50-BRK-3P-070A</t>
        </is>
      </c>
      <c r="N228" s="18" t="inlineStr">
        <is>
          <t>Instalaciones eléctricas</t>
        </is>
      </c>
      <c r="O228" s="18" t="inlineStr">
        <is>
          <t>Estimado DION · criterio de mercado Guayaquil 2026 (no verificado en tienda)</t>
        </is>
      </c>
      <c r="P228" s="18" t="inlineStr">
        <is>
          <t>oct-2026 (est.)</t>
        </is>
      </c>
      <c r="Q228" s="18" t="n"/>
    </row>
    <row r="229">
      <c r="A229" s="23" t="n">
        <v>198</v>
      </c>
      <c r="B229" s="24" t="inlineStr">
        <is>
          <t xml:space="preserve">        Breaker Trifásico 3 Polos 100A</t>
        </is>
      </c>
      <c r="C229" s="25" t="inlineStr">
        <is>
          <t>Comercial / Industrial</t>
        </is>
      </c>
      <c r="D229" s="23" t="inlineStr">
        <is>
          <t>Breakers 3P</t>
        </is>
      </c>
      <c r="E229" s="23" t="inlineStr">
        <is>
          <t>U</t>
        </is>
      </c>
      <c r="F229" s="26" t="n">
        <v>1</v>
      </c>
      <c r="G229" s="27" t="n">
        <v>95</v>
      </c>
      <c r="H229" s="27" t="n">
        <v>99.75</v>
      </c>
      <c r="I229" s="23" t="inlineStr">
        <is>
          <t>Megametales</t>
        </is>
      </c>
      <c r="J229" s="27" t="n">
        <v>104.5</v>
      </c>
      <c r="K229" s="23" t="inlineStr">
        <is>
          <t>Kywi / Megakywi</t>
        </is>
      </c>
      <c r="L229" s="28">
        <f>F229*G229</f>
        <v/>
      </c>
      <c r="M229" s="146" t="inlineStr">
        <is>
          <t>IE-D50-BRK-3P-100A</t>
        </is>
      </c>
      <c r="N229" s="23" t="inlineStr">
        <is>
          <t>Instalaciones eléctricas</t>
        </is>
      </c>
      <c r="O229" s="23" t="inlineStr">
        <is>
          <t>Estimado DION · criterio de mercado Guayaquil 2026 (no verificado en tienda)</t>
        </is>
      </c>
      <c r="P229" s="23" t="inlineStr">
        <is>
          <t>oct-2026 (est.)</t>
        </is>
      </c>
      <c r="Q229" s="23" t="n"/>
    </row>
    <row r="230">
      <c r="A230" s="18" t="n">
        <v>199</v>
      </c>
      <c r="B230" s="19" t="inlineStr">
        <is>
          <t xml:space="preserve">        Breaker Trifásico 3 Polos 125A</t>
        </is>
      </c>
      <c r="C230" s="20" t="inlineStr">
        <is>
          <t>Comercial / Industrial</t>
        </is>
      </c>
      <c r="D230" s="18" t="inlineStr">
        <is>
          <t>Breakers 3P</t>
        </is>
      </c>
      <c r="E230" s="18" t="inlineStr">
        <is>
          <t>U</t>
        </is>
      </c>
      <c r="F230" s="21" t="n">
        <v>1</v>
      </c>
      <c r="G230" s="22" t="n">
        <v>128</v>
      </c>
      <c r="H230" s="22" t="n">
        <v>134.4</v>
      </c>
      <c r="I230" s="18" t="inlineStr">
        <is>
          <t>Megametales</t>
        </is>
      </c>
      <c r="J230" s="22" t="n">
        <v>136.96</v>
      </c>
      <c r="K230" s="18" t="inlineStr">
        <is>
          <t>Ferrisariato</t>
        </is>
      </c>
      <c r="L230" s="8">
        <f>F230*G230</f>
        <v/>
      </c>
      <c r="M230" s="145" t="inlineStr">
        <is>
          <t>IE-D50-BRK-3P-125A</t>
        </is>
      </c>
      <c r="N230" s="18" t="inlineStr">
        <is>
          <t>Instalaciones eléctricas</t>
        </is>
      </c>
      <c r="O230" s="18" t="inlineStr">
        <is>
          <t>Estimado DION · criterio de mercado Guayaquil 2026 (no verificado en tienda)</t>
        </is>
      </c>
      <c r="P230" s="18" t="inlineStr">
        <is>
          <t>oct-2026 (est.)</t>
        </is>
      </c>
      <c r="Q230" s="18" t="n"/>
    </row>
    <row r="231">
      <c r="A231" s="23" t="n">
        <v>200</v>
      </c>
      <c r="B231" s="24" t="inlineStr">
        <is>
          <t xml:space="preserve">        Interruptor Caja Moldeada MCCB 3P 100A 25-65kA</t>
        </is>
      </c>
      <c r="C231" s="25" t="inlineStr">
        <is>
          <t>Comercial / Industrial</t>
        </is>
      </c>
      <c r="D231" s="23" t="inlineStr">
        <is>
          <t>Breakers MCCB</t>
        </is>
      </c>
      <c r="E231" s="23" t="inlineStr">
        <is>
          <t>U</t>
        </is>
      </c>
      <c r="F231" s="26" t="n">
        <v>1</v>
      </c>
      <c r="G231" s="27" t="n">
        <v>265</v>
      </c>
      <c r="H231" s="27" t="n">
        <v>278.25</v>
      </c>
      <c r="I231" s="23" t="inlineStr">
        <is>
          <t>Megametales</t>
        </is>
      </c>
      <c r="J231" s="27" t="n">
        <v>288.85</v>
      </c>
      <c r="K231" s="23" t="inlineStr">
        <is>
          <t>Kywi / Megakywi</t>
        </is>
      </c>
      <c r="L231" s="28">
        <f>F231*G231</f>
        <v/>
      </c>
      <c r="M231" s="146" t="inlineStr">
        <is>
          <t>IE-D50-BRK-MCCB-3P-0100A</t>
        </is>
      </c>
      <c r="N231" s="23" t="inlineStr">
        <is>
          <t>Instalaciones eléctricas</t>
        </is>
      </c>
      <c r="O231" s="23" t="inlineStr">
        <is>
          <t>Estimado DION · criterio de mercado Guayaquil 2026 (no verificado en tienda)</t>
        </is>
      </c>
      <c r="P231" s="23" t="inlineStr">
        <is>
          <t>oct-2026 (est.)</t>
        </is>
      </c>
      <c r="Q231" s="23" t="n"/>
    </row>
    <row r="232">
      <c r="A232" s="18" t="n">
        <v>201</v>
      </c>
      <c r="B232" s="19" t="inlineStr">
        <is>
          <t xml:space="preserve">        Interruptor Caja Moldeada MCCB 3P 200A 25-65kA</t>
        </is>
      </c>
      <c r="C232" s="20" t="inlineStr">
        <is>
          <t>Comercial / Industrial</t>
        </is>
      </c>
      <c r="D232" s="18" t="inlineStr">
        <is>
          <t>Breakers MCCB</t>
        </is>
      </c>
      <c r="E232" s="18" t="inlineStr">
        <is>
          <t>U</t>
        </is>
      </c>
      <c r="F232" s="21" t="n">
        <v>1</v>
      </c>
      <c r="G232" s="22" t="n">
        <v>430</v>
      </c>
      <c r="H232" s="22" t="n">
        <v>442.9</v>
      </c>
      <c r="I232" s="18" t="inlineStr">
        <is>
          <t>Megametales</t>
        </is>
      </c>
      <c r="J232" s="22" t="n">
        <v>468.7</v>
      </c>
      <c r="K232" s="18" t="inlineStr">
        <is>
          <t>Ferrisariato</t>
        </is>
      </c>
      <c r="L232" s="8">
        <f>F232*G232</f>
        <v/>
      </c>
      <c r="M232" s="145" t="inlineStr">
        <is>
          <t>IE-D50-BRK-MCCB-3P-0200A</t>
        </is>
      </c>
      <c r="N232" s="18" t="inlineStr">
        <is>
          <t>Instalaciones eléctricas</t>
        </is>
      </c>
      <c r="O232" s="18" t="inlineStr">
        <is>
          <t>Estimado DION · criterio de mercado Guayaquil 2026 (no verificado en tienda)</t>
        </is>
      </c>
      <c r="P232" s="18" t="inlineStr">
        <is>
          <t>oct-2026 (est.)</t>
        </is>
      </c>
      <c r="Q232" s="18" t="n"/>
    </row>
    <row r="233">
      <c r="A233" s="23" t="n">
        <v>202</v>
      </c>
      <c r="B233" s="24" t="inlineStr">
        <is>
          <t xml:space="preserve">        Interruptor Caja Moldeada MCCB 3P 250A 25-65kA</t>
        </is>
      </c>
      <c r="C233" s="25" t="inlineStr">
        <is>
          <t>Comercial / Industrial</t>
        </is>
      </c>
      <c r="D233" s="23" t="inlineStr">
        <is>
          <t>Breakers MCCB</t>
        </is>
      </c>
      <c r="E233" s="23" t="inlineStr">
        <is>
          <t>U</t>
        </is>
      </c>
      <c r="F233" s="26" t="n">
        <v>0</v>
      </c>
      <c r="G233" s="27" t="n">
        <v>535</v>
      </c>
      <c r="H233" s="27" t="n">
        <v>561.75</v>
      </c>
      <c r="I233" s="23" t="inlineStr">
        <is>
          <t>Megametales</t>
        </is>
      </c>
      <c r="J233" s="27" t="n">
        <v>572.45</v>
      </c>
      <c r="K233" s="23" t="inlineStr">
        <is>
          <t>Kywi / Megakywi</t>
        </is>
      </c>
      <c r="L233" s="28">
        <f>F233*G233</f>
        <v/>
      </c>
      <c r="M233" s="146" t="inlineStr">
        <is>
          <t>IE-D50-BRK-MCCB-3P-0250A</t>
        </is>
      </c>
      <c r="N233" s="23" t="inlineStr">
        <is>
          <t>Instalaciones eléctricas</t>
        </is>
      </c>
      <c r="O233" s="23" t="inlineStr">
        <is>
          <t>Estimado DION · criterio de mercado Guayaquil 2026 (no verificado en tienda)</t>
        </is>
      </c>
      <c r="P233" s="23" t="inlineStr">
        <is>
          <t>oct-2026 (est.)</t>
        </is>
      </c>
      <c r="Q233" s="23" t="n"/>
    </row>
    <row r="234">
      <c r="A234" s="18" t="n">
        <v>203</v>
      </c>
      <c r="B234" s="19" t="inlineStr">
        <is>
          <t xml:space="preserve">        Interruptor Caja Moldeada MCCB 3P 400A 25-65kA</t>
        </is>
      </c>
      <c r="C234" s="20" t="inlineStr">
        <is>
          <t>Comercial / Industrial</t>
        </is>
      </c>
      <c r="D234" s="18" t="inlineStr">
        <is>
          <t>Breakers MCCB</t>
        </is>
      </c>
      <c r="E234" s="18" t="inlineStr">
        <is>
          <t>U</t>
        </is>
      </c>
      <c r="F234" s="21" t="n">
        <v>0</v>
      </c>
      <c r="G234" s="22" t="n">
        <v>980</v>
      </c>
      <c r="H234" s="22" t="n">
        <v>1009.4</v>
      </c>
      <c r="I234" s="18" t="inlineStr">
        <is>
          <t>Megametales</t>
        </is>
      </c>
      <c r="J234" s="22" t="n">
        <v>1087.8</v>
      </c>
      <c r="K234" s="18" t="inlineStr">
        <is>
          <t>Ferrisariato</t>
        </is>
      </c>
      <c r="L234" s="8">
        <f>F234*G234</f>
        <v/>
      </c>
      <c r="M234" s="145" t="inlineStr">
        <is>
          <t>IE-D50-BRK-MCCB-3P-0400A</t>
        </is>
      </c>
      <c r="N234" s="18" t="inlineStr">
        <is>
          <t>Instalaciones eléctricas</t>
        </is>
      </c>
      <c r="O234" s="18" t="inlineStr">
        <is>
          <t>Estimado DION · criterio de mercado Guayaquil 2026 (no verificado en tienda)</t>
        </is>
      </c>
      <c r="P234" s="18" t="inlineStr">
        <is>
          <t>oct-2026 (est.)</t>
        </is>
      </c>
      <c r="Q234" s="18" t="n"/>
    </row>
    <row r="235">
      <c r="A235" s="23" t="n">
        <v>204</v>
      </c>
      <c r="B235" s="24" t="inlineStr">
        <is>
          <t xml:space="preserve">        Interruptor Caja Moldeada MCCB 3P 800A 25-65kA</t>
        </is>
      </c>
      <c r="C235" s="25" t="inlineStr">
        <is>
          <t>Comercial / Industrial</t>
        </is>
      </c>
      <c r="D235" s="23" t="inlineStr">
        <is>
          <t>Breakers MCCB</t>
        </is>
      </c>
      <c r="E235" s="23" t="inlineStr">
        <is>
          <t>U</t>
        </is>
      </c>
      <c r="F235" s="26" t="n">
        <v>0</v>
      </c>
      <c r="G235" s="27" t="n">
        <v>2450</v>
      </c>
      <c r="H235" s="27" t="n">
        <v>2523.5</v>
      </c>
      <c r="I235" s="23" t="inlineStr">
        <is>
          <t>Megametales</t>
        </is>
      </c>
      <c r="J235" s="27" t="n">
        <v>2646</v>
      </c>
      <c r="K235" s="23" t="inlineStr">
        <is>
          <t>Kywi / Megakywi</t>
        </is>
      </c>
      <c r="L235" s="28">
        <f>F235*G235</f>
        <v/>
      </c>
      <c r="M235" s="146" t="inlineStr">
        <is>
          <t>IE-D50-BRK-MCCB-3P-0800A</t>
        </is>
      </c>
      <c r="N235" s="23" t="inlineStr">
        <is>
          <t>Instalaciones eléctricas</t>
        </is>
      </c>
      <c r="O235" s="23" t="inlineStr">
        <is>
          <t>Estimado DION · criterio de mercado Guayaquil 2026 (no verificado en tienda)</t>
        </is>
      </c>
      <c r="P235" s="23" t="inlineStr">
        <is>
          <t>oct-2026 (est.)</t>
        </is>
      </c>
      <c r="Q235" s="23" t="n"/>
    </row>
    <row r="236">
      <c r="A236" s="18" t="n">
        <v>205</v>
      </c>
      <c r="B236" s="19" t="inlineStr">
        <is>
          <t xml:space="preserve">        Interruptor Caja Moldeada MCCB 3P 1000A 25-65kA</t>
        </is>
      </c>
      <c r="C236" s="20" t="inlineStr">
        <is>
          <t>Comercial / Industrial</t>
        </is>
      </c>
      <c r="D236" s="18" t="inlineStr">
        <is>
          <t>Breakers MCCB</t>
        </is>
      </c>
      <c r="E236" s="18" t="inlineStr">
        <is>
          <t>U</t>
        </is>
      </c>
      <c r="F236" s="21" t="n">
        <v>0</v>
      </c>
      <c r="G236" s="22" t="n">
        <v>3350</v>
      </c>
      <c r="H236" s="22" t="n">
        <v>3450.5</v>
      </c>
      <c r="I236" s="18" t="inlineStr">
        <is>
          <t>Megametales</t>
        </is>
      </c>
      <c r="J236" s="22" t="n">
        <v>3618</v>
      </c>
      <c r="K236" s="18" t="inlineStr">
        <is>
          <t>Ferrisariato</t>
        </is>
      </c>
      <c r="L236" s="8">
        <f>F236*G236</f>
        <v/>
      </c>
      <c r="M236" s="145" t="inlineStr">
        <is>
          <t>IE-D50-BRK-MCCB-3P-1000A</t>
        </is>
      </c>
      <c r="N236" s="18" t="inlineStr">
        <is>
          <t>Instalaciones eléctricas</t>
        </is>
      </c>
      <c r="O236" s="18" t="inlineStr">
        <is>
          <t>Estimado DION · criterio de mercado Guayaquil 2026 (no verificado en tienda)</t>
        </is>
      </c>
      <c r="P236" s="18" t="inlineStr">
        <is>
          <t>oct-2026 (est.)</t>
        </is>
      </c>
      <c r="Q236" s="18" t="n"/>
    </row>
    <row r="237">
      <c r="A237" s="23" t="n">
        <v>206</v>
      </c>
      <c r="B237" s="24" t="inlineStr">
        <is>
          <t xml:space="preserve">        Interruptor Caja Moldeada MCCB 3P 1200A 25-65kA</t>
        </is>
      </c>
      <c r="C237" s="25" t="inlineStr">
        <is>
          <t>Comercial / Industrial</t>
        </is>
      </c>
      <c r="D237" s="23" t="inlineStr">
        <is>
          <t>Breakers MCCB</t>
        </is>
      </c>
      <c r="E237" s="23" t="inlineStr">
        <is>
          <t>U</t>
        </is>
      </c>
      <c r="F237" s="26" t="n">
        <v>0</v>
      </c>
      <c r="G237" s="27" t="n">
        <v>4100</v>
      </c>
      <c r="H237" s="27" t="n">
        <v>4223</v>
      </c>
      <c r="I237" s="23" t="inlineStr">
        <is>
          <t>Megametales</t>
        </is>
      </c>
      <c r="J237" s="27" t="n">
        <v>4428</v>
      </c>
      <c r="K237" s="23" t="inlineStr">
        <is>
          <t>Kywi / Megakywi</t>
        </is>
      </c>
      <c r="L237" s="28">
        <f>F237*G237</f>
        <v/>
      </c>
      <c r="M237" s="146" t="inlineStr">
        <is>
          <t>IE-D50-BRK-MCCB-3P-1200A</t>
        </is>
      </c>
      <c r="N237" s="23" t="inlineStr">
        <is>
          <t>Instalaciones eléctricas</t>
        </is>
      </c>
      <c r="O237" s="23" t="inlineStr">
        <is>
          <t>Estimado DION · criterio de mercado Guayaquil 2026 (no verificado en tienda)</t>
        </is>
      </c>
      <c r="P237" s="23" t="inlineStr">
        <is>
          <t>oct-2026 (est.)</t>
        </is>
      </c>
      <c r="Q237" s="23" t="n"/>
    </row>
    <row r="238">
      <c r="A238" s="18" t="n">
        <v>207</v>
      </c>
      <c r="B238" s="19" t="inlineStr">
        <is>
          <t xml:space="preserve">        Interruptor Caja Moldeada MCCB 3P 1600A 25-65kA</t>
        </is>
      </c>
      <c r="C238" s="20" t="inlineStr">
        <is>
          <t>Comercial / Industrial</t>
        </is>
      </c>
      <c r="D238" s="18" t="inlineStr">
        <is>
          <t>Breakers MCCB</t>
        </is>
      </c>
      <c r="E238" s="18" t="inlineStr">
        <is>
          <t>U</t>
        </is>
      </c>
      <c r="F238" s="21" t="n">
        <v>0</v>
      </c>
      <c r="G238" s="22" t="n">
        <v>6600</v>
      </c>
      <c r="H238" s="22" t="n">
        <v>6732</v>
      </c>
      <c r="I238" s="18" t="inlineStr">
        <is>
          <t>Megametales</t>
        </is>
      </c>
      <c r="J238" s="22" t="n">
        <v>7326</v>
      </c>
      <c r="K238" s="18" t="inlineStr">
        <is>
          <t>Ferrisariato</t>
        </is>
      </c>
      <c r="L238" s="8">
        <f>F238*G238</f>
        <v/>
      </c>
      <c r="M238" s="145" t="inlineStr">
        <is>
          <t>IE-D50-BRK-MCCB-3P-1600A</t>
        </is>
      </c>
      <c r="N238" s="18" t="inlineStr">
        <is>
          <t>Instalaciones eléctricas</t>
        </is>
      </c>
      <c r="O238" s="18" t="inlineStr">
        <is>
          <t>Estimado DION · criterio de mercado Guayaquil 2026 (no verificado en tienda)</t>
        </is>
      </c>
      <c r="P238" s="18" t="inlineStr">
        <is>
          <t>oct-2026 (est.)</t>
        </is>
      </c>
      <c r="Q238" s="18" t="n"/>
    </row>
    <row r="239">
      <c r="A239" s="23" t="n">
        <v>208</v>
      </c>
      <c r="B239" s="24" t="inlineStr">
        <is>
          <t xml:space="preserve">        Breaker Diferencial GFCI 1P 20A 30mA</t>
        </is>
      </c>
      <c r="C239" s="25" t="inlineStr">
        <is>
          <t>Residencial / Piscina</t>
        </is>
      </c>
      <c r="D239" s="23" t="inlineStr">
        <is>
          <t>Breakers GFCI</t>
        </is>
      </c>
      <c r="E239" s="23" t="inlineStr">
        <is>
          <t>U</t>
        </is>
      </c>
      <c r="F239" s="26" t="n">
        <v>2</v>
      </c>
      <c r="G239" s="27" t="n">
        <v>48</v>
      </c>
      <c r="H239" s="27" t="n">
        <v>48.96</v>
      </c>
      <c r="I239" s="23" t="inlineStr">
        <is>
          <t>Megametales</t>
        </is>
      </c>
      <c r="J239" s="27" t="n">
        <v>52.32</v>
      </c>
      <c r="K239" s="23" t="inlineStr">
        <is>
          <t>Kywi / Megakywi</t>
        </is>
      </c>
      <c r="L239" s="28">
        <f>F239*G239</f>
        <v/>
      </c>
      <c r="M239" s="146" t="inlineStr">
        <is>
          <t>IE-D50-BRK-GFCI-020A</t>
        </is>
      </c>
      <c r="N239" s="23" t="inlineStr">
        <is>
          <t>Instalaciones eléctricas</t>
        </is>
      </c>
      <c r="O239" s="23" t="inlineStr">
        <is>
          <t>Estimado DION · criterio de mercado Guayaquil 2026 (no verificado en tienda)</t>
        </is>
      </c>
      <c r="P239" s="23" t="inlineStr">
        <is>
          <t>oct-2026 (est.)</t>
        </is>
      </c>
      <c r="Q239" s="23" t="n"/>
    </row>
    <row r="240">
      <c r="A240" s="18" t="n">
        <v>209</v>
      </c>
      <c r="B240" s="19" t="inlineStr">
        <is>
          <t xml:space="preserve">        Breaker Diferencial GFCI 1P 40A 30mA</t>
        </is>
      </c>
      <c r="C240" s="20" t="inlineStr">
        <is>
          <t>Residencial / Piscina</t>
        </is>
      </c>
      <c r="D240" s="18" t="inlineStr">
        <is>
          <t>Breakers GFCI</t>
        </is>
      </c>
      <c r="E240" s="18" t="inlineStr">
        <is>
          <t>U</t>
        </is>
      </c>
      <c r="F240" s="21" t="n">
        <v>1</v>
      </c>
      <c r="G240" s="22" t="n">
        <v>58</v>
      </c>
      <c r="H240" s="22" t="n">
        <v>59.16</v>
      </c>
      <c r="I240" s="18" t="inlineStr">
        <is>
          <t>Megametales</t>
        </is>
      </c>
      <c r="J240" s="22" t="n">
        <v>62.64</v>
      </c>
      <c r="K240" s="18" t="inlineStr">
        <is>
          <t>Ferrisariato</t>
        </is>
      </c>
      <c r="L240" s="8">
        <f>F240*G240</f>
        <v/>
      </c>
      <c r="M240" s="145" t="inlineStr">
        <is>
          <t>IE-D50-BRK-GFCI-040A</t>
        </is>
      </c>
      <c r="N240" s="18" t="inlineStr">
        <is>
          <t>Instalaciones eléctricas</t>
        </is>
      </c>
      <c r="O240" s="18" t="inlineStr">
        <is>
          <t>Estimado DION · criterio de mercado Guayaquil 2026 (no verificado en tienda)</t>
        </is>
      </c>
      <c r="P240" s="18" t="inlineStr">
        <is>
          <t>oct-2026 (est.)</t>
        </is>
      </c>
      <c r="Q240" s="18" t="n"/>
    </row>
    <row r="241">
      <c r="A241" s="23" t="n">
        <v>210</v>
      </c>
      <c r="B241" s="24" t="inlineStr">
        <is>
          <t xml:space="preserve">        Breaker AFCI (Falla de Arco) 1P 20A</t>
        </is>
      </c>
      <c r="C241" s="25" t="inlineStr">
        <is>
          <t>Residencial</t>
        </is>
      </c>
      <c r="D241" s="23" t="inlineStr">
        <is>
          <t>Breakers AFCI</t>
        </is>
      </c>
      <c r="E241" s="23" t="inlineStr">
        <is>
          <t>U</t>
        </is>
      </c>
      <c r="F241" s="26" t="n">
        <v>2</v>
      </c>
      <c r="G241" s="27" t="n">
        <v>52</v>
      </c>
      <c r="H241" s="27" t="n">
        <v>54.6</v>
      </c>
      <c r="I241" s="23" t="inlineStr">
        <is>
          <t>Megametales</t>
        </is>
      </c>
      <c r="J241" s="27" t="n">
        <v>56.16</v>
      </c>
      <c r="K241" s="23" t="inlineStr">
        <is>
          <t>Kywi / Megakywi</t>
        </is>
      </c>
      <c r="L241" s="28">
        <f>F241*G241</f>
        <v/>
      </c>
      <c r="M241" s="146" t="inlineStr">
        <is>
          <t>IE-D50-BRK-AFCI-020A</t>
        </is>
      </c>
      <c r="N241" s="23" t="inlineStr">
        <is>
          <t>Instalaciones eléctricas</t>
        </is>
      </c>
      <c r="O241" s="23" t="inlineStr">
        <is>
          <t>Estimado DION · criterio de mercado Guayaquil 2026 (no verificado en tienda)</t>
        </is>
      </c>
      <c r="P241" s="23" t="inlineStr">
        <is>
          <t>oct-2026 (est.)</t>
        </is>
      </c>
      <c r="Q241" s="23" t="n"/>
    </row>
    <row r="242">
      <c r="A242" s="18" t="n">
        <v>211</v>
      </c>
      <c r="B242" s="19" t="inlineStr">
        <is>
          <t xml:space="preserve">        Supresor de Transientes SPD Clase I 100kA Trifásico</t>
        </is>
      </c>
      <c r="C242" s="20" t="inlineStr">
        <is>
          <t>Comercial / Industrial / Hosp</t>
        </is>
      </c>
      <c r="D242" s="18" t="inlineStr">
        <is>
          <t>Supresores SPD</t>
        </is>
      </c>
      <c r="E242" s="18" t="inlineStr">
        <is>
          <t>U</t>
        </is>
      </c>
      <c r="F242" s="21" t="n">
        <v>1</v>
      </c>
      <c r="G242" s="22" t="n">
        <v>385</v>
      </c>
      <c r="H242" s="22" t="n">
        <v>392.7</v>
      </c>
      <c r="I242" s="18" t="inlineStr">
        <is>
          <t>Megametales</t>
        </is>
      </c>
      <c r="J242" s="22" t="n">
        <v>415.8</v>
      </c>
      <c r="K242" s="18" t="inlineStr">
        <is>
          <t>Ferrisariato</t>
        </is>
      </c>
      <c r="L242" s="8">
        <f>F242*G242</f>
        <v/>
      </c>
      <c r="M242" s="145" t="inlineStr">
        <is>
          <t>IE-D50-BRK-SPD-C1</t>
        </is>
      </c>
      <c r="N242" s="18" t="inlineStr">
        <is>
          <t>Instalaciones eléctricas</t>
        </is>
      </c>
      <c r="O242" s="18" t="inlineStr">
        <is>
          <t>Estimado DION · criterio de mercado Guayaquil 2026 (no verificado en tienda)</t>
        </is>
      </c>
      <c r="P242" s="18" t="inlineStr">
        <is>
          <t>oct-2026 (est.)</t>
        </is>
      </c>
      <c r="Q242" s="18" t="n"/>
    </row>
    <row r="243">
      <c r="A243" s="23" t="n">
        <v>212</v>
      </c>
      <c r="B243" s="24" t="inlineStr">
        <is>
          <t xml:space="preserve">        Supresor de Transientes SPD Clase II 40kA</t>
        </is>
      </c>
      <c r="C243" s="25" t="inlineStr">
        <is>
          <t>Residencial / Comercial</t>
        </is>
      </c>
      <c r="D243" s="23" t="inlineStr">
        <is>
          <t>Supresores SPD</t>
        </is>
      </c>
      <c r="E243" s="23" t="inlineStr">
        <is>
          <t>U</t>
        </is>
      </c>
      <c r="F243" s="26" t="n">
        <v>1</v>
      </c>
      <c r="G243" s="27" t="n">
        <v>145</v>
      </c>
      <c r="H243" s="27" t="n">
        <v>149.35</v>
      </c>
      <c r="I243" s="23" t="inlineStr">
        <is>
          <t>Megametales</t>
        </is>
      </c>
      <c r="J243" s="27" t="n">
        <v>156.6</v>
      </c>
      <c r="K243" s="23" t="inlineStr">
        <is>
          <t>Kywi / Megakywi</t>
        </is>
      </c>
      <c r="L243" s="28">
        <f>F243*G243</f>
        <v/>
      </c>
      <c r="M243" s="146" t="inlineStr">
        <is>
          <t>IE-D50-BRK-SPD-C2</t>
        </is>
      </c>
      <c r="N243" s="23" t="inlineStr">
        <is>
          <t>Instalaciones eléctricas</t>
        </is>
      </c>
      <c r="O243" s="23" t="inlineStr">
        <is>
          <t>Estimado DION · criterio de mercado Guayaquil 2026 (no verificado en tienda)</t>
        </is>
      </c>
      <c r="P243" s="23" t="inlineStr">
        <is>
          <t>oct-2026 (est.)</t>
        </is>
      </c>
      <c r="Q243" s="23" t="n"/>
    </row>
    <row r="244">
      <c r="A244" s="16" t="inlineStr">
        <is>
          <t xml:space="preserve">  ► CATEGORÍA: TRANSFORMACIÓN Y MEDICIÓN</t>
        </is>
      </c>
      <c r="B244" s="143" t="n"/>
      <c r="C244" s="143" t="n"/>
      <c r="D244" s="143" t="n"/>
      <c r="E244" s="143" t="n"/>
      <c r="F244" s="143" t="n"/>
      <c r="G244" s="143" t="n"/>
      <c r="H244" s="143" t="n"/>
      <c r="I244" s="143" t="n"/>
      <c r="J244" s="143" t="n"/>
      <c r="K244" s="143" t="n"/>
      <c r="L244" s="143" t="n"/>
      <c r="M244" s="143" t="n"/>
      <c r="N244" s="143" t="n"/>
      <c r="O244" s="143" t="n"/>
      <c r="P244" s="143" t="n"/>
      <c r="Q244" s="144" t="n"/>
    </row>
    <row r="245">
      <c r="A245" s="17" t="inlineStr">
        <is>
          <t xml:space="preserve">      • Subcategoría Especificada: Transformadores, Celdas MT y Tableros de Medidores (Norma CNEL EP)</t>
        </is>
      </c>
      <c r="B245" s="143" t="n"/>
      <c r="C245" s="143" t="n"/>
      <c r="D245" s="143" t="n"/>
      <c r="E245" s="143" t="n"/>
      <c r="F245" s="143" t="n"/>
      <c r="G245" s="143" t="n"/>
      <c r="H245" s="143" t="n"/>
      <c r="I245" s="143" t="n"/>
      <c r="J245" s="143" t="n"/>
      <c r="K245" s="143" t="n"/>
      <c r="L245" s="143" t="n"/>
      <c r="M245" s="143" t="n"/>
      <c r="N245" s="143" t="n"/>
      <c r="O245" s="143" t="n"/>
      <c r="P245" s="143" t="n"/>
      <c r="Q245" s="144" t="n"/>
    </row>
    <row r="246">
      <c r="A246" s="18" t="n">
        <v>213</v>
      </c>
      <c r="B246" s="19" t="inlineStr">
        <is>
          <t xml:space="preserve">        Transformador Monofásico Convencional Poste 10 kVA 13.8kV/240-120V</t>
        </is>
      </c>
      <c r="C246" s="20" t="inlineStr">
        <is>
          <t>Residencial / Comercial</t>
        </is>
      </c>
      <c r="D246" s="18" t="inlineStr">
        <is>
          <t>Transformadores Poste</t>
        </is>
      </c>
      <c r="E246" s="18" t="inlineStr">
        <is>
          <t>U</t>
        </is>
      </c>
      <c r="F246" s="21" t="n">
        <v>0</v>
      </c>
      <c r="G246" s="22" t="n">
        <v>1650</v>
      </c>
      <c r="H246" s="22" t="n">
        <v>1716</v>
      </c>
      <c r="I246" s="18" t="inlineStr">
        <is>
          <t>Megametales</t>
        </is>
      </c>
      <c r="J246" s="22" t="n">
        <v>1782</v>
      </c>
      <c r="K246" s="18" t="inlineStr">
        <is>
          <t>Ferrisariato</t>
        </is>
      </c>
      <c r="L246" s="8">
        <f>F246*G246</f>
        <v/>
      </c>
      <c r="M246" s="145" t="inlineStr">
        <is>
          <t>IE-D50-TRF-MON-10KVA</t>
        </is>
      </c>
      <c r="N246" s="18" t="inlineStr">
        <is>
          <t>Instalaciones eléctricas</t>
        </is>
      </c>
      <c r="O246" s="18" t="inlineStr">
        <is>
          <t>Estimado DION · criterio de mercado Guayaquil 2026 (no verificado en tienda)</t>
        </is>
      </c>
      <c r="P246" s="18" t="inlineStr">
        <is>
          <t>oct-2026 (est.)</t>
        </is>
      </c>
      <c r="Q246" s="18" t="n"/>
    </row>
    <row r="247">
      <c r="A247" s="23" t="n">
        <v>214</v>
      </c>
      <c r="B247" s="24" t="inlineStr">
        <is>
          <t xml:space="preserve">        Transformador Monofásico Convencional Poste 15 kVA 13.8kV/240-120V</t>
        </is>
      </c>
      <c r="C247" s="25" t="inlineStr">
        <is>
          <t>Residencial / Comercial</t>
        </is>
      </c>
      <c r="D247" s="23" t="inlineStr">
        <is>
          <t>Transformadores Poste</t>
        </is>
      </c>
      <c r="E247" s="23" t="inlineStr">
        <is>
          <t>U</t>
        </is>
      </c>
      <c r="F247" s="26" t="n">
        <v>0</v>
      </c>
      <c r="G247" s="27" t="n">
        <v>1950</v>
      </c>
      <c r="H247" s="27" t="n">
        <v>2008.5</v>
      </c>
      <c r="I247" s="23" t="inlineStr">
        <is>
          <t>Megametales</t>
        </is>
      </c>
      <c r="J247" s="27" t="n">
        <v>2086.5</v>
      </c>
      <c r="K247" s="23" t="inlineStr">
        <is>
          <t>Kywi / Megakywi</t>
        </is>
      </c>
      <c r="L247" s="28">
        <f>F247*G247</f>
        <v/>
      </c>
      <c r="M247" s="146" t="inlineStr">
        <is>
          <t>IE-D50-TRF-MON-15KVA</t>
        </is>
      </c>
      <c r="N247" s="23" t="inlineStr">
        <is>
          <t>Instalaciones eléctricas</t>
        </is>
      </c>
      <c r="O247" s="23" t="inlineStr">
        <is>
          <t>Estimado DION · criterio de mercado Guayaquil 2026 (no verificado en tienda)</t>
        </is>
      </c>
      <c r="P247" s="23" t="inlineStr">
        <is>
          <t>oct-2026 (est.)</t>
        </is>
      </c>
      <c r="Q247" s="23" t="n"/>
    </row>
    <row r="248">
      <c r="A248" s="18" t="n">
        <v>215</v>
      </c>
      <c r="B248" s="19" t="inlineStr">
        <is>
          <t xml:space="preserve">        Transformador Monofásico Convencional Poste 25 kVA 13.8kV/240-120V</t>
        </is>
      </c>
      <c r="C248" s="20" t="inlineStr">
        <is>
          <t>Residencial / Comercial</t>
        </is>
      </c>
      <c r="D248" s="18" t="inlineStr">
        <is>
          <t>Transformadores Poste</t>
        </is>
      </c>
      <c r="E248" s="18" t="inlineStr">
        <is>
          <t>U</t>
        </is>
      </c>
      <c r="F248" s="21" t="n">
        <v>0</v>
      </c>
      <c r="G248" s="22" t="n">
        <v>2550</v>
      </c>
      <c r="H248" s="22" t="n">
        <v>2601</v>
      </c>
      <c r="I248" s="18" t="inlineStr">
        <is>
          <t>Megametales</t>
        </is>
      </c>
      <c r="J248" s="22" t="n">
        <v>2830.5</v>
      </c>
      <c r="K248" s="18" t="inlineStr">
        <is>
          <t>Ferrisariato</t>
        </is>
      </c>
      <c r="L248" s="8">
        <f>F248*G248</f>
        <v/>
      </c>
      <c r="M248" s="145" t="inlineStr">
        <is>
          <t>IE-D50-TRF-MON-25KVA</t>
        </is>
      </c>
      <c r="N248" s="18" t="inlineStr">
        <is>
          <t>Instalaciones eléctricas</t>
        </is>
      </c>
      <c r="O248" s="18" t="inlineStr">
        <is>
          <t>Estimado DION · criterio de mercado Guayaquil 2026 (no verificado en tienda)</t>
        </is>
      </c>
      <c r="P248" s="18" t="inlineStr">
        <is>
          <t>oct-2026 (est.)</t>
        </is>
      </c>
      <c r="Q248" s="18" t="n"/>
    </row>
    <row r="249">
      <c r="A249" s="23" t="n">
        <v>216</v>
      </c>
      <c r="B249" s="24" t="inlineStr">
        <is>
          <t xml:space="preserve">        Transformador Monofásico Convencional Poste 37.5 kVA 13.8kV/240-120V</t>
        </is>
      </c>
      <c r="C249" s="25" t="inlineStr">
        <is>
          <t>Residencial / Comercial</t>
        </is>
      </c>
      <c r="D249" s="23" t="inlineStr">
        <is>
          <t>Transformadores Poste</t>
        </is>
      </c>
      <c r="E249" s="23" t="inlineStr">
        <is>
          <t>U</t>
        </is>
      </c>
      <c r="F249" s="26" t="n">
        <v>0</v>
      </c>
      <c r="G249" s="27" t="n">
        <v>3250</v>
      </c>
      <c r="H249" s="27" t="n">
        <v>3347.5</v>
      </c>
      <c r="I249" s="23" t="inlineStr">
        <is>
          <t>Megametales</t>
        </is>
      </c>
      <c r="J249" s="27" t="n">
        <v>3510</v>
      </c>
      <c r="K249" s="23" t="inlineStr">
        <is>
          <t>Kywi / Megakywi</t>
        </is>
      </c>
      <c r="L249" s="28">
        <f>F249*G249</f>
        <v/>
      </c>
      <c r="M249" s="146" t="inlineStr">
        <is>
          <t>IE-D50-TRF-MON-37P5KVA</t>
        </is>
      </c>
      <c r="N249" s="23" t="inlineStr">
        <is>
          <t>Instalaciones eléctricas</t>
        </is>
      </c>
      <c r="O249" s="23" t="inlineStr">
        <is>
          <t>Estimado DION · criterio de mercado Guayaquil 2026 (no verificado en tienda)</t>
        </is>
      </c>
      <c r="P249" s="23" t="inlineStr">
        <is>
          <t>oct-2026 (est.)</t>
        </is>
      </c>
      <c r="Q249" s="23" t="n"/>
    </row>
    <row r="250">
      <c r="A250" s="18" t="n">
        <v>217</v>
      </c>
      <c r="B250" s="19" t="inlineStr">
        <is>
          <t xml:space="preserve">        Transformador Monofásico Convencional Poste 50 kVA 13.8kV/240-120V</t>
        </is>
      </c>
      <c r="C250" s="20" t="inlineStr">
        <is>
          <t>Residencial / Comercial</t>
        </is>
      </c>
      <c r="D250" s="18" t="inlineStr">
        <is>
          <t>Transformadores Poste</t>
        </is>
      </c>
      <c r="E250" s="18" t="inlineStr">
        <is>
          <t>U</t>
        </is>
      </c>
      <c r="F250" s="21" t="n">
        <v>0</v>
      </c>
      <c r="G250" s="22" t="n">
        <v>3950</v>
      </c>
      <c r="H250" s="22" t="n">
        <v>4068.5</v>
      </c>
      <c r="I250" s="18" t="inlineStr">
        <is>
          <t>Megametales</t>
        </is>
      </c>
      <c r="J250" s="22" t="n">
        <v>4345</v>
      </c>
      <c r="K250" s="18" t="inlineStr">
        <is>
          <t>Ferrisariato</t>
        </is>
      </c>
      <c r="L250" s="8">
        <f>F250*G250</f>
        <v/>
      </c>
      <c r="M250" s="145" t="inlineStr">
        <is>
          <t>IE-D50-TRF-MON-50KVA</t>
        </is>
      </c>
      <c r="N250" s="18" t="inlineStr">
        <is>
          <t>Instalaciones eléctricas</t>
        </is>
      </c>
      <c r="O250" s="18" t="inlineStr">
        <is>
          <t>Estimado DION · criterio de mercado Guayaquil 2026 (no verificado en tienda)</t>
        </is>
      </c>
      <c r="P250" s="18" t="inlineStr">
        <is>
          <t>oct-2026 (est.)</t>
        </is>
      </c>
      <c r="Q250" s="18" t="n"/>
    </row>
    <row r="251">
      <c r="A251" s="23" t="n">
        <v>218</v>
      </c>
      <c r="B251" s="24" t="inlineStr">
        <is>
          <t xml:space="preserve">        Transformador Trifásico Padmounted 45 kVA 13.8kV/220-127V</t>
        </is>
      </c>
      <c r="C251" s="25" t="inlineStr">
        <is>
          <t>Comercial / Industrial</t>
        </is>
      </c>
      <c r="D251" s="23" t="inlineStr">
        <is>
          <t>Transformadores Pad</t>
        </is>
      </c>
      <c r="E251" s="23" t="inlineStr">
        <is>
          <t>U</t>
        </is>
      </c>
      <c r="F251" s="26" t="n">
        <v>0</v>
      </c>
      <c r="G251" s="27" t="n">
        <v>7900</v>
      </c>
      <c r="H251" s="27" t="n">
        <v>8058</v>
      </c>
      <c r="I251" s="23" t="inlineStr">
        <is>
          <t>Megametales</t>
        </is>
      </c>
      <c r="J251" s="27" t="n">
        <v>8690</v>
      </c>
      <c r="K251" s="23" t="inlineStr">
        <is>
          <t>Kywi / Megakywi</t>
        </is>
      </c>
      <c r="L251" s="28">
        <f>F251*G251</f>
        <v/>
      </c>
      <c r="M251" s="146" t="inlineStr">
        <is>
          <t>IE-D50-TRF-PAD-45KVA</t>
        </is>
      </c>
      <c r="N251" s="23" t="inlineStr">
        <is>
          <t>Instalaciones eléctricas</t>
        </is>
      </c>
      <c r="O251" s="23" t="inlineStr">
        <is>
          <t>Estimado DION · criterio de mercado Guayaquil 2026 (no verificado en tienda)</t>
        </is>
      </c>
      <c r="P251" s="23" t="inlineStr">
        <is>
          <t>oct-2026 (est.)</t>
        </is>
      </c>
      <c r="Q251" s="23" t="n"/>
    </row>
    <row r="252">
      <c r="A252" s="18" t="n">
        <v>219</v>
      </c>
      <c r="B252" s="19" t="inlineStr">
        <is>
          <t xml:space="preserve">        Transformador Trifásico Padmounted 75 kVA 13.8kV/220-127V</t>
        </is>
      </c>
      <c r="C252" s="20" t="inlineStr">
        <is>
          <t>Comercial / Industrial</t>
        </is>
      </c>
      <c r="D252" s="18" t="inlineStr">
        <is>
          <t>Transformadores Pad</t>
        </is>
      </c>
      <c r="E252" s="18" t="inlineStr">
        <is>
          <t>U</t>
        </is>
      </c>
      <c r="F252" s="21" t="n">
        <v>0</v>
      </c>
      <c r="G252" s="22" t="n">
        <v>9900</v>
      </c>
      <c r="H252" s="22" t="n">
        <v>10098</v>
      </c>
      <c r="I252" s="18" t="inlineStr">
        <is>
          <t>Megametales</t>
        </is>
      </c>
      <c r="J252" s="22" t="n">
        <v>10692</v>
      </c>
      <c r="K252" s="18" t="inlineStr">
        <is>
          <t>Ferrisariato</t>
        </is>
      </c>
      <c r="L252" s="8">
        <f>F252*G252</f>
        <v/>
      </c>
      <c r="M252" s="145" t="inlineStr">
        <is>
          <t>IE-D50-TRF-PAD-75KVA</t>
        </is>
      </c>
      <c r="N252" s="18" t="inlineStr">
        <is>
          <t>Instalaciones eléctricas</t>
        </is>
      </c>
      <c r="O252" s="18" t="inlineStr">
        <is>
          <t>Estimado DION · criterio de mercado Guayaquil 2026 (no verificado en tienda)</t>
        </is>
      </c>
      <c r="P252" s="18" t="inlineStr">
        <is>
          <t>oct-2026 (est.)</t>
        </is>
      </c>
      <c r="Q252" s="18" t="n"/>
    </row>
    <row r="253">
      <c r="A253" s="23" t="n">
        <v>220</v>
      </c>
      <c r="B253" s="24" t="inlineStr">
        <is>
          <t xml:space="preserve">        Transformador Trifásico Padmounted 112.5 kVA 13.8kV/220-127V</t>
        </is>
      </c>
      <c r="C253" s="25" t="inlineStr">
        <is>
          <t>Comercial / Industrial</t>
        </is>
      </c>
      <c r="D253" s="23" t="inlineStr">
        <is>
          <t>Transformadores Pad</t>
        </is>
      </c>
      <c r="E253" s="23" t="inlineStr">
        <is>
          <t>U</t>
        </is>
      </c>
      <c r="F253" s="26" t="n">
        <v>0</v>
      </c>
      <c r="G253" s="27" t="n">
        <v>12600</v>
      </c>
      <c r="H253" s="27" t="n">
        <v>12852</v>
      </c>
      <c r="I253" s="23" t="inlineStr">
        <is>
          <t>Megametales</t>
        </is>
      </c>
      <c r="J253" s="27" t="n">
        <v>13860</v>
      </c>
      <c r="K253" s="23" t="inlineStr">
        <is>
          <t>Kywi / Megakywi</t>
        </is>
      </c>
      <c r="L253" s="28">
        <f>F253*G253</f>
        <v/>
      </c>
      <c r="M253" s="146" t="inlineStr">
        <is>
          <t>IE-D50-TRF-PAD-112P5KVA</t>
        </is>
      </c>
      <c r="N253" s="23" t="inlineStr">
        <is>
          <t>Instalaciones eléctricas</t>
        </is>
      </c>
      <c r="O253" s="23" t="inlineStr">
        <is>
          <t>Estimado DION · criterio de mercado Guayaquil 2026 (no verificado en tienda)</t>
        </is>
      </c>
      <c r="P253" s="23" t="inlineStr">
        <is>
          <t>oct-2026 (est.)</t>
        </is>
      </c>
      <c r="Q253" s="23" t="n"/>
    </row>
    <row r="254">
      <c r="A254" s="18" t="n">
        <v>221</v>
      </c>
      <c r="B254" s="19" t="inlineStr">
        <is>
          <t xml:space="preserve">        Transformador Trifásico Padmounted 150 kVA 13.8kV/220-127V</t>
        </is>
      </c>
      <c r="C254" s="20" t="inlineStr">
        <is>
          <t>Comercial / Industrial</t>
        </is>
      </c>
      <c r="D254" s="18" t="inlineStr">
        <is>
          <t>Transformadores Pad</t>
        </is>
      </c>
      <c r="E254" s="18" t="inlineStr">
        <is>
          <t>U</t>
        </is>
      </c>
      <c r="F254" s="21" t="n">
        <v>0</v>
      </c>
      <c r="G254" s="22" t="n">
        <v>15200</v>
      </c>
      <c r="H254" s="22" t="n">
        <v>15504</v>
      </c>
      <c r="I254" s="18" t="inlineStr">
        <is>
          <t>Megametales</t>
        </is>
      </c>
      <c r="J254" s="22" t="n">
        <v>16872</v>
      </c>
      <c r="K254" s="18" t="inlineStr">
        <is>
          <t>Ferrisariato</t>
        </is>
      </c>
      <c r="L254" s="8">
        <f>F254*G254</f>
        <v/>
      </c>
      <c r="M254" s="145" t="inlineStr">
        <is>
          <t>IE-D50-TRF-PAD-150KVA</t>
        </is>
      </c>
      <c r="N254" s="18" t="inlineStr">
        <is>
          <t>Instalaciones eléctricas</t>
        </is>
      </c>
      <c r="O254" s="18" t="inlineStr">
        <is>
          <t>Estimado DION · criterio de mercado Guayaquil 2026 (no verificado en tienda)</t>
        </is>
      </c>
      <c r="P254" s="18" t="inlineStr">
        <is>
          <t>oct-2026 (est.)</t>
        </is>
      </c>
      <c r="Q254" s="18" t="n"/>
    </row>
    <row r="255">
      <c r="A255" s="23" t="n">
        <v>222</v>
      </c>
      <c r="B255" s="24" t="inlineStr">
        <is>
          <t xml:space="preserve">        Transformador Trifásico Padmounted 225 kVA 13.8kV/220-127V</t>
        </is>
      </c>
      <c r="C255" s="25" t="inlineStr">
        <is>
          <t>Comercial / Industrial</t>
        </is>
      </c>
      <c r="D255" s="23" t="inlineStr">
        <is>
          <t>Transformadores Pad</t>
        </is>
      </c>
      <c r="E255" s="23" t="inlineStr">
        <is>
          <t>U</t>
        </is>
      </c>
      <c r="F255" s="26" t="n">
        <v>0</v>
      </c>
      <c r="G255" s="27" t="n">
        <v>19800</v>
      </c>
      <c r="H255" s="27" t="n">
        <v>20790</v>
      </c>
      <c r="I255" s="23" t="inlineStr">
        <is>
          <t>Megametales</t>
        </is>
      </c>
      <c r="J255" s="27" t="n">
        <v>21582</v>
      </c>
      <c r="K255" s="23" t="inlineStr">
        <is>
          <t>Kywi / Megakywi</t>
        </is>
      </c>
      <c r="L255" s="28">
        <f>F255*G255</f>
        <v/>
      </c>
      <c r="M255" s="146" t="inlineStr">
        <is>
          <t>IE-D50-TRF-PAD-225KVA</t>
        </is>
      </c>
      <c r="N255" s="23" t="inlineStr">
        <is>
          <t>Instalaciones eléctricas</t>
        </is>
      </c>
      <c r="O255" s="23" t="inlineStr">
        <is>
          <t>Estimado DION · criterio de mercado Guayaquil 2026 (no verificado en tienda)</t>
        </is>
      </c>
      <c r="P255" s="23" t="inlineStr">
        <is>
          <t>oct-2026 (est.)</t>
        </is>
      </c>
      <c r="Q255" s="23" t="n"/>
    </row>
    <row r="256">
      <c r="A256" s="18" t="n">
        <v>223</v>
      </c>
      <c r="B256" s="19" t="inlineStr">
        <is>
          <t xml:space="preserve">        Transformador Trifásico Padmounted 300 kVA 13.8kV/220-127V</t>
        </is>
      </c>
      <c r="C256" s="20" t="inlineStr">
        <is>
          <t>Comercial / Industrial</t>
        </is>
      </c>
      <c r="D256" s="18" t="inlineStr">
        <is>
          <t>Transformadores Pad</t>
        </is>
      </c>
      <c r="E256" s="18" t="inlineStr">
        <is>
          <t>U</t>
        </is>
      </c>
      <c r="F256" s="21" t="n">
        <v>0</v>
      </c>
      <c r="G256" s="22" t="n">
        <v>24500</v>
      </c>
      <c r="H256" s="22" t="n">
        <v>25480</v>
      </c>
      <c r="I256" s="18" t="inlineStr">
        <is>
          <t>Megametales</t>
        </is>
      </c>
      <c r="J256" s="22" t="n">
        <v>26215</v>
      </c>
      <c r="K256" s="18" t="inlineStr">
        <is>
          <t>Ferrisariato</t>
        </is>
      </c>
      <c r="L256" s="8">
        <f>F256*G256</f>
        <v/>
      </c>
      <c r="M256" s="145" t="inlineStr">
        <is>
          <t>IE-D50-TRF-PAD-300KVA</t>
        </is>
      </c>
      <c r="N256" s="18" t="inlineStr">
        <is>
          <t>Instalaciones eléctricas</t>
        </is>
      </c>
      <c r="O256" s="18" t="inlineStr">
        <is>
          <t>Estimado DION · criterio de mercado Guayaquil 2026 (no verificado en tienda)</t>
        </is>
      </c>
      <c r="P256" s="18" t="inlineStr">
        <is>
          <t>oct-2026 (est.)</t>
        </is>
      </c>
      <c r="Q256" s="18" t="n"/>
    </row>
    <row r="257">
      <c r="A257" s="23" t="n">
        <v>224</v>
      </c>
      <c r="B257" s="24" t="inlineStr">
        <is>
          <t xml:space="preserve">        Transformador Trifásico Padmounted 500 kVA 13.8kV/220-127V</t>
        </is>
      </c>
      <c r="C257" s="25" t="inlineStr">
        <is>
          <t>Comercial / Industrial</t>
        </is>
      </c>
      <c r="D257" s="23" t="inlineStr">
        <is>
          <t>Transformadores Pad</t>
        </is>
      </c>
      <c r="E257" s="23" t="inlineStr">
        <is>
          <t>U</t>
        </is>
      </c>
      <c r="F257" s="26" t="n">
        <v>0</v>
      </c>
      <c r="G257" s="27" t="n">
        <v>34500</v>
      </c>
      <c r="H257" s="27" t="n">
        <v>35880</v>
      </c>
      <c r="I257" s="23" t="inlineStr">
        <is>
          <t>Megametales</t>
        </is>
      </c>
      <c r="J257" s="27" t="n">
        <v>38295</v>
      </c>
      <c r="K257" s="23" t="inlineStr">
        <is>
          <t>Kywi / Megakywi</t>
        </is>
      </c>
      <c r="L257" s="28">
        <f>F257*G257</f>
        <v/>
      </c>
      <c r="M257" s="146" t="inlineStr">
        <is>
          <t>IE-D50-TRF-PAD-500KVA</t>
        </is>
      </c>
      <c r="N257" s="23" t="inlineStr">
        <is>
          <t>Instalaciones eléctricas</t>
        </is>
      </c>
      <c r="O257" s="23" t="inlineStr">
        <is>
          <t>Estimado DION · criterio de mercado Guayaquil 2026 (no verificado en tienda)</t>
        </is>
      </c>
      <c r="P257" s="23" t="inlineStr">
        <is>
          <t>oct-2026 (est.)</t>
        </is>
      </c>
      <c r="Q257" s="23" t="n"/>
    </row>
    <row r="258">
      <c r="A258" s="18" t="n">
        <v>225</v>
      </c>
      <c r="B258" s="19" t="inlineStr">
        <is>
          <t xml:space="preserve">        Transformador Trifásico Padmounted 750 kVA 13.8kV/220-127V</t>
        </is>
      </c>
      <c r="C258" s="20" t="inlineStr">
        <is>
          <t>Comercial / Industrial</t>
        </is>
      </c>
      <c r="D258" s="18" t="inlineStr">
        <is>
          <t>Transformadores Pad</t>
        </is>
      </c>
      <c r="E258" s="18" t="inlineStr">
        <is>
          <t>U</t>
        </is>
      </c>
      <c r="F258" s="21" t="n">
        <v>0</v>
      </c>
      <c r="G258" s="22" t="n">
        <v>46500</v>
      </c>
      <c r="H258" s="22" t="n">
        <v>47430</v>
      </c>
      <c r="I258" s="18" t="inlineStr">
        <is>
          <t>Megametales</t>
        </is>
      </c>
      <c r="J258" s="22" t="n">
        <v>49755</v>
      </c>
      <c r="K258" s="18" t="inlineStr">
        <is>
          <t>Ferrisariato</t>
        </is>
      </c>
      <c r="L258" s="8">
        <f>F258*G258</f>
        <v/>
      </c>
      <c r="M258" s="145" t="inlineStr">
        <is>
          <t>IE-D50-TRF-PAD-750KVA</t>
        </is>
      </c>
      <c r="N258" s="18" t="inlineStr">
        <is>
          <t>Instalaciones eléctricas</t>
        </is>
      </c>
      <c r="O258" s="18" t="inlineStr">
        <is>
          <t>Estimado DION · criterio de mercado Guayaquil 2026 (no verificado en tienda)</t>
        </is>
      </c>
      <c r="P258" s="18" t="inlineStr">
        <is>
          <t>oct-2026 (est.)</t>
        </is>
      </c>
      <c r="Q258" s="18" t="n"/>
    </row>
    <row r="259">
      <c r="A259" s="23" t="n">
        <v>226</v>
      </c>
      <c r="B259" s="24" t="inlineStr">
        <is>
          <t xml:space="preserve">        Transformador Trifásico Padmounted 1000 kVA 13.8kV/220-127V</t>
        </is>
      </c>
      <c r="C259" s="25" t="inlineStr">
        <is>
          <t>Comercial / Industrial</t>
        </is>
      </c>
      <c r="D259" s="23" t="inlineStr">
        <is>
          <t>Transformadores Pad</t>
        </is>
      </c>
      <c r="E259" s="23" t="inlineStr">
        <is>
          <t>U</t>
        </is>
      </c>
      <c r="F259" s="26" t="n">
        <v>0</v>
      </c>
      <c r="G259" s="27" t="n">
        <v>58500</v>
      </c>
      <c r="H259" s="27" t="n">
        <v>61425</v>
      </c>
      <c r="I259" s="23" t="inlineStr">
        <is>
          <t>Megametales</t>
        </is>
      </c>
      <c r="J259" s="27" t="n">
        <v>63765</v>
      </c>
      <c r="K259" s="23" t="inlineStr">
        <is>
          <t>Kywi / Megakywi</t>
        </is>
      </c>
      <c r="L259" s="28">
        <f>F259*G259</f>
        <v/>
      </c>
      <c r="M259" s="146" t="inlineStr">
        <is>
          <t>IE-D50-TRF-PAD-1000KVA</t>
        </is>
      </c>
      <c r="N259" s="23" t="inlineStr">
        <is>
          <t>Instalaciones eléctricas</t>
        </is>
      </c>
      <c r="O259" s="23" t="inlineStr">
        <is>
          <t>Estimado DION · criterio de mercado Guayaquil 2026 (no verificado en tienda)</t>
        </is>
      </c>
      <c r="P259" s="23" t="inlineStr">
        <is>
          <t>oct-2026 (est.)</t>
        </is>
      </c>
      <c r="Q259" s="23" t="n"/>
    </row>
    <row r="260">
      <c r="A260" s="18" t="n">
        <v>227</v>
      </c>
      <c r="B260" s="19" t="inlineStr">
        <is>
          <t xml:space="preserve">        Transformador Seco Trifásico 75 kVA Interior</t>
        </is>
      </c>
      <c r="C260" s="20" t="inlineStr">
        <is>
          <t>Comercial / Hospitalario</t>
        </is>
      </c>
      <c r="D260" s="18" t="inlineStr">
        <is>
          <t>Transformadores Secos</t>
        </is>
      </c>
      <c r="E260" s="18" t="inlineStr">
        <is>
          <t>U</t>
        </is>
      </c>
      <c r="F260" s="21" t="n">
        <v>0</v>
      </c>
      <c r="G260" s="22" t="n">
        <v>9600</v>
      </c>
      <c r="H260" s="22" t="n">
        <v>10080</v>
      </c>
      <c r="I260" s="18" t="inlineStr">
        <is>
          <t>Megametales</t>
        </is>
      </c>
      <c r="J260" s="22" t="n">
        <v>10272</v>
      </c>
      <c r="K260" s="18" t="inlineStr">
        <is>
          <t>Ferrisariato</t>
        </is>
      </c>
      <c r="L260" s="8">
        <f>F260*G260</f>
        <v/>
      </c>
      <c r="M260" s="145" t="inlineStr">
        <is>
          <t>IE-D50-TRF-SEC-75KVA</t>
        </is>
      </c>
      <c r="N260" s="18" t="inlineStr">
        <is>
          <t>Instalaciones eléctricas</t>
        </is>
      </c>
      <c r="O260" s="18" t="inlineStr">
        <is>
          <t>Estimado DION · criterio de mercado Guayaquil 2026 (no verificado en tienda)</t>
        </is>
      </c>
      <c r="P260" s="18" t="inlineStr">
        <is>
          <t>oct-2026 (est.)</t>
        </is>
      </c>
      <c r="Q260" s="18" t="n"/>
    </row>
    <row r="261">
      <c r="A261" s="23" t="n">
        <v>228</v>
      </c>
      <c r="B261" s="24" t="inlineStr">
        <is>
          <t xml:space="preserve">        Celda de Media Tensión con Seccionador Bajo Carga 15kV</t>
        </is>
      </c>
      <c r="C261" s="25" t="inlineStr">
        <is>
          <t>Industrial / Edificios</t>
        </is>
      </c>
      <c r="D261" s="23" t="inlineStr">
        <is>
          <t>Celdas MT</t>
        </is>
      </c>
      <c r="E261" s="23" t="inlineStr">
        <is>
          <t>U</t>
        </is>
      </c>
      <c r="F261" s="26" t="n">
        <v>0</v>
      </c>
      <c r="G261" s="27" t="n">
        <v>12500</v>
      </c>
      <c r="H261" s="27" t="n">
        <v>13000</v>
      </c>
      <c r="I261" s="23" t="inlineStr">
        <is>
          <t>Megametales</t>
        </is>
      </c>
      <c r="J261" s="27" t="n">
        <v>13625</v>
      </c>
      <c r="K261" s="23" t="inlineStr">
        <is>
          <t>Kywi / Megakywi</t>
        </is>
      </c>
      <c r="L261" s="28">
        <f>F261*G261</f>
        <v/>
      </c>
      <c r="M261" s="146" t="inlineStr">
        <is>
          <t>IE-D50-TRF-CEL-MT</t>
        </is>
      </c>
      <c r="N261" s="23" t="inlineStr">
        <is>
          <t>Instalaciones eléctricas</t>
        </is>
      </c>
      <c r="O261" s="23" t="inlineStr">
        <is>
          <t>Estimado DION · criterio de mercado Guayaquil 2026 (no verificado en tienda)</t>
        </is>
      </c>
      <c r="P261" s="23" t="inlineStr">
        <is>
          <t>oct-2026 (est.)</t>
        </is>
      </c>
      <c r="Q261" s="23" t="n"/>
    </row>
    <row r="262">
      <c r="A262" s="18" t="n">
        <v>229</v>
      </c>
      <c r="B262" s="19" t="inlineStr">
        <is>
          <t xml:space="preserve">        Base Socket para Medidor Clase 100 / 200</t>
        </is>
      </c>
      <c r="C262" s="20" t="inlineStr">
        <is>
          <t>Residencial / Comercial</t>
        </is>
      </c>
      <c r="D262" s="18" t="inlineStr">
        <is>
          <t>Medición</t>
        </is>
      </c>
      <c r="E262" s="18" t="inlineStr">
        <is>
          <t>U</t>
        </is>
      </c>
      <c r="F262" s="21" t="n">
        <v>1</v>
      </c>
      <c r="G262" s="22" t="n">
        <v>36</v>
      </c>
      <c r="H262" s="22" t="n">
        <v>37.44</v>
      </c>
      <c r="I262" s="18" t="inlineStr">
        <is>
          <t>Megametales</t>
        </is>
      </c>
      <c r="J262" s="22" t="n">
        <v>39.96</v>
      </c>
      <c r="K262" s="18" t="inlineStr">
        <is>
          <t>Ferrisariato</t>
        </is>
      </c>
      <c r="L262" s="8">
        <f>F262*G262</f>
        <v/>
      </c>
      <c r="M262" s="145" t="inlineStr">
        <is>
          <t>IE-D50-MED-BAS-SOC</t>
        </is>
      </c>
      <c r="N262" s="18" t="inlineStr">
        <is>
          <t>Instalaciones eléctricas</t>
        </is>
      </c>
      <c r="O262" s="18" t="inlineStr">
        <is>
          <t>Estimado DION · criterio de mercado Guayaquil 2026 (no verificado en tienda)</t>
        </is>
      </c>
      <c r="P262" s="18" t="inlineStr">
        <is>
          <t>oct-2026 (est.)</t>
        </is>
      </c>
      <c r="Q262" s="18" t="n"/>
    </row>
    <row r="263">
      <c r="A263" s="23" t="n">
        <v>230</v>
      </c>
      <c r="B263" s="24" t="inlineStr">
        <is>
          <t xml:space="preserve">        Medidor de Energía Trifásico Indirecto con TCs (Equipo de Medición)</t>
        </is>
      </c>
      <c r="C263" s="25" t="inlineStr">
        <is>
          <t>Comercial / Industrial</t>
        </is>
      </c>
      <c r="D263" s="23" t="inlineStr">
        <is>
          <t>Medición</t>
        </is>
      </c>
      <c r="E263" s="23" t="inlineStr">
        <is>
          <t>Juego</t>
        </is>
      </c>
      <c r="F263" s="26" t="n">
        <v>0</v>
      </c>
      <c r="G263" s="27" t="n">
        <v>780</v>
      </c>
      <c r="H263" s="27" t="n">
        <v>795.6</v>
      </c>
      <c r="I263" s="23" t="inlineStr">
        <is>
          <t>Megametales</t>
        </is>
      </c>
      <c r="J263" s="27" t="n">
        <v>834.6</v>
      </c>
      <c r="K263" s="23" t="inlineStr">
        <is>
          <t>Kywi / Megakywi</t>
        </is>
      </c>
      <c r="L263" s="28">
        <f>F263*G263</f>
        <v/>
      </c>
      <c r="M263" s="146" t="inlineStr">
        <is>
          <t>IE-D50-MED-TRI-IND</t>
        </is>
      </c>
      <c r="N263" s="23" t="inlineStr">
        <is>
          <t>Instalaciones eléctricas</t>
        </is>
      </c>
      <c r="O263" s="23" t="inlineStr">
        <is>
          <t>Estimado DION · criterio de mercado Guayaquil 2026 (no verificado en tienda)</t>
        </is>
      </c>
      <c r="P263" s="23" t="inlineStr">
        <is>
          <t>oct-2026 (est.)</t>
        </is>
      </c>
      <c r="Q263" s="23" t="n"/>
    </row>
    <row r="264">
      <c r="A264" s="18" t="n">
        <v>231</v>
      </c>
      <c r="B264" s="19" t="inlineStr">
        <is>
          <t xml:space="preserve">        Tablero de Medidores 4 Medidores (Edificios)</t>
        </is>
      </c>
      <c r="C264" s="20" t="inlineStr">
        <is>
          <t>Residencial Multifamiliar</t>
        </is>
      </c>
      <c r="D264" s="18" t="inlineStr">
        <is>
          <t>Tableros de Medidores</t>
        </is>
      </c>
      <c r="E264" s="18" t="inlineStr">
        <is>
          <t>U</t>
        </is>
      </c>
      <c r="F264" s="21" t="n">
        <v>0</v>
      </c>
      <c r="G264" s="22" t="n">
        <v>520</v>
      </c>
      <c r="H264" s="22" t="n">
        <v>535.6</v>
      </c>
      <c r="I264" s="18" t="inlineStr">
        <is>
          <t>Megametales</t>
        </is>
      </c>
      <c r="J264" s="22" t="n">
        <v>577.2</v>
      </c>
      <c r="K264" s="18" t="inlineStr">
        <is>
          <t>Ferrisariato</t>
        </is>
      </c>
      <c r="L264" s="8">
        <f>F264*G264</f>
        <v/>
      </c>
      <c r="M264" s="145" t="inlineStr">
        <is>
          <t>IE-D50-MED-TMD-04</t>
        </is>
      </c>
      <c r="N264" s="18" t="inlineStr">
        <is>
          <t>Instalaciones eléctricas</t>
        </is>
      </c>
      <c r="O264" s="18" t="inlineStr">
        <is>
          <t>Estimado DION · criterio de mercado Guayaquil 2026 (no verificado en tienda)</t>
        </is>
      </c>
      <c r="P264" s="18" t="inlineStr">
        <is>
          <t>oct-2026 (est.)</t>
        </is>
      </c>
      <c r="Q264" s="18" t="n"/>
    </row>
    <row r="265">
      <c r="A265" s="23" t="n">
        <v>232</v>
      </c>
      <c r="B265" s="24" t="inlineStr">
        <is>
          <t xml:space="preserve">        Tablero de Medidores 8 Medidores (Edificios)</t>
        </is>
      </c>
      <c r="C265" s="25" t="inlineStr">
        <is>
          <t>Residencial Multifamiliar</t>
        </is>
      </c>
      <c r="D265" s="23" t="inlineStr">
        <is>
          <t>Tableros de Medidores</t>
        </is>
      </c>
      <c r="E265" s="23" t="inlineStr">
        <is>
          <t>U</t>
        </is>
      </c>
      <c r="F265" s="26" t="n">
        <v>0</v>
      </c>
      <c r="G265" s="27" t="n">
        <v>890</v>
      </c>
      <c r="H265" s="27" t="n">
        <v>907.8</v>
      </c>
      <c r="I265" s="23" t="inlineStr">
        <is>
          <t>Megametales</t>
        </is>
      </c>
      <c r="J265" s="27" t="n">
        <v>987.9</v>
      </c>
      <c r="K265" s="23" t="inlineStr">
        <is>
          <t>Kywi / Megakywi</t>
        </is>
      </c>
      <c r="L265" s="28">
        <f>F265*G265</f>
        <v/>
      </c>
      <c r="M265" s="146" t="inlineStr">
        <is>
          <t>IE-D50-MED-TMD-08</t>
        </is>
      </c>
      <c r="N265" s="23" t="inlineStr">
        <is>
          <t>Instalaciones eléctricas</t>
        </is>
      </c>
      <c r="O265" s="23" t="inlineStr">
        <is>
          <t>Estimado DION · criterio de mercado Guayaquil 2026 (no verificado en tienda)</t>
        </is>
      </c>
      <c r="P265" s="23" t="inlineStr">
        <is>
          <t>oct-2026 (est.)</t>
        </is>
      </c>
      <c r="Q265" s="23" t="n"/>
    </row>
    <row r="266">
      <c r="A266" s="18" t="n">
        <v>233</v>
      </c>
      <c r="B266" s="19" t="inlineStr">
        <is>
          <t xml:space="preserve">        Tablero de Medidores 16 Medidores (Edificios)</t>
        </is>
      </c>
      <c r="C266" s="20" t="inlineStr">
        <is>
          <t>Residencial Multifamiliar</t>
        </is>
      </c>
      <c r="D266" s="18" t="inlineStr">
        <is>
          <t>Tableros de Medidores</t>
        </is>
      </c>
      <c r="E266" s="18" t="inlineStr">
        <is>
          <t>U</t>
        </is>
      </c>
      <c r="F266" s="21" t="n">
        <v>0</v>
      </c>
      <c r="G266" s="22" t="n">
        <v>1650</v>
      </c>
      <c r="H266" s="22" t="n">
        <v>1683</v>
      </c>
      <c r="I266" s="18" t="inlineStr">
        <is>
          <t>Megametales</t>
        </is>
      </c>
      <c r="J266" s="22" t="n">
        <v>1782</v>
      </c>
      <c r="K266" s="18" t="inlineStr">
        <is>
          <t>Ferrisariato</t>
        </is>
      </c>
      <c r="L266" s="8">
        <f>F266*G266</f>
        <v/>
      </c>
      <c r="M266" s="145" t="inlineStr">
        <is>
          <t>IE-D50-MED-TMD-16</t>
        </is>
      </c>
      <c r="N266" s="18" t="inlineStr">
        <is>
          <t>Instalaciones eléctricas</t>
        </is>
      </c>
      <c r="O266" s="18" t="inlineStr">
        <is>
          <t>Estimado DION · criterio de mercado Guayaquil 2026 (no verificado en tienda)</t>
        </is>
      </c>
      <c r="P266" s="18" t="inlineStr">
        <is>
          <t>oct-2026 (est.)</t>
        </is>
      </c>
      <c r="Q266" s="18" t="n"/>
    </row>
    <row r="267">
      <c r="A267" s="16" t="inlineStr">
        <is>
          <t xml:space="preserve">  ► CATEGORÍA: CONTROL Y MANIOBRA</t>
        </is>
      </c>
      <c r="B267" s="143" t="n"/>
      <c r="C267" s="143" t="n"/>
      <c r="D267" s="143" t="n"/>
      <c r="E267" s="143" t="n"/>
      <c r="F267" s="143" t="n"/>
      <c r="G267" s="143" t="n"/>
      <c r="H267" s="143" t="n"/>
      <c r="I267" s="143" t="n"/>
      <c r="J267" s="143" t="n"/>
      <c r="K267" s="143" t="n"/>
      <c r="L267" s="143" t="n"/>
      <c r="M267" s="143" t="n"/>
      <c r="N267" s="143" t="n"/>
      <c r="O267" s="143" t="n"/>
      <c r="P267" s="143" t="n"/>
      <c r="Q267" s="144" t="n"/>
    </row>
    <row r="268">
      <c r="A268" s="17" t="inlineStr">
        <is>
          <t xml:space="preserve">      • Subcategoría Especificada: Contactores, Relés, Guardamotores y Mandos</t>
        </is>
      </c>
      <c r="B268" s="143" t="n"/>
      <c r="C268" s="143" t="n"/>
      <c r="D268" s="143" t="n"/>
      <c r="E268" s="143" t="n"/>
      <c r="F268" s="143" t="n"/>
      <c r="G268" s="143" t="n"/>
      <c r="H268" s="143" t="n"/>
      <c r="I268" s="143" t="n"/>
      <c r="J268" s="143" t="n"/>
      <c r="K268" s="143" t="n"/>
      <c r="L268" s="143" t="n"/>
      <c r="M268" s="143" t="n"/>
      <c r="N268" s="143" t="n"/>
      <c r="O268" s="143" t="n"/>
      <c r="P268" s="143" t="n"/>
      <c r="Q268" s="144" t="n"/>
    </row>
    <row r="269">
      <c r="A269" s="23" t="n">
        <v>234</v>
      </c>
      <c r="B269" s="24" t="inlineStr">
        <is>
          <t xml:space="preserve">        Contactor Tripolar AC3 9A Bobina 220V</t>
        </is>
      </c>
      <c r="C269" s="25" t="inlineStr">
        <is>
          <t>Industrial / Automatización</t>
        </is>
      </c>
      <c r="D269" s="23" t="inlineStr">
        <is>
          <t>Contactores</t>
        </is>
      </c>
      <c r="E269" s="23" t="inlineStr">
        <is>
          <t>U</t>
        </is>
      </c>
      <c r="F269" s="26" t="n">
        <v>1</v>
      </c>
      <c r="G269" s="27" t="n">
        <v>22</v>
      </c>
      <c r="H269" s="27" t="n">
        <v>22.66</v>
      </c>
      <c r="I269" s="23" t="inlineStr">
        <is>
          <t>Megametales</t>
        </is>
      </c>
      <c r="J269" s="27" t="n">
        <v>24.42</v>
      </c>
      <c r="K269" s="23" t="inlineStr">
        <is>
          <t>Kywi / Megakywi</t>
        </is>
      </c>
      <c r="L269" s="28">
        <f>F269*G269</f>
        <v/>
      </c>
      <c r="M269" s="146" t="inlineStr">
        <is>
          <t>IE-D50-CTR-CON-009A</t>
        </is>
      </c>
      <c r="N269" s="23" t="inlineStr">
        <is>
          <t>Instalaciones eléctricas</t>
        </is>
      </c>
      <c r="O269" s="23" t="inlineStr">
        <is>
          <t>Estimado DION · criterio de mercado Guayaquil 2026 (no verificado en tienda)</t>
        </is>
      </c>
      <c r="P269" s="23" t="inlineStr">
        <is>
          <t>oct-2026 (est.)</t>
        </is>
      </c>
      <c r="Q269" s="23" t="n"/>
    </row>
    <row r="270">
      <c r="A270" s="18" t="n">
        <v>235</v>
      </c>
      <c r="B270" s="19" t="inlineStr">
        <is>
          <t xml:space="preserve">        Contactor Tripolar AC3 18A Bobina 220V</t>
        </is>
      </c>
      <c r="C270" s="20" t="inlineStr">
        <is>
          <t>Industrial / Automatización</t>
        </is>
      </c>
      <c r="D270" s="18" t="inlineStr">
        <is>
          <t>Contactores</t>
        </is>
      </c>
      <c r="E270" s="18" t="inlineStr">
        <is>
          <t>U</t>
        </is>
      </c>
      <c r="F270" s="21" t="n">
        <v>1</v>
      </c>
      <c r="G270" s="22" t="n">
        <v>32</v>
      </c>
      <c r="H270" s="22" t="n">
        <v>33.28</v>
      </c>
      <c r="I270" s="18" t="inlineStr">
        <is>
          <t>Megametales</t>
        </is>
      </c>
      <c r="J270" s="22" t="n">
        <v>35.2</v>
      </c>
      <c r="K270" s="18" t="inlineStr">
        <is>
          <t>Ferrisariato</t>
        </is>
      </c>
      <c r="L270" s="8">
        <f>F270*G270</f>
        <v/>
      </c>
      <c r="M270" s="145" t="inlineStr">
        <is>
          <t>IE-D50-CTR-CON-018A</t>
        </is>
      </c>
      <c r="N270" s="18" t="inlineStr">
        <is>
          <t>Instalaciones eléctricas</t>
        </is>
      </c>
      <c r="O270" s="18" t="inlineStr">
        <is>
          <t>Estimado DION · criterio de mercado Guayaquil 2026 (no verificado en tienda)</t>
        </is>
      </c>
      <c r="P270" s="18" t="inlineStr">
        <is>
          <t>oct-2026 (est.)</t>
        </is>
      </c>
      <c r="Q270" s="18" t="n"/>
    </row>
    <row r="271">
      <c r="A271" s="23" t="n">
        <v>236</v>
      </c>
      <c r="B271" s="24" t="inlineStr">
        <is>
          <t xml:space="preserve">        Contactor Tripolar AC3 25A Bobina 220V</t>
        </is>
      </c>
      <c r="C271" s="25" t="inlineStr">
        <is>
          <t>Industrial / Automatización</t>
        </is>
      </c>
      <c r="D271" s="23" t="inlineStr">
        <is>
          <t>Contactores</t>
        </is>
      </c>
      <c r="E271" s="23" t="inlineStr">
        <is>
          <t>U</t>
        </is>
      </c>
      <c r="F271" s="26" t="n">
        <v>1</v>
      </c>
      <c r="G271" s="27" t="n">
        <v>42</v>
      </c>
      <c r="H271" s="27" t="n">
        <v>43.26</v>
      </c>
      <c r="I271" s="23" t="inlineStr">
        <is>
          <t>Megametales</t>
        </is>
      </c>
      <c r="J271" s="27" t="n">
        <v>45.78</v>
      </c>
      <c r="K271" s="23" t="inlineStr">
        <is>
          <t>Kywi / Megakywi</t>
        </is>
      </c>
      <c r="L271" s="28">
        <f>F271*G271</f>
        <v/>
      </c>
      <c r="M271" s="146" t="inlineStr">
        <is>
          <t>IE-D50-CTR-CON-025A</t>
        </is>
      </c>
      <c r="N271" s="23" t="inlineStr">
        <is>
          <t>Instalaciones eléctricas</t>
        </is>
      </c>
      <c r="O271" s="23" t="inlineStr">
        <is>
          <t>Estimado DION · criterio de mercado Guayaquil 2026 (no verificado en tienda)</t>
        </is>
      </c>
      <c r="P271" s="23" t="inlineStr">
        <is>
          <t>oct-2026 (est.)</t>
        </is>
      </c>
      <c r="Q271" s="23" t="n"/>
    </row>
    <row r="272">
      <c r="A272" s="18" t="n">
        <v>237</v>
      </c>
      <c r="B272" s="19" t="inlineStr">
        <is>
          <t xml:space="preserve">        Contactor Tripolar AC3 40A Bobina 220V</t>
        </is>
      </c>
      <c r="C272" s="20" t="inlineStr">
        <is>
          <t>Industrial / Automatización</t>
        </is>
      </c>
      <c r="D272" s="18" t="inlineStr">
        <is>
          <t>Contactores</t>
        </is>
      </c>
      <c r="E272" s="18" t="inlineStr">
        <is>
          <t>U</t>
        </is>
      </c>
      <c r="F272" s="21" t="n">
        <v>1</v>
      </c>
      <c r="G272" s="22" t="n">
        <v>78</v>
      </c>
      <c r="H272" s="22" t="n">
        <v>81.90000000000001</v>
      </c>
      <c r="I272" s="18" t="inlineStr">
        <is>
          <t>Megametales</t>
        </is>
      </c>
      <c r="J272" s="22" t="n">
        <v>84.23999999999999</v>
      </c>
      <c r="K272" s="18" t="inlineStr">
        <is>
          <t>Ferrisariato</t>
        </is>
      </c>
      <c r="L272" s="8">
        <f>F272*G272</f>
        <v/>
      </c>
      <c r="M272" s="145" t="inlineStr">
        <is>
          <t>IE-D50-CTR-CON-040A</t>
        </is>
      </c>
      <c r="N272" s="18" t="inlineStr">
        <is>
          <t>Instalaciones eléctricas</t>
        </is>
      </c>
      <c r="O272" s="18" t="inlineStr">
        <is>
          <t>Estimado DION · criterio de mercado Guayaquil 2026 (no verificado en tienda)</t>
        </is>
      </c>
      <c r="P272" s="18" t="inlineStr">
        <is>
          <t>oct-2026 (est.)</t>
        </is>
      </c>
      <c r="Q272" s="18" t="n"/>
    </row>
    <row r="273">
      <c r="A273" s="23" t="n">
        <v>238</v>
      </c>
      <c r="B273" s="24" t="inlineStr">
        <is>
          <t xml:space="preserve">        Contactor Tripolar AC3 65A Bobina 220V</t>
        </is>
      </c>
      <c r="C273" s="25" t="inlineStr">
        <is>
          <t>Industrial / Automatización</t>
        </is>
      </c>
      <c r="D273" s="23" t="inlineStr">
        <is>
          <t>Contactores</t>
        </is>
      </c>
      <c r="E273" s="23" t="inlineStr">
        <is>
          <t>U</t>
        </is>
      </c>
      <c r="F273" s="26" t="n">
        <v>1</v>
      </c>
      <c r="G273" s="27" t="n">
        <v>135</v>
      </c>
      <c r="H273" s="27" t="n">
        <v>137.7</v>
      </c>
      <c r="I273" s="23" t="inlineStr">
        <is>
          <t>Megametales</t>
        </is>
      </c>
      <c r="J273" s="27" t="n">
        <v>149.85</v>
      </c>
      <c r="K273" s="23" t="inlineStr">
        <is>
          <t>Kywi / Megakywi</t>
        </is>
      </c>
      <c r="L273" s="28">
        <f>F273*G273</f>
        <v/>
      </c>
      <c r="M273" s="146" t="inlineStr">
        <is>
          <t>IE-D50-CTR-CON-065A</t>
        </is>
      </c>
      <c r="N273" s="23" t="inlineStr">
        <is>
          <t>Instalaciones eléctricas</t>
        </is>
      </c>
      <c r="O273" s="23" t="inlineStr">
        <is>
          <t>Estimado DION · criterio de mercado Guayaquil 2026 (no verificado en tienda)</t>
        </is>
      </c>
      <c r="P273" s="23" t="inlineStr">
        <is>
          <t>oct-2026 (est.)</t>
        </is>
      </c>
      <c r="Q273" s="23" t="n"/>
    </row>
    <row r="274">
      <c r="A274" s="18" t="n">
        <v>239</v>
      </c>
      <c r="B274" s="19" t="inlineStr">
        <is>
          <t xml:space="preserve">        Contactor Tripolar AC3 95A Bobina 220V</t>
        </is>
      </c>
      <c r="C274" s="20" t="inlineStr">
        <is>
          <t>Industrial / Automatización</t>
        </is>
      </c>
      <c r="D274" s="18" t="inlineStr">
        <is>
          <t>Contactores</t>
        </is>
      </c>
      <c r="E274" s="18" t="inlineStr">
        <is>
          <t>U</t>
        </is>
      </c>
      <c r="F274" s="21" t="n">
        <v>1</v>
      </c>
      <c r="G274" s="22" t="n">
        <v>210</v>
      </c>
      <c r="H274" s="22" t="n">
        <v>216.3</v>
      </c>
      <c r="I274" s="18" t="inlineStr">
        <is>
          <t>Megametales</t>
        </is>
      </c>
      <c r="J274" s="22" t="n">
        <v>226.8</v>
      </c>
      <c r="K274" s="18" t="inlineStr">
        <is>
          <t>Ferrisariato</t>
        </is>
      </c>
      <c r="L274" s="8">
        <f>F274*G274</f>
        <v/>
      </c>
      <c r="M274" s="145" t="inlineStr">
        <is>
          <t>IE-D50-CTR-CON-095A</t>
        </is>
      </c>
      <c r="N274" s="18" t="inlineStr">
        <is>
          <t>Instalaciones eléctricas</t>
        </is>
      </c>
      <c r="O274" s="18" t="inlineStr">
        <is>
          <t>Estimado DION · criterio de mercado Guayaquil 2026 (no verificado en tienda)</t>
        </is>
      </c>
      <c r="P274" s="18" t="inlineStr">
        <is>
          <t>oct-2026 (est.)</t>
        </is>
      </c>
      <c r="Q274" s="18" t="n"/>
    </row>
    <row r="275">
      <c r="A275" s="23" t="n">
        <v>240</v>
      </c>
      <c r="B275" s="24" t="inlineStr">
        <is>
          <t xml:space="preserve">        Relé Térmico de Sobrecarga 7-10A</t>
        </is>
      </c>
      <c r="C275" s="25" t="inlineStr">
        <is>
          <t>Industrial</t>
        </is>
      </c>
      <c r="D275" s="23" t="inlineStr">
        <is>
          <t>Relés Térmicos</t>
        </is>
      </c>
      <c r="E275" s="23" t="inlineStr">
        <is>
          <t>U</t>
        </is>
      </c>
      <c r="F275" s="26" t="n">
        <v>1</v>
      </c>
      <c r="G275" s="27" t="n">
        <v>28</v>
      </c>
      <c r="H275" s="27" t="n">
        <v>29.12</v>
      </c>
      <c r="I275" s="23" t="inlineStr">
        <is>
          <t>Megametales</t>
        </is>
      </c>
      <c r="J275" s="27" t="n">
        <v>30.24</v>
      </c>
      <c r="K275" s="23" t="inlineStr">
        <is>
          <t>Kywi / Megakywi</t>
        </is>
      </c>
      <c r="L275" s="28">
        <f>F275*G275</f>
        <v/>
      </c>
      <c r="M275" s="146" t="inlineStr">
        <is>
          <t>IE-D50-CTR-REL-TER</t>
        </is>
      </c>
      <c r="N275" s="23" t="inlineStr">
        <is>
          <t>Instalaciones eléctricas</t>
        </is>
      </c>
      <c r="O275" s="23" t="inlineStr">
        <is>
          <t>Estimado DION · criterio de mercado Guayaquil 2026 (no verificado en tienda)</t>
        </is>
      </c>
      <c r="P275" s="23" t="inlineStr">
        <is>
          <t>oct-2026 (est.)</t>
        </is>
      </c>
      <c r="Q275" s="23" t="n"/>
    </row>
    <row r="276">
      <c r="A276" s="18" t="n">
        <v>241</v>
      </c>
      <c r="B276" s="19" t="inlineStr">
        <is>
          <t xml:space="preserve">        Guardamotor Magnetotérmico 6-10A</t>
        </is>
      </c>
      <c r="C276" s="20" t="inlineStr">
        <is>
          <t>Industrial</t>
        </is>
      </c>
      <c r="D276" s="18" t="inlineStr">
        <is>
          <t>Guardamotores</t>
        </is>
      </c>
      <c r="E276" s="18" t="inlineStr">
        <is>
          <t>U</t>
        </is>
      </c>
      <c r="F276" s="21" t="n">
        <v>1</v>
      </c>
      <c r="G276" s="22" t="n">
        <v>58</v>
      </c>
      <c r="H276" s="22" t="n">
        <v>59.16</v>
      </c>
      <c r="I276" s="18" t="inlineStr">
        <is>
          <t>Megametales</t>
        </is>
      </c>
      <c r="J276" s="22" t="n">
        <v>64.38</v>
      </c>
      <c r="K276" s="18" t="inlineStr">
        <is>
          <t>Ferrisariato</t>
        </is>
      </c>
      <c r="L276" s="8">
        <f>F276*G276</f>
        <v/>
      </c>
      <c r="M276" s="145" t="inlineStr">
        <is>
          <t>IE-D50-CTR-GMO-010A</t>
        </is>
      </c>
      <c r="N276" s="18" t="inlineStr">
        <is>
          <t>Instalaciones eléctricas</t>
        </is>
      </c>
      <c r="O276" s="18" t="inlineStr">
        <is>
          <t>Estimado DION · criterio de mercado Guayaquil 2026 (no verificado en tienda)</t>
        </is>
      </c>
      <c r="P276" s="18" t="inlineStr">
        <is>
          <t>oct-2026 (est.)</t>
        </is>
      </c>
      <c r="Q276" s="18" t="n"/>
    </row>
    <row r="277">
      <c r="A277" s="23" t="n">
        <v>242</v>
      </c>
      <c r="B277" s="24" t="inlineStr">
        <is>
          <t xml:space="preserve">        Arrancador Suave (Soft Starter) 22 kW</t>
        </is>
      </c>
      <c r="C277" s="25" t="inlineStr">
        <is>
          <t>Industrial</t>
        </is>
      </c>
      <c r="D277" s="23" t="inlineStr">
        <is>
          <t>Arrancadores</t>
        </is>
      </c>
      <c r="E277" s="23" t="inlineStr">
        <is>
          <t>U</t>
        </is>
      </c>
      <c r="F277" s="26" t="n">
        <v>0</v>
      </c>
      <c r="G277" s="27" t="n">
        <v>620</v>
      </c>
      <c r="H277" s="27" t="n">
        <v>644.8</v>
      </c>
      <c r="I277" s="23" t="inlineStr">
        <is>
          <t>Megametales</t>
        </is>
      </c>
      <c r="J277" s="27" t="n">
        <v>669.6</v>
      </c>
      <c r="K277" s="23" t="inlineStr">
        <is>
          <t>Kywi / Megakywi</t>
        </is>
      </c>
      <c r="L277" s="28">
        <f>F277*G277</f>
        <v/>
      </c>
      <c r="M277" s="146" t="inlineStr">
        <is>
          <t>IE-D50-CTR-ARR-22KW</t>
        </is>
      </c>
      <c r="N277" s="23" t="inlineStr">
        <is>
          <t>Instalaciones eléctricas</t>
        </is>
      </c>
      <c r="O277" s="23" t="inlineStr">
        <is>
          <t>Estimado DION · criterio de mercado Guayaquil 2026 (no verificado en tienda)</t>
        </is>
      </c>
      <c r="P277" s="23" t="inlineStr">
        <is>
          <t>oct-2026 (est.)</t>
        </is>
      </c>
      <c r="Q277" s="23" t="n"/>
    </row>
    <row r="278">
      <c r="A278" s="18" t="n">
        <v>243</v>
      </c>
      <c r="B278" s="19" t="inlineStr">
        <is>
          <t xml:space="preserve">        Relé de Control Enchufable 8 Pines + Base</t>
        </is>
      </c>
      <c r="C278" s="20" t="inlineStr">
        <is>
          <t>Industrial / Automatización</t>
        </is>
      </c>
      <c r="D278" s="18" t="inlineStr">
        <is>
          <t>Relés</t>
        </is>
      </c>
      <c r="E278" s="18" t="inlineStr">
        <is>
          <t>U</t>
        </is>
      </c>
      <c r="F278" s="21" t="n">
        <v>4</v>
      </c>
      <c r="G278" s="22" t="n">
        <v>9.5</v>
      </c>
      <c r="H278" s="22" t="n">
        <v>9.880000000000001</v>
      </c>
      <c r="I278" s="18" t="inlineStr">
        <is>
          <t>Megametales</t>
        </is>
      </c>
      <c r="J278" s="22" t="n">
        <v>10.55</v>
      </c>
      <c r="K278" s="18" t="inlineStr">
        <is>
          <t>Ferrisariato</t>
        </is>
      </c>
      <c r="L278" s="8">
        <f>F278*G278</f>
        <v/>
      </c>
      <c r="M278" s="145" t="inlineStr">
        <is>
          <t>IE-D50-CTR-REL-8P</t>
        </is>
      </c>
      <c r="N278" s="18" t="inlineStr">
        <is>
          <t>Instalaciones eléctricas</t>
        </is>
      </c>
      <c r="O278" s="18" t="inlineStr">
        <is>
          <t>Estimado DION · criterio de mercado Guayaquil 2026 (no verificado en tienda)</t>
        </is>
      </c>
      <c r="P278" s="18" t="inlineStr">
        <is>
          <t>oct-2026 (est.)</t>
        </is>
      </c>
      <c r="Q278" s="18" t="n"/>
    </row>
    <row r="279">
      <c r="A279" s="23" t="n">
        <v>244</v>
      </c>
      <c r="B279" s="24" t="inlineStr">
        <is>
          <t xml:space="preserve">        Pulsador Marcha/Paro 22mm + Luz Piloto LED</t>
        </is>
      </c>
      <c r="C279" s="25" t="inlineStr">
        <is>
          <t>Industrial</t>
        </is>
      </c>
      <c r="D279" s="23" t="inlineStr">
        <is>
          <t>Pulsadores</t>
        </is>
      </c>
      <c r="E279" s="23" t="inlineStr">
        <is>
          <t>Juego</t>
        </is>
      </c>
      <c r="F279" s="26" t="n">
        <v>2</v>
      </c>
      <c r="G279" s="27" t="n">
        <v>8.5</v>
      </c>
      <c r="H279" s="27" t="n">
        <v>8.93</v>
      </c>
      <c r="I279" s="23" t="inlineStr">
        <is>
          <t>Megametales</t>
        </is>
      </c>
      <c r="J279" s="27" t="n">
        <v>9.18</v>
      </c>
      <c r="K279" s="23" t="inlineStr">
        <is>
          <t>Kywi / Megakywi</t>
        </is>
      </c>
      <c r="L279" s="28">
        <f>F279*G279</f>
        <v/>
      </c>
      <c r="M279" s="146" t="inlineStr">
        <is>
          <t>IE-D50-CTR-PUL-22</t>
        </is>
      </c>
      <c r="N279" s="23" t="inlineStr">
        <is>
          <t>Instalaciones eléctricas</t>
        </is>
      </c>
      <c r="O279" s="23" t="inlineStr">
        <is>
          <t>Estimado DION · criterio de mercado Guayaquil 2026 (no verificado en tienda)</t>
        </is>
      </c>
      <c r="P279" s="23" t="inlineStr">
        <is>
          <t>oct-2026 (est.)</t>
        </is>
      </c>
      <c r="Q279" s="23" t="n"/>
    </row>
    <row r="280">
      <c r="A280" s="18" t="n">
        <v>245</v>
      </c>
      <c r="B280" s="19" t="inlineStr">
        <is>
          <t xml:space="preserve">        Selector 3 Posiciones Manual-0-Automático 22mm</t>
        </is>
      </c>
      <c r="C280" s="20" t="inlineStr">
        <is>
          <t>Industrial</t>
        </is>
      </c>
      <c r="D280" s="18" t="inlineStr">
        <is>
          <t>Selectores</t>
        </is>
      </c>
      <c r="E280" s="18" t="inlineStr">
        <is>
          <t>U</t>
        </is>
      </c>
      <c r="F280" s="21" t="n">
        <v>2</v>
      </c>
      <c r="G280" s="22" t="n">
        <v>7.8</v>
      </c>
      <c r="H280" s="22" t="n">
        <v>8.19</v>
      </c>
      <c r="I280" s="18" t="inlineStr">
        <is>
          <t>Megametales</t>
        </is>
      </c>
      <c r="J280" s="22" t="n">
        <v>8.35</v>
      </c>
      <c r="K280" s="18" t="inlineStr">
        <is>
          <t>Ferrisariato</t>
        </is>
      </c>
      <c r="L280" s="8">
        <f>F280*G280</f>
        <v/>
      </c>
      <c r="M280" s="145" t="inlineStr">
        <is>
          <t>IE-D50-CTR-SEL-3P</t>
        </is>
      </c>
      <c r="N280" s="18" t="inlineStr">
        <is>
          <t>Instalaciones eléctricas</t>
        </is>
      </c>
      <c r="O280" s="18" t="inlineStr">
        <is>
          <t>Estimado DION · criterio de mercado Guayaquil 2026 (no verificado en tienda)</t>
        </is>
      </c>
      <c r="P280" s="18" t="inlineStr">
        <is>
          <t>oct-2026 (est.)</t>
        </is>
      </c>
      <c r="Q280" s="18" t="n"/>
    </row>
    <row r="281">
      <c r="A281" s="23" t="n">
        <v>246</v>
      </c>
      <c r="B281" s="24" t="inlineStr">
        <is>
          <t xml:space="preserve">        Relé de Monitoreo de Fases (Secuencia/Falta de Fase)</t>
        </is>
      </c>
      <c r="C281" s="25" t="inlineStr">
        <is>
          <t>Industrial</t>
        </is>
      </c>
      <c r="D281" s="23" t="inlineStr">
        <is>
          <t>Relés Protección</t>
        </is>
      </c>
      <c r="E281" s="23" t="inlineStr">
        <is>
          <t>U</t>
        </is>
      </c>
      <c r="F281" s="26" t="n">
        <v>1</v>
      </c>
      <c r="G281" s="27" t="n">
        <v>48</v>
      </c>
      <c r="H281" s="27" t="n">
        <v>49.92</v>
      </c>
      <c r="I281" s="23" t="inlineStr">
        <is>
          <t>Megametales</t>
        </is>
      </c>
      <c r="J281" s="27" t="n">
        <v>51.84</v>
      </c>
      <c r="K281" s="23" t="inlineStr">
        <is>
          <t>Kywi / Megakywi</t>
        </is>
      </c>
      <c r="L281" s="28">
        <f>F281*G281</f>
        <v/>
      </c>
      <c r="M281" s="146" t="inlineStr">
        <is>
          <t>IE-D50-CTR-RMF</t>
        </is>
      </c>
      <c r="N281" s="23" t="inlineStr">
        <is>
          <t>Instalaciones eléctricas</t>
        </is>
      </c>
      <c r="O281" s="23" t="inlineStr">
        <is>
          <t>Estimado DION · criterio de mercado Guayaquil 2026 (no verificado en tienda)</t>
        </is>
      </c>
      <c r="P281" s="23" t="inlineStr">
        <is>
          <t>oct-2026 (est.)</t>
        </is>
      </c>
      <c r="Q281" s="23" t="n"/>
    </row>
    <row r="282">
      <c r="A282" s="14" t="inlineStr">
        <is>
          <t>CONEXIONES</t>
        </is>
      </c>
      <c r="B282" s="143" t="n"/>
      <c r="C282" s="143" t="n"/>
      <c r="D282" s="143" t="n"/>
      <c r="E282" s="143" t="n"/>
      <c r="F282" s="143" t="n"/>
      <c r="G282" s="143" t="n"/>
      <c r="H282" s="143" t="n"/>
      <c r="I282" s="143" t="n"/>
      <c r="J282" s="143" t="n"/>
      <c r="K282" s="143" t="n"/>
      <c r="L282" s="143" t="n"/>
      <c r="M282" s="143" t="n"/>
      <c r="N282" s="143" t="n"/>
      <c r="O282" s="143" t="n"/>
      <c r="P282" s="143" t="n"/>
      <c r="Q282" s="144" t="n"/>
    </row>
    <row r="283">
      <c r="A283" s="16" t="inlineStr">
        <is>
          <t xml:space="preserve">  ► CATEGORÍA: CONDUCTORES Y CABLES</t>
        </is>
      </c>
      <c r="B283" s="143" t="n"/>
      <c r="C283" s="143" t="n"/>
      <c r="D283" s="143" t="n"/>
      <c r="E283" s="143" t="n"/>
      <c r="F283" s="143" t="n"/>
      <c r="G283" s="143" t="n"/>
      <c r="H283" s="143" t="n"/>
      <c r="I283" s="143" t="n"/>
      <c r="J283" s="143" t="n"/>
      <c r="K283" s="143" t="n"/>
      <c r="L283" s="143" t="n"/>
      <c r="M283" s="143" t="n"/>
      <c r="N283" s="143" t="n"/>
      <c r="O283" s="143" t="n"/>
      <c r="P283" s="143" t="n"/>
      <c r="Q283" s="144" t="n"/>
    </row>
    <row r="284">
      <c r="A284" s="17" t="inlineStr">
        <is>
          <t xml:space="preserve">      • Subcategoría Especificada: THHN, TW, XHHW, USE, XLPE, Cobre y Aluminio</t>
        </is>
      </c>
      <c r="B284" s="143" t="n"/>
      <c r="C284" s="143" t="n"/>
      <c r="D284" s="143" t="n"/>
      <c r="E284" s="143" t="n"/>
      <c r="F284" s="143" t="n"/>
      <c r="G284" s="143" t="n"/>
      <c r="H284" s="143" t="n"/>
      <c r="I284" s="143" t="n"/>
      <c r="J284" s="143" t="n"/>
      <c r="K284" s="143" t="n"/>
      <c r="L284" s="143" t="n"/>
      <c r="M284" s="143" t="n"/>
      <c r="N284" s="143" t="n"/>
      <c r="O284" s="143" t="n"/>
      <c r="P284" s="143" t="n"/>
      <c r="Q284" s="144" t="n"/>
    </row>
    <row r="285">
      <c r="A285" s="18" t="n">
        <v>247</v>
      </c>
      <c r="B285" s="19" t="inlineStr">
        <is>
          <t xml:space="preserve">        Cable Cobre THHN #14 AWG / #12 AWG / #10 AWG (m)</t>
        </is>
      </c>
      <c r="C285" s="20" t="inlineStr">
        <is>
          <t>Residencial / Comercial</t>
        </is>
      </c>
      <c r="D285" s="18" t="inlineStr">
        <is>
          <t>Cable THHN Cobre</t>
        </is>
      </c>
      <c r="E285" s="18" t="inlineStr">
        <is>
          <t>m</t>
        </is>
      </c>
      <c r="F285" s="21" t="n">
        <v>300</v>
      </c>
      <c r="G285" s="22" t="n">
        <v>0.72</v>
      </c>
      <c r="H285" s="22" t="n">
        <v>0.74</v>
      </c>
      <c r="I285" s="18" t="inlineStr">
        <is>
          <t>Megametales</t>
        </is>
      </c>
      <c r="J285" s="22" t="n">
        <v>0.79</v>
      </c>
      <c r="K285" s="18" t="inlineStr">
        <is>
          <t>Ferrisariato</t>
        </is>
      </c>
      <c r="L285" s="8">
        <f>F285*G285</f>
        <v/>
      </c>
      <c r="M285" s="145" t="inlineStr">
        <is>
          <t>IE-D50-CON-THHN-AWG12</t>
        </is>
      </c>
      <c r="N285" s="18" t="inlineStr">
        <is>
          <t>Instalaciones eléctricas</t>
        </is>
      </c>
      <c r="O285" s="18" t="inlineStr">
        <is>
          <t>Estimado · base original del usuario (sin cotización verificada)</t>
        </is>
      </c>
      <c r="P285" s="18" t="inlineStr">
        <is>
          <t>oct-2026 (est.)</t>
        </is>
      </c>
      <c r="Q285" s="18" t="n">
        <v>5</v>
      </c>
    </row>
    <row r="286">
      <c r="A286" s="23" t="n">
        <v>248</v>
      </c>
      <c r="B286" s="24" t="inlineStr">
        <is>
          <t xml:space="preserve">        Cable Cobre THHN #8 AWG a #2 AWG / 1/0 a 500 kcmil</t>
        </is>
      </c>
      <c r="C286" s="25" t="inlineStr">
        <is>
          <t>Residencial Grande / Ind</t>
        </is>
      </c>
      <c r="D286" s="23" t="inlineStr">
        <is>
          <t>Cable Cobre Gran Calibre</t>
        </is>
      </c>
      <c r="E286" s="23" t="inlineStr">
        <is>
          <t>m</t>
        </is>
      </c>
      <c r="F286" s="26" t="n">
        <v>80</v>
      </c>
      <c r="G286" s="27" t="n">
        <v>2.9</v>
      </c>
      <c r="H286" s="27" t="n">
        <v>2.98</v>
      </c>
      <c r="I286" s="23" t="inlineStr">
        <is>
          <t>Megametales</t>
        </is>
      </c>
      <c r="J286" s="27" t="n">
        <v>3.15</v>
      </c>
      <c r="K286" s="23" t="inlineStr">
        <is>
          <t>Kywi / Megakywi</t>
        </is>
      </c>
      <c r="L286" s="28">
        <f>F286*G286</f>
        <v/>
      </c>
      <c r="M286" s="146" t="inlineStr">
        <is>
          <t>IE-D50-CON-THHN-AWG4</t>
        </is>
      </c>
      <c r="N286" s="23" t="inlineStr">
        <is>
          <t>Instalaciones eléctricas</t>
        </is>
      </c>
      <c r="O286" s="23" t="inlineStr">
        <is>
          <t>Estimado · base original del usuario (sin cotización verificada)</t>
        </is>
      </c>
      <c r="P286" s="23" t="inlineStr">
        <is>
          <t>oct-2026 (est.)</t>
        </is>
      </c>
      <c r="Q286" s="23" t="n">
        <v>5</v>
      </c>
    </row>
    <row r="287">
      <c r="A287" s="18" t="n">
        <v>249</v>
      </c>
      <c r="B287" s="19" t="inlineStr">
        <is>
          <t xml:space="preserve">        Cable Subterráneo XLPE 15kV Cobre (Media Tensión)</t>
        </is>
      </c>
      <c r="C287" s="20" t="inlineStr">
        <is>
          <t>Industrial / Subestación</t>
        </is>
      </c>
      <c r="D287" s="18" t="inlineStr">
        <is>
          <t>Media Tensión XLPE</t>
        </is>
      </c>
      <c r="E287" s="18" t="inlineStr">
        <is>
          <t>m</t>
        </is>
      </c>
      <c r="F287" s="21" t="n">
        <v>20</v>
      </c>
      <c r="G287" s="22" t="n">
        <v>28</v>
      </c>
      <c r="H287" s="22" t="n">
        <v>29.2</v>
      </c>
      <c r="I287" s="18" t="inlineStr">
        <is>
          <t>Megametales</t>
        </is>
      </c>
      <c r="J287" s="22" t="n">
        <v>31</v>
      </c>
      <c r="K287" s="18" t="inlineStr">
        <is>
          <t>Kywi / Megakywi</t>
        </is>
      </c>
      <c r="L287" s="8">
        <f>F287*G287</f>
        <v/>
      </c>
      <c r="M287" s="145" t="inlineStr">
        <is>
          <t>IE-D50-ACO-MT-15KV</t>
        </is>
      </c>
      <c r="N287" s="18" t="inlineStr">
        <is>
          <t>Instalaciones eléctricas</t>
        </is>
      </c>
      <c r="O287" s="18" t="inlineStr">
        <is>
          <t>Estimado · base original del usuario (sin cotización verificada)</t>
        </is>
      </c>
      <c r="P287" s="18" t="inlineStr">
        <is>
          <t>oct-2026 (est.)</t>
        </is>
      </c>
      <c r="Q287" s="18" t="n">
        <v>3</v>
      </c>
    </row>
    <row r="288">
      <c r="A288" s="23" t="n">
        <v>250</v>
      </c>
      <c r="B288" s="24" t="inlineStr">
        <is>
          <t xml:space="preserve">        Cable UTP Cat 6 / Coaxial RG-6 / Fibra Óptica Monomodo</t>
        </is>
      </c>
      <c r="C288" s="25" t="inlineStr">
        <is>
          <t>Residencial / Comercial / Ind</t>
        </is>
      </c>
      <c r="D288" s="23" t="inlineStr">
        <is>
          <t>Telecom / Control</t>
        </is>
      </c>
      <c r="E288" s="23" t="inlineStr">
        <is>
          <t>m</t>
        </is>
      </c>
      <c r="F288" s="26" t="n">
        <v>150</v>
      </c>
      <c r="G288" s="27" t="n">
        <v>0.65</v>
      </c>
      <c r="H288" s="27" t="n">
        <v>0.68</v>
      </c>
      <c r="I288" s="23" t="inlineStr">
        <is>
          <t>Megametales</t>
        </is>
      </c>
      <c r="J288" s="27" t="n">
        <v>0.75</v>
      </c>
      <c r="K288" s="23" t="inlineStr">
        <is>
          <t>Kywi / Megakywi</t>
        </is>
      </c>
      <c r="L288" s="28">
        <f>F288*G288</f>
        <v/>
      </c>
      <c r="M288" s="146" t="inlineStr">
        <is>
          <t>COM-D50-CAB-UTP-C6</t>
        </is>
      </c>
      <c r="N288" s="23" t="inlineStr">
        <is>
          <t>Comunicaciones (datos, voz, audio, llamado)</t>
        </is>
      </c>
      <c r="O288" s="23" t="inlineStr">
        <is>
          <t>Estimado · base original del usuario (sin cotización verificada)</t>
        </is>
      </c>
      <c r="P288" s="23" t="inlineStr">
        <is>
          <t>oct-2026 (est.)</t>
        </is>
      </c>
      <c r="Q288" s="23" t="n">
        <v>5</v>
      </c>
    </row>
    <row r="289">
      <c r="A289" s="17" t="inlineStr">
        <is>
          <t xml:space="preserve">      • Subcategoría Especificada: Todos los Calibres #14 AWG a 500 MCM (THHN, TTU, Desnudo, Sucre, LSZH, FR)</t>
        </is>
      </c>
      <c r="B289" s="143" t="n"/>
      <c r="C289" s="143" t="n"/>
      <c r="D289" s="143" t="n"/>
      <c r="E289" s="143" t="n"/>
      <c r="F289" s="143" t="n"/>
      <c r="G289" s="143" t="n"/>
      <c r="H289" s="143" t="n"/>
      <c r="I289" s="143" t="n"/>
      <c r="J289" s="143" t="n"/>
      <c r="K289" s="143" t="n"/>
      <c r="L289" s="143" t="n"/>
      <c r="M289" s="143" t="n"/>
      <c r="N289" s="143" t="n"/>
      <c r="O289" s="143" t="n"/>
      <c r="P289" s="143" t="n"/>
      <c r="Q289" s="144" t="n"/>
    </row>
    <row r="290">
      <c r="A290" s="18" t="n">
        <v>251</v>
      </c>
      <c r="B290" s="19" t="inlineStr">
        <is>
          <t xml:space="preserve">        Cable Cobre THHN/THWN-2 #14 AWG 600V 90°C (m)</t>
        </is>
      </c>
      <c r="C290" s="20" t="inlineStr">
        <is>
          <t>Residencial / Comercial / Ind</t>
        </is>
      </c>
      <c r="D290" s="18" t="inlineStr">
        <is>
          <t>Cable THHN Cobre</t>
        </is>
      </c>
      <c r="E290" s="18" t="inlineStr">
        <is>
          <t>m</t>
        </is>
      </c>
      <c r="F290" s="21" t="n">
        <v>100</v>
      </c>
      <c r="G290" s="22" t="n">
        <v>0.4</v>
      </c>
      <c r="H290" s="22" t="n">
        <v>0.42</v>
      </c>
      <c r="I290" s="18" t="inlineStr">
        <is>
          <t>Megametales</t>
        </is>
      </c>
      <c r="J290" s="22" t="n">
        <v>0.44</v>
      </c>
      <c r="K290" s="18" t="inlineStr">
        <is>
          <t>Ferrisariato</t>
        </is>
      </c>
      <c r="L290" s="8">
        <f>F290*G290</f>
        <v/>
      </c>
      <c r="M290" s="145" t="inlineStr">
        <is>
          <t>IE-D50-CON-THHN-AWG14</t>
        </is>
      </c>
      <c r="N290" s="18" t="inlineStr">
        <is>
          <t>Instalaciones eléctricas</t>
        </is>
      </c>
      <c r="O290" s="18" t="inlineStr">
        <is>
          <t>Estimado DION · criterio de mercado Guayaquil 2026 (no verificado en tienda)</t>
        </is>
      </c>
      <c r="P290" s="18" t="inlineStr">
        <is>
          <t>oct-2026 (est.)</t>
        </is>
      </c>
      <c r="Q290" s="18" t="n">
        <v>5</v>
      </c>
    </row>
    <row r="291">
      <c r="A291" s="23" t="n">
        <v>252</v>
      </c>
      <c r="B291" s="24" t="inlineStr">
        <is>
          <t xml:space="preserve">        Cable Cobre THHN/THWN-2 #10 AWG 600V 90°C (m)</t>
        </is>
      </c>
      <c r="C291" s="25" t="inlineStr">
        <is>
          <t>Residencial / Comercial / Ind</t>
        </is>
      </c>
      <c r="D291" s="23" t="inlineStr">
        <is>
          <t>Cable THHN Cobre</t>
        </is>
      </c>
      <c r="E291" s="23" t="inlineStr">
        <is>
          <t>m</t>
        </is>
      </c>
      <c r="F291" s="26" t="n">
        <v>100</v>
      </c>
      <c r="G291" s="27" t="n">
        <v>0.95</v>
      </c>
      <c r="H291" s="27" t="n">
        <v>1</v>
      </c>
      <c r="I291" s="23" t="inlineStr">
        <is>
          <t>Megametales</t>
        </is>
      </c>
      <c r="J291" s="27" t="n">
        <v>1.02</v>
      </c>
      <c r="K291" s="23" t="inlineStr">
        <is>
          <t>Kywi / Megakywi</t>
        </is>
      </c>
      <c r="L291" s="28">
        <f>F291*G291</f>
        <v/>
      </c>
      <c r="M291" s="146" t="inlineStr">
        <is>
          <t>IE-D50-CON-THHN-AWG10</t>
        </is>
      </c>
      <c r="N291" s="23" t="inlineStr">
        <is>
          <t>Instalaciones eléctricas</t>
        </is>
      </c>
      <c r="O291" s="23" t="inlineStr">
        <is>
          <t>Estimado DION · criterio de mercado Guayaquil 2026 (no verificado en tienda)</t>
        </is>
      </c>
      <c r="P291" s="23" t="inlineStr">
        <is>
          <t>oct-2026 (est.)</t>
        </is>
      </c>
      <c r="Q291" s="23" t="n">
        <v>5</v>
      </c>
    </row>
    <row r="292">
      <c r="A292" s="18" t="n">
        <v>253</v>
      </c>
      <c r="B292" s="19" t="inlineStr">
        <is>
          <t xml:space="preserve">        Cable Cobre THHN/THWN-2 #8 AWG 600V 90°C (m)</t>
        </is>
      </c>
      <c r="C292" s="20" t="inlineStr">
        <is>
          <t>Residencial / Comercial / Ind</t>
        </is>
      </c>
      <c r="D292" s="18" t="inlineStr">
        <is>
          <t>Cable THHN Cobre</t>
        </is>
      </c>
      <c r="E292" s="18" t="inlineStr">
        <is>
          <t>m</t>
        </is>
      </c>
      <c r="F292" s="21" t="n">
        <v>30</v>
      </c>
      <c r="G292" s="22" t="n">
        <v>1.52</v>
      </c>
      <c r="H292" s="22" t="n">
        <v>1.58</v>
      </c>
      <c r="I292" s="18" t="inlineStr">
        <is>
          <t>Megametales</t>
        </is>
      </c>
      <c r="J292" s="22" t="n">
        <v>1.69</v>
      </c>
      <c r="K292" s="18" t="inlineStr">
        <is>
          <t>Ferrisariato</t>
        </is>
      </c>
      <c r="L292" s="8">
        <f>F292*G292</f>
        <v/>
      </c>
      <c r="M292" s="145" t="inlineStr">
        <is>
          <t>IE-D50-CON-THHN-AWG8</t>
        </is>
      </c>
      <c r="N292" s="18" t="inlineStr">
        <is>
          <t>Instalaciones eléctricas</t>
        </is>
      </c>
      <c r="O292" s="18" t="inlineStr">
        <is>
          <t>Estimado DION · criterio de mercado Guayaquil 2026 (no verificado en tienda)</t>
        </is>
      </c>
      <c r="P292" s="18" t="inlineStr">
        <is>
          <t>oct-2026 (est.)</t>
        </is>
      </c>
      <c r="Q292" s="18" t="n">
        <v>5</v>
      </c>
    </row>
    <row r="293">
      <c r="A293" s="23" t="n">
        <v>254</v>
      </c>
      <c r="B293" s="24" t="inlineStr">
        <is>
          <t xml:space="preserve">        Cable Cobre THHN/THWN-2 #6 AWG 600V 90°C (m)</t>
        </is>
      </c>
      <c r="C293" s="25" t="inlineStr">
        <is>
          <t>Residencial / Comercial / Ind</t>
        </is>
      </c>
      <c r="D293" s="23" t="inlineStr">
        <is>
          <t>Cable THHN Cobre</t>
        </is>
      </c>
      <c r="E293" s="23" t="inlineStr">
        <is>
          <t>m</t>
        </is>
      </c>
      <c r="F293" s="26" t="n">
        <v>30</v>
      </c>
      <c r="G293" s="27" t="n">
        <v>2.4</v>
      </c>
      <c r="H293" s="27" t="n">
        <v>2.45</v>
      </c>
      <c r="I293" s="23" t="inlineStr">
        <is>
          <t>Megametales</t>
        </is>
      </c>
      <c r="J293" s="27" t="n">
        <v>2.59</v>
      </c>
      <c r="K293" s="23" t="inlineStr">
        <is>
          <t>Kywi / Megakywi</t>
        </is>
      </c>
      <c r="L293" s="28">
        <f>F293*G293</f>
        <v/>
      </c>
      <c r="M293" s="146" t="inlineStr">
        <is>
          <t>IE-D50-CON-THHN-AWG6</t>
        </is>
      </c>
      <c r="N293" s="23" t="inlineStr">
        <is>
          <t>Instalaciones eléctricas</t>
        </is>
      </c>
      <c r="O293" s="23" t="inlineStr">
        <is>
          <t>Estimado DION · criterio de mercado Guayaquil 2026 (no verificado en tienda)</t>
        </is>
      </c>
      <c r="P293" s="23" t="inlineStr">
        <is>
          <t>oct-2026 (est.)</t>
        </is>
      </c>
      <c r="Q293" s="23" t="n">
        <v>5</v>
      </c>
    </row>
    <row r="294">
      <c r="A294" s="18" t="n">
        <v>255</v>
      </c>
      <c r="B294" s="19" t="inlineStr">
        <is>
          <t xml:space="preserve">        Cable Cobre THHN/THWN-2 #2 AWG 600V 90°C (m)</t>
        </is>
      </c>
      <c r="C294" s="20" t="inlineStr">
        <is>
          <t>Residencial / Comercial / Ind</t>
        </is>
      </c>
      <c r="D294" s="18" t="inlineStr">
        <is>
          <t>Cable THHN Cobre</t>
        </is>
      </c>
      <c r="E294" s="18" t="inlineStr">
        <is>
          <t>m</t>
        </is>
      </c>
      <c r="F294" s="21" t="n">
        <v>30</v>
      </c>
      <c r="G294" s="22" t="n">
        <v>5.95</v>
      </c>
      <c r="H294" s="22" t="n">
        <v>6.07</v>
      </c>
      <c r="I294" s="18" t="inlineStr">
        <is>
          <t>Megametales</t>
        </is>
      </c>
      <c r="J294" s="22" t="n">
        <v>6.6</v>
      </c>
      <c r="K294" s="18" t="inlineStr">
        <is>
          <t>Ferrisariato</t>
        </is>
      </c>
      <c r="L294" s="8">
        <f>F294*G294</f>
        <v/>
      </c>
      <c r="M294" s="145" t="inlineStr">
        <is>
          <t>IE-D50-CON-THHN-AWG2</t>
        </is>
      </c>
      <c r="N294" s="18" t="inlineStr">
        <is>
          <t>Instalaciones eléctricas</t>
        </is>
      </c>
      <c r="O294" s="18" t="inlineStr">
        <is>
          <t>Estimado DION · criterio de mercado Guayaquil 2026 (no verificado en tienda)</t>
        </is>
      </c>
      <c r="P294" s="18" t="inlineStr">
        <is>
          <t>oct-2026 (est.)</t>
        </is>
      </c>
      <c r="Q294" s="18" t="n">
        <v>5</v>
      </c>
    </row>
    <row r="295">
      <c r="A295" s="23" t="n">
        <v>256</v>
      </c>
      <c r="B295" s="24" t="inlineStr">
        <is>
          <t xml:space="preserve">        Cable Cobre THHN/THWN-2 #1/0 AWG 600V 90°C (m)</t>
        </is>
      </c>
      <c r="C295" s="25" t="inlineStr">
        <is>
          <t>Residencial / Comercial / Ind</t>
        </is>
      </c>
      <c r="D295" s="23" t="inlineStr">
        <is>
          <t>Cable THHN Cobre</t>
        </is>
      </c>
      <c r="E295" s="23" t="inlineStr">
        <is>
          <t>m</t>
        </is>
      </c>
      <c r="F295" s="26" t="n">
        <v>30</v>
      </c>
      <c r="G295" s="27" t="n">
        <v>9.4</v>
      </c>
      <c r="H295" s="27" t="n">
        <v>9.779999999999999</v>
      </c>
      <c r="I295" s="23" t="inlineStr">
        <is>
          <t>Megametales</t>
        </is>
      </c>
      <c r="J295" s="27" t="n">
        <v>10.15</v>
      </c>
      <c r="K295" s="23" t="inlineStr">
        <is>
          <t>Kywi / Megakywi</t>
        </is>
      </c>
      <c r="L295" s="28">
        <f>F295*G295</f>
        <v/>
      </c>
      <c r="M295" s="146" t="inlineStr">
        <is>
          <t>IE-D50-CON-THHN-AWG0</t>
        </is>
      </c>
      <c r="N295" s="23" t="inlineStr">
        <is>
          <t>Instalaciones eléctricas</t>
        </is>
      </c>
      <c r="O295" s="23" t="inlineStr">
        <is>
          <t>Estimado DION · criterio de mercado Guayaquil 2026 (no verificado en tienda)</t>
        </is>
      </c>
      <c r="P295" s="23" t="inlineStr">
        <is>
          <t>oct-2026 (est.)</t>
        </is>
      </c>
      <c r="Q295" s="23" t="n">
        <v>5</v>
      </c>
    </row>
    <row r="296">
      <c r="A296" s="18" t="n">
        <v>257</v>
      </c>
      <c r="B296" s="19" t="inlineStr">
        <is>
          <t xml:space="preserve">        Cable Cobre THHN/THWN-2 #2/0 AWG 600V 90°C (m)</t>
        </is>
      </c>
      <c r="C296" s="20" t="inlineStr">
        <is>
          <t>Residencial / Comercial / Ind</t>
        </is>
      </c>
      <c r="D296" s="18" t="inlineStr">
        <is>
          <t>Cable THHN Cobre</t>
        </is>
      </c>
      <c r="E296" s="18" t="inlineStr">
        <is>
          <t>m</t>
        </is>
      </c>
      <c r="F296" s="21" t="n">
        <v>30</v>
      </c>
      <c r="G296" s="22" t="n">
        <v>11.8</v>
      </c>
      <c r="H296" s="22" t="n">
        <v>12.04</v>
      </c>
      <c r="I296" s="18" t="inlineStr">
        <is>
          <t>Megametales</t>
        </is>
      </c>
      <c r="J296" s="22" t="n">
        <v>13.1</v>
      </c>
      <c r="K296" s="18" t="inlineStr">
        <is>
          <t>Ferrisariato</t>
        </is>
      </c>
      <c r="L296" s="8">
        <f>F296*G296</f>
        <v/>
      </c>
      <c r="M296" s="145" t="inlineStr">
        <is>
          <t>IE-D50-CON-THHN-AWG00</t>
        </is>
      </c>
      <c r="N296" s="18" t="inlineStr">
        <is>
          <t>Instalaciones eléctricas</t>
        </is>
      </c>
      <c r="O296" s="18" t="inlineStr">
        <is>
          <t>Estimado DION · criterio de mercado Guayaquil 2026 (no verificado en tienda)</t>
        </is>
      </c>
      <c r="P296" s="18" t="inlineStr">
        <is>
          <t>oct-2026 (est.)</t>
        </is>
      </c>
      <c r="Q296" s="18" t="n">
        <v>5</v>
      </c>
    </row>
    <row r="297">
      <c r="A297" s="23" t="n">
        <v>258</v>
      </c>
      <c r="B297" s="24" t="inlineStr">
        <is>
          <t xml:space="preserve">        Cable Cobre THHN/THWN-2 #3/0 AWG 600V 90°C (m)</t>
        </is>
      </c>
      <c r="C297" s="25" t="inlineStr">
        <is>
          <t>Residencial / Comercial / Ind</t>
        </is>
      </c>
      <c r="D297" s="23" t="inlineStr">
        <is>
          <t>Cable THHN Cobre</t>
        </is>
      </c>
      <c r="E297" s="23" t="inlineStr">
        <is>
          <t>m</t>
        </is>
      </c>
      <c r="F297" s="26" t="n">
        <v>30</v>
      </c>
      <c r="G297" s="27" t="n">
        <v>14.8</v>
      </c>
      <c r="H297" s="27" t="n">
        <v>15.54</v>
      </c>
      <c r="I297" s="23" t="inlineStr">
        <is>
          <t>Megametales</t>
        </is>
      </c>
      <c r="J297" s="27" t="n">
        <v>16.43</v>
      </c>
      <c r="K297" s="23" t="inlineStr">
        <is>
          <t>Kywi / Megakywi</t>
        </is>
      </c>
      <c r="L297" s="28">
        <f>F297*G297</f>
        <v/>
      </c>
      <c r="M297" s="146" t="inlineStr">
        <is>
          <t>IE-D50-CON-THHN-AWG000</t>
        </is>
      </c>
      <c r="N297" s="23" t="inlineStr">
        <is>
          <t>Instalaciones eléctricas</t>
        </is>
      </c>
      <c r="O297" s="23" t="inlineStr">
        <is>
          <t>Estimado DION · criterio de mercado Guayaquil 2026 (no verificado en tienda)</t>
        </is>
      </c>
      <c r="P297" s="23" t="inlineStr">
        <is>
          <t>oct-2026 (est.)</t>
        </is>
      </c>
      <c r="Q297" s="23" t="n">
        <v>5</v>
      </c>
    </row>
    <row r="298">
      <c r="A298" s="18" t="n">
        <v>259</v>
      </c>
      <c r="B298" s="19" t="inlineStr">
        <is>
          <t xml:space="preserve">        Cable Cobre THHN/THWN-2 #4/0 AWG 600V 90°C (m)</t>
        </is>
      </c>
      <c r="C298" s="20" t="inlineStr">
        <is>
          <t>Residencial / Comercial / Ind</t>
        </is>
      </c>
      <c r="D298" s="18" t="inlineStr">
        <is>
          <t>Cable THHN Cobre</t>
        </is>
      </c>
      <c r="E298" s="18" t="inlineStr">
        <is>
          <t>m</t>
        </is>
      </c>
      <c r="F298" s="21" t="n">
        <v>30</v>
      </c>
      <c r="G298" s="22" t="n">
        <v>18.5</v>
      </c>
      <c r="H298" s="22" t="n">
        <v>19.24</v>
      </c>
      <c r="I298" s="18" t="inlineStr">
        <is>
          <t>Megametales</t>
        </is>
      </c>
      <c r="J298" s="22" t="n">
        <v>20.17</v>
      </c>
      <c r="K298" s="18" t="inlineStr">
        <is>
          <t>Ferrisariato</t>
        </is>
      </c>
      <c r="L298" s="8">
        <f>F298*G298</f>
        <v/>
      </c>
      <c r="M298" s="145" t="inlineStr">
        <is>
          <t>IE-D50-CON-THHN-AWG0000</t>
        </is>
      </c>
      <c r="N298" s="18" t="inlineStr">
        <is>
          <t>Instalaciones eléctricas</t>
        </is>
      </c>
      <c r="O298" s="18" t="inlineStr">
        <is>
          <t>Estimado DION · criterio de mercado Guayaquil 2026 (no verificado en tienda)</t>
        </is>
      </c>
      <c r="P298" s="18" t="inlineStr">
        <is>
          <t>oct-2026 (est.)</t>
        </is>
      </c>
      <c r="Q298" s="18" t="n">
        <v>5</v>
      </c>
    </row>
    <row r="299">
      <c r="A299" s="23" t="n">
        <v>260</v>
      </c>
      <c r="B299" s="24" t="inlineStr">
        <is>
          <t xml:space="preserve">        Cable Cobre THHN/THWN-2 250 MCM 600V 90°C (m)</t>
        </is>
      </c>
      <c r="C299" s="25" t="inlineStr">
        <is>
          <t>Residencial / Comercial / Ind</t>
        </is>
      </c>
      <c r="D299" s="23" t="inlineStr">
        <is>
          <t>Cable THHN Cobre</t>
        </is>
      </c>
      <c r="E299" s="23" t="inlineStr">
        <is>
          <t>m</t>
        </is>
      </c>
      <c r="F299" s="26" t="n">
        <v>30</v>
      </c>
      <c r="G299" s="27" t="n">
        <v>22</v>
      </c>
      <c r="H299" s="27" t="n">
        <v>23.1</v>
      </c>
      <c r="I299" s="23" t="inlineStr">
        <is>
          <t>Megametales</t>
        </is>
      </c>
      <c r="J299" s="27" t="n">
        <v>23.98</v>
      </c>
      <c r="K299" s="23" t="inlineStr">
        <is>
          <t>Kywi / Megakywi</t>
        </is>
      </c>
      <c r="L299" s="28">
        <f>F299*G299</f>
        <v/>
      </c>
      <c r="M299" s="146" t="inlineStr">
        <is>
          <t>IE-D50-CON-THHN-MCM250</t>
        </is>
      </c>
      <c r="N299" s="23" t="inlineStr">
        <is>
          <t>Instalaciones eléctricas</t>
        </is>
      </c>
      <c r="O299" s="23" t="inlineStr">
        <is>
          <t>Estimado DION · criterio de mercado Guayaquil 2026 (no verificado en tienda)</t>
        </is>
      </c>
      <c r="P299" s="23" t="inlineStr">
        <is>
          <t>oct-2026 (est.)</t>
        </is>
      </c>
      <c r="Q299" s="23" t="n">
        <v>5</v>
      </c>
    </row>
    <row r="300">
      <c r="A300" s="18" t="n">
        <v>261</v>
      </c>
      <c r="B300" s="19" t="inlineStr">
        <is>
          <t xml:space="preserve">        Cable Cobre THHN/THWN-2 350 MCM 600V 90°C (m)</t>
        </is>
      </c>
      <c r="C300" s="20" t="inlineStr">
        <is>
          <t>Residencial / Comercial / Ind</t>
        </is>
      </c>
      <c r="D300" s="18" t="inlineStr">
        <is>
          <t>Cable THHN Cobre</t>
        </is>
      </c>
      <c r="E300" s="18" t="inlineStr">
        <is>
          <t>m</t>
        </is>
      </c>
      <c r="F300" s="21" t="n">
        <v>30</v>
      </c>
      <c r="G300" s="22" t="n">
        <v>30.5</v>
      </c>
      <c r="H300" s="22" t="n">
        <v>31.11</v>
      </c>
      <c r="I300" s="18" t="inlineStr">
        <is>
          <t>Megametales</t>
        </is>
      </c>
      <c r="J300" s="22" t="n">
        <v>33.86</v>
      </c>
      <c r="K300" s="18" t="inlineStr">
        <is>
          <t>Ferrisariato</t>
        </is>
      </c>
      <c r="L300" s="8">
        <f>F300*G300</f>
        <v/>
      </c>
      <c r="M300" s="145" t="inlineStr">
        <is>
          <t>IE-D50-CON-THHN-MCM350</t>
        </is>
      </c>
      <c r="N300" s="18" t="inlineStr">
        <is>
          <t>Instalaciones eléctricas</t>
        </is>
      </c>
      <c r="O300" s="18" t="inlineStr">
        <is>
          <t>Estimado DION · criterio de mercado Guayaquil 2026 (no verificado en tienda)</t>
        </is>
      </c>
      <c r="P300" s="18" t="inlineStr">
        <is>
          <t>oct-2026 (est.)</t>
        </is>
      </c>
      <c r="Q300" s="18" t="n">
        <v>5</v>
      </c>
    </row>
    <row r="301">
      <c r="A301" s="23" t="n">
        <v>262</v>
      </c>
      <c r="B301" s="24" t="inlineStr">
        <is>
          <t xml:space="preserve">        Cable Cobre THHN/THWN-2 500 MCM 600V 90°C (m)</t>
        </is>
      </c>
      <c r="C301" s="25" t="inlineStr">
        <is>
          <t>Residencial / Comercial / Ind</t>
        </is>
      </c>
      <c r="D301" s="23" t="inlineStr">
        <is>
          <t>Cable THHN Cobre</t>
        </is>
      </c>
      <c r="E301" s="23" t="inlineStr">
        <is>
          <t>m</t>
        </is>
      </c>
      <c r="F301" s="26" t="n">
        <v>30</v>
      </c>
      <c r="G301" s="27" t="n">
        <v>43</v>
      </c>
      <c r="H301" s="27" t="n">
        <v>44.29</v>
      </c>
      <c r="I301" s="23" t="inlineStr">
        <is>
          <t>Megametales</t>
        </is>
      </c>
      <c r="J301" s="27" t="n">
        <v>47.3</v>
      </c>
      <c r="K301" s="23" t="inlineStr">
        <is>
          <t>Kywi / Megakywi</t>
        </is>
      </c>
      <c r="L301" s="28">
        <f>F301*G301</f>
        <v/>
      </c>
      <c r="M301" s="146" t="inlineStr">
        <is>
          <t>IE-D50-CON-THHN-MCM500</t>
        </is>
      </c>
      <c r="N301" s="23" t="inlineStr">
        <is>
          <t>Instalaciones eléctricas</t>
        </is>
      </c>
      <c r="O301" s="23" t="inlineStr">
        <is>
          <t>Estimado DION · criterio de mercado Guayaquil 2026 (no verificado en tienda)</t>
        </is>
      </c>
      <c r="P301" s="23" t="inlineStr">
        <is>
          <t>oct-2026 (est.)</t>
        </is>
      </c>
      <c r="Q301" s="23" t="n">
        <v>5</v>
      </c>
    </row>
    <row r="302">
      <c r="A302" s="18" t="n">
        <v>263</v>
      </c>
      <c r="B302" s="19" t="inlineStr">
        <is>
          <t xml:space="preserve">        Cable Cobre TTU/XLPE 2kV #6 AWG Subterráneo (m)</t>
        </is>
      </c>
      <c r="C302" s="20" t="inlineStr">
        <is>
          <t>Comercial / Industrial</t>
        </is>
      </c>
      <c r="D302" s="18" t="inlineStr">
        <is>
          <t>Cable TTU</t>
        </is>
      </c>
      <c r="E302" s="18" t="inlineStr">
        <is>
          <t>m</t>
        </is>
      </c>
      <c r="F302" s="21" t="n">
        <v>30</v>
      </c>
      <c r="G302" s="22" t="n">
        <v>2.75</v>
      </c>
      <c r="H302" s="22" t="n">
        <v>2.81</v>
      </c>
      <c r="I302" s="18" t="inlineStr">
        <is>
          <t>Megametales</t>
        </is>
      </c>
      <c r="J302" s="22" t="n">
        <v>2.94</v>
      </c>
      <c r="K302" s="18" t="inlineStr">
        <is>
          <t>Ferrisariato</t>
        </is>
      </c>
      <c r="L302" s="8">
        <f>F302*G302</f>
        <v/>
      </c>
      <c r="M302" s="145" t="inlineStr">
        <is>
          <t>IE-D50-CON-TTU-AWG6</t>
        </is>
      </c>
      <c r="N302" s="18" t="inlineStr">
        <is>
          <t>Instalaciones eléctricas</t>
        </is>
      </c>
      <c r="O302" s="18" t="inlineStr">
        <is>
          <t>Estimado DION · criterio de mercado Guayaquil 2026 (no verificado en tienda)</t>
        </is>
      </c>
      <c r="P302" s="18" t="inlineStr">
        <is>
          <t>oct-2026 (est.)</t>
        </is>
      </c>
      <c r="Q302" s="18" t="n">
        <v>3</v>
      </c>
    </row>
    <row r="303">
      <c r="A303" s="23" t="n">
        <v>264</v>
      </c>
      <c r="B303" s="24" t="inlineStr">
        <is>
          <t xml:space="preserve">        Cable Cobre TTU/XLPE 2kV #4 AWG Subterráneo (m)</t>
        </is>
      </c>
      <c r="C303" s="25" t="inlineStr">
        <is>
          <t>Comercial / Industrial</t>
        </is>
      </c>
      <c r="D303" s="23" t="inlineStr">
        <is>
          <t>Cable TTU</t>
        </is>
      </c>
      <c r="E303" s="23" t="inlineStr">
        <is>
          <t>m</t>
        </is>
      </c>
      <c r="F303" s="26" t="n">
        <v>30</v>
      </c>
      <c r="G303" s="27" t="n">
        <v>4.3</v>
      </c>
      <c r="H303" s="27" t="n">
        <v>4.51</v>
      </c>
      <c r="I303" s="23" t="inlineStr">
        <is>
          <t>Megametales</t>
        </is>
      </c>
      <c r="J303" s="27" t="n">
        <v>4.73</v>
      </c>
      <c r="K303" s="23" t="inlineStr">
        <is>
          <t>Kywi / Megakywi</t>
        </is>
      </c>
      <c r="L303" s="28">
        <f>F303*G303</f>
        <v/>
      </c>
      <c r="M303" s="146" t="inlineStr">
        <is>
          <t>IE-D50-CON-TTU-AWG4</t>
        </is>
      </c>
      <c r="N303" s="23" t="inlineStr">
        <is>
          <t>Instalaciones eléctricas</t>
        </is>
      </c>
      <c r="O303" s="23" t="inlineStr">
        <is>
          <t>Estimado DION · criterio de mercado Guayaquil 2026 (no verificado en tienda)</t>
        </is>
      </c>
      <c r="P303" s="23" t="inlineStr">
        <is>
          <t>oct-2026 (est.)</t>
        </is>
      </c>
      <c r="Q303" s="23" t="n">
        <v>3</v>
      </c>
    </row>
    <row r="304">
      <c r="A304" s="18" t="n">
        <v>265</v>
      </c>
      <c r="B304" s="19" t="inlineStr">
        <is>
          <t xml:space="preserve">        Cable Cobre TTU/XLPE 2kV #2 AWG Subterráneo (m)</t>
        </is>
      </c>
      <c r="C304" s="20" t="inlineStr">
        <is>
          <t>Comercial / Industrial</t>
        </is>
      </c>
      <c r="D304" s="18" t="inlineStr">
        <is>
          <t>Cable TTU</t>
        </is>
      </c>
      <c r="E304" s="18" t="inlineStr">
        <is>
          <t>m</t>
        </is>
      </c>
      <c r="F304" s="21" t="n">
        <v>30</v>
      </c>
      <c r="G304" s="22" t="n">
        <v>6.7</v>
      </c>
      <c r="H304" s="22" t="n">
        <v>7.04</v>
      </c>
      <c r="I304" s="18" t="inlineStr">
        <is>
          <t>Megametales</t>
        </is>
      </c>
      <c r="J304" s="22" t="n">
        <v>7.17</v>
      </c>
      <c r="K304" s="18" t="inlineStr">
        <is>
          <t>Ferrisariato</t>
        </is>
      </c>
      <c r="L304" s="8">
        <f>F304*G304</f>
        <v/>
      </c>
      <c r="M304" s="145" t="inlineStr">
        <is>
          <t>IE-D50-CON-TTU-AWG2</t>
        </is>
      </c>
      <c r="N304" s="18" t="inlineStr">
        <is>
          <t>Instalaciones eléctricas</t>
        </is>
      </c>
      <c r="O304" s="18" t="inlineStr">
        <is>
          <t>Estimado DION · criterio de mercado Guayaquil 2026 (no verificado en tienda)</t>
        </is>
      </c>
      <c r="P304" s="18" t="inlineStr">
        <is>
          <t>oct-2026 (est.)</t>
        </is>
      </c>
      <c r="Q304" s="18" t="n">
        <v>3</v>
      </c>
    </row>
    <row r="305">
      <c r="A305" s="23" t="n">
        <v>266</v>
      </c>
      <c r="B305" s="24" t="inlineStr">
        <is>
          <t xml:space="preserve">        Cable Cobre TTU/XLPE 2kV #1/0 AWG Subterráneo (m)</t>
        </is>
      </c>
      <c r="C305" s="25" t="inlineStr">
        <is>
          <t>Comercial / Industrial</t>
        </is>
      </c>
      <c r="D305" s="23" t="inlineStr">
        <is>
          <t>Cable TTU</t>
        </is>
      </c>
      <c r="E305" s="23" t="inlineStr">
        <is>
          <t>m</t>
        </is>
      </c>
      <c r="F305" s="26" t="n">
        <v>30</v>
      </c>
      <c r="G305" s="27" t="n">
        <v>10.6</v>
      </c>
      <c r="H305" s="27" t="n">
        <v>11.02</v>
      </c>
      <c r="I305" s="23" t="inlineStr">
        <is>
          <t>Megametales</t>
        </is>
      </c>
      <c r="J305" s="27" t="n">
        <v>11.66</v>
      </c>
      <c r="K305" s="23" t="inlineStr">
        <is>
          <t>Kywi / Megakywi</t>
        </is>
      </c>
      <c r="L305" s="28">
        <f>F305*G305</f>
        <v/>
      </c>
      <c r="M305" s="146" t="inlineStr">
        <is>
          <t>IE-D50-CON-TTU-AWG0</t>
        </is>
      </c>
      <c r="N305" s="23" t="inlineStr">
        <is>
          <t>Instalaciones eléctricas</t>
        </is>
      </c>
      <c r="O305" s="23" t="inlineStr">
        <is>
          <t>Estimado DION · criterio de mercado Guayaquil 2026 (no verificado en tienda)</t>
        </is>
      </c>
      <c r="P305" s="23" t="inlineStr">
        <is>
          <t>oct-2026 (est.)</t>
        </is>
      </c>
      <c r="Q305" s="23" t="n">
        <v>3</v>
      </c>
    </row>
    <row r="306">
      <c r="A306" s="18" t="n">
        <v>267</v>
      </c>
      <c r="B306" s="19" t="inlineStr">
        <is>
          <t xml:space="preserve">        Cable Cobre TTU/XLPE 2kV #2/0 AWG Subterráneo (m)</t>
        </is>
      </c>
      <c r="C306" s="20" t="inlineStr">
        <is>
          <t>Comercial / Industrial</t>
        </is>
      </c>
      <c r="D306" s="18" t="inlineStr">
        <is>
          <t>Cable TTU</t>
        </is>
      </c>
      <c r="E306" s="18" t="inlineStr">
        <is>
          <t>m</t>
        </is>
      </c>
      <c r="F306" s="21" t="n">
        <v>30</v>
      </c>
      <c r="G306" s="22" t="n">
        <v>13.2</v>
      </c>
      <c r="H306" s="22" t="n">
        <v>13.86</v>
      </c>
      <c r="I306" s="18" t="inlineStr">
        <is>
          <t>Megametales</t>
        </is>
      </c>
      <c r="J306" s="22" t="n">
        <v>14.26</v>
      </c>
      <c r="K306" s="18" t="inlineStr">
        <is>
          <t>Ferrisariato</t>
        </is>
      </c>
      <c r="L306" s="8">
        <f>F306*G306</f>
        <v/>
      </c>
      <c r="M306" s="145" t="inlineStr">
        <is>
          <t>IE-D50-CON-TTU-AWG00</t>
        </is>
      </c>
      <c r="N306" s="18" t="inlineStr">
        <is>
          <t>Instalaciones eléctricas</t>
        </is>
      </c>
      <c r="O306" s="18" t="inlineStr">
        <is>
          <t>Estimado DION · criterio de mercado Guayaquil 2026 (no verificado en tienda)</t>
        </is>
      </c>
      <c r="P306" s="18" t="inlineStr">
        <is>
          <t>oct-2026 (est.)</t>
        </is>
      </c>
      <c r="Q306" s="18" t="n">
        <v>3</v>
      </c>
    </row>
    <row r="307">
      <c r="A307" s="23" t="n">
        <v>268</v>
      </c>
      <c r="B307" s="24" t="inlineStr">
        <is>
          <t xml:space="preserve">        Cable Cobre TTU/XLPE 2kV #4/0 AWG Subterráneo (m)</t>
        </is>
      </c>
      <c r="C307" s="25" t="inlineStr">
        <is>
          <t>Comercial / Industrial</t>
        </is>
      </c>
      <c r="D307" s="23" t="inlineStr">
        <is>
          <t>Cable TTU</t>
        </is>
      </c>
      <c r="E307" s="23" t="inlineStr">
        <is>
          <t>m</t>
        </is>
      </c>
      <c r="F307" s="26" t="n">
        <v>30</v>
      </c>
      <c r="G307" s="27" t="n">
        <v>20.8</v>
      </c>
      <c r="H307" s="27" t="n">
        <v>21.22</v>
      </c>
      <c r="I307" s="23" t="inlineStr">
        <is>
          <t>Megametales</t>
        </is>
      </c>
      <c r="J307" s="27" t="n">
        <v>22.88</v>
      </c>
      <c r="K307" s="23" t="inlineStr">
        <is>
          <t>Kywi / Megakywi</t>
        </is>
      </c>
      <c r="L307" s="28">
        <f>F307*G307</f>
        <v/>
      </c>
      <c r="M307" s="146" t="inlineStr">
        <is>
          <t>IE-D50-CON-TTU-AWG0000</t>
        </is>
      </c>
      <c r="N307" s="23" t="inlineStr">
        <is>
          <t>Instalaciones eléctricas</t>
        </is>
      </c>
      <c r="O307" s="23" t="inlineStr">
        <is>
          <t>Estimado DION · criterio de mercado Guayaquil 2026 (no verificado en tienda)</t>
        </is>
      </c>
      <c r="P307" s="23" t="inlineStr">
        <is>
          <t>oct-2026 (est.)</t>
        </is>
      </c>
      <c r="Q307" s="23" t="n">
        <v>3</v>
      </c>
    </row>
    <row r="308">
      <c r="A308" s="18" t="n">
        <v>269</v>
      </c>
      <c r="B308" s="19" t="inlineStr">
        <is>
          <t xml:space="preserve">        Cable Cobre TTU/XLPE 2kV 250 MCM Subterráneo (m)</t>
        </is>
      </c>
      <c r="C308" s="20" t="inlineStr">
        <is>
          <t>Comercial / Industrial</t>
        </is>
      </c>
      <c r="D308" s="18" t="inlineStr">
        <is>
          <t>Cable TTU</t>
        </is>
      </c>
      <c r="E308" s="18" t="inlineStr">
        <is>
          <t>m</t>
        </is>
      </c>
      <c r="F308" s="21" t="n">
        <v>30</v>
      </c>
      <c r="G308" s="22" t="n">
        <v>24.6</v>
      </c>
      <c r="H308" s="22" t="n">
        <v>25.83</v>
      </c>
      <c r="I308" s="18" t="inlineStr">
        <is>
          <t>Megametales</t>
        </is>
      </c>
      <c r="J308" s="22" t="n">
        <v>26.81</v>
      </c>
      <c r="K308" s="18" t="inlineStr">
        <is>
          <t>Ferrisariato</t>
        </is>
      </c>
      <c r="L308" s="8">
        <f>F308*G308</f>
        <v/>
      </c>
      <c r="M308" s="145" t="inlineStr">
        <is>
          <t>IE-D50-CON-TTU-MCM250</t>
        </is>
      </c>
      <c r="N308" s="18" t="inlineStr">
        <is>
          <t>Instalaciones eléctricas</t>
        </is>
      </c>
      <c r="O308" s="18" t="inlineStr">
        <is>
          <t>Estimado DION · criterio de mercado Guayaquil 2026 (no verificado en tienda)</t>
        </is>
      </c>
      <c r="P308" s="18" t="inlineStr">
        <is>
          <t>oct-2026 (est.)</t>
        </is>
      </c>
      <c r="Q308" s="18" t="n">
        <v>3</v>
      </c>
    </row>
    <row r="309">
      <c r="A309" s="23" t="n">
        <v>270</v>
      </c>
      <c r="B309" s="24" t="inlineStr">
        <is>
          <t xml:space="preserve">        Cable Cobre Desnudo #8 AWG Puesta a Tierra (m)</t>
        </is>
      </c>
      <c r="C309" s="25" t="inlineStr">
        <is>
          <t>Residencial / Comercial / Ind</t>
        </is>
      </c>
      <c r="D309" s="23" t="inlineStr">
        <is>
          <t>Cable Desnudo</t>
        </is>
      </c>
      <c r="E309" s="23" t="inlineStr">
        <is>
          <t>m</t>
        </is>
      </c>
      <c r="F309" s="26" t="n">
        <v>30</v>
      </c>
      <c r="G309" s="27" t="n">
        <v>1.35</v>
      </c>
      <c r="H309" s="27" t="n">
        <v>1.4</v>
      </c>
      <c r="I309" s="23" t="inlineStr">
        <is>
          <t>Megametales</t>
        </is>
      </c>
      <c r="J309" s="27" t="n">
        <v>1.44</v>
      </c>
      <c r="K309" s="23" t="inlineStr">
        <is>
          <t>Kywi / Megakywi</t>
        </is>
      </c>
      <c r="L309" s="28">
        <f>F309*G309</f>
        <v/>
      </c>
      <c r="M309" s="146" t="inlineStr">
        <is>
          <t>IE-D50-CON-DES-AWG8</t>
        </is>
      </c>
      <c r="N309" s="23" t="inlineStr">
        <is>
          <t>Instalaciones eléctricas</t>
        </is>
      </c>
      <c r="O309" s="23" t="inlineStr">
        <is>
          <t>Estimado DION · criterio de mercado Guayaquil 2026 (no verificado en tienda)</t>
        </is>
      </c>
      <c r="P309" s="23" t="inlineStr">
        <is>
          <t>oct-2026 (est.)</t>
        </is>
      </c>
      <c r="Q309" s="23" t="n">
        <v>3</v>
      </c>
    </row>
    <row r="310">
      <c r="A310" s="18" t="n">
        <v>271</v>
      </c>
      <c r="B310" s="19" t="inlineStr">
        <is>
          <t xml:space="preserve">        Cable Cobre Desnudo #6 AWG Puesta a Tierra (m)</t>
        </is>
      </c>
      <c r="C310" s="20" t="inlineStr">
        <is>
          <t>Residencial / Comercial / Ind</t>
        </is>
      </c>
      <c r="D310" s="18" t="inlineStr">
        <is>
          <t>Cable Desnudo</t>
        </is>
      </c>
      <c r="E310" s="18" t="inlineStr">
        <is>
          <t>m</t>
        </is>
      </c>
      <c r="F310" s="21" t="n">
        <v>30</v>
      </c>
      <c r="G310" s="22" t="n">
        <v>2.05</v>
      </c>
      <c r="H310" s="22" t="n">
        <v>2.13</v>
      </c>
      <c r="I310" s="18" t="inlineStr">
        <is>
          <t>Megametales</t>
        </is>
      </c>
      <c r="J310" s="22" t="n">
        <v>2.23</v>
      </c>
      <c r="K310" s="18" t="inlineStr">
        <is>
          <t>Ferrisariato</t>
        </is>
      </c>
      <c r="L310" s="8">
        <f>F310*G310</f>
        <v/>
      </c>
      <c r="M310" s="145" t="inlineStr">
        <is>
          <t>IE-D50-CON-DES-AWG6</t>
        </is>
      </c>
      <c r="N310" s="18" t="inlineStr">
        <is>
          <t>Instalaciones eléctricas</t>
        </is>
      </c>
      <c r="O310" s="18" t="inlineStr">
        <is>
          <t>Estimado DION · criterio de mercado Guayaquil 2026 (no verificado en tienda)</t>
        </is>
      </c>
      <c r="P310" s="18" t="inlineStr">
        <is>
          <t>oct-2026 (est.)</t>
        </is>
      </c>
      <c r="Q310" s="18" t="n">
        <v>3</v>
      </c>
    </row>
    <row r="311">
      <c r="A311" s="23" t="n">
        <v>272</v>
      </c>
      <c r="B311" s="24" t="inlineStr">
        <is>
          <t xml:space="preserve">        Cable Cobre Desnudo #2 AWG Puesta a Tierra (m)</t>
        </is>
      </c>
      <c r="C311" s="25" t="inlineStr">
        <is>
          <t>Residencial / Comercial / Ind</t>
        </is>
      </c>
      <c r="D311" s="23" t="inlineStr">
        <is>
          <t>Cable Desnudo</t>
        </is>
      </c>
      <c r="E311" s="23" t="inlineStr">
        <is>
          <t>m</t>
        </is>
      </c>
      <c r="F311" s="26" t="n">
        <v>30</v>
      </c>
      <c r="G311" s="27" t="n">
        <v>5.3</v>
      </c>
      <c r="H311" s="27" t="n">
        <v>5.41</v>
      </c>
      <c r="I311" s="23" t="inlineStr">
        <is>
          <t>Megametales</t>
        </is>
      </c>
      <c r="J311" s="27" t="n">
        <v>5.83</v>
      </c>
      <c r="K311" s="23" t="inlineStr">
        <is>
          <t>Kywi / Megakywi</t>
        </is>
      </c>
      <c r="L311" s="28">
        <f>F311*G311</f>
        <v/>
      </c>
      <c r="M311" s="146" t="inlineStr">
        <is>
          <t>IE-D50-CON-DES-AWG2</t>
        </is>
      </c>
      <c r="N311" s="23" t="inlineStr">
        <is>
          <t>Instalaciones eléctricas</t>
        </is>
      </c>
      <c r="O311" s="23" t="inlineStr">
        <is>
          <t>Estimado DION · criterio de mercado Guayaquil 2026 (no verificado en tienda)</t>
        </is>
      </c>
      <c r="P311" s="23" t="inlineStr">
        <is>
          <t>oct-2026 (est.)</t>
        </is>
      </c>
      <c r="Q311" s="23" t="n">
        <v>3</v>
      </c>
    </row>
    <row r="312">
      <c r="A312" s="18" t="n">
        <v>273</v>
      </c>
      <c r="B312" s="19" t="inlineStr">
        <is>
          <t xml:space="preserve">        Cable Cobre Desnudo #1/0 AWG Puesta a Tierra (m)</t>
        </is>
      </c>
      <c r="C312" s="20" t="inlineStr">
        <is>
          <t>Residencial / Comercial / Ind</t>
        </is>
      </c>
      <c r="D312" s="18" t="inlineStr">
        <is>
          <t>Cable Desnudo</t>
        </is>
      </c>
      <c r="E312" s="18" t="inlineStr">
        <is>
          <t>m</t>
        </is>
      </c>
      <c r="F312" s="21" t="n">
        <v>30</v>
      </c>
      <c r="G312" s="22" t="n">
        <v>8.5</v>
      </c>
      <c r="H312" s="22" t="n">
        <v>8.93</v>
      </c>
      <c r="I312" s="18" t="inlineStr">
        <is>
          <t>Megametales</t>
        </is>
      </c>
      <c r="J312" s="22" t="n">
        <v>9.1</v>
      </c>
      <c r="K312" s="18" t="inlineStr">
        <is>
          <t>Ferrisariato</t>
        </is>
      </c>
      <c r="L312" s="8">
        <f>F312*G312</f>
        <v/>
      </c>
      <c r="M312" s="145" t="inlineStr">
        <is>
          <t>IE-D50-CON-DES-AWG0</t>
        </is>
      </c>
      <c r="N312" s="18" t="inlineStr">
        <is>
          <t>Instalaciones eléctricas</t>
        </is>
      </c>
      <c r="O312" s="18" t="inlineStr">
        <is>
          <t>Estimado DION · criterio de mercado Guayaquil 2026 (no verificado en tienda)</t>
        </is>
      </c>
      <c r="P312" s="18" t="inlineStr">
        <is>
          <t>oct-2026 (est.)</t>
        </is>
      </c>
      <c r="Q312" s="18" t="n">
        <v>3</v>
      </c>
    </row>
    <row r="313">
      <c r="A313" s="23" t="n">
        <v>274</v>
      </c>
      <c r="B313" s="24" t="inlineStr">
        <is>
          <t xml:space="preserve">        Cable Cobre Desnudo #2/0 AWG Puesta a Tierra (m)</t>
        </is>
      </c>
      <c r="C313" s="25" t="inlineStr">
        <is>
          <t>Residencial / Comercial / Ind</t>
        </is>
      </c>
      <c r="D313" s="23" t="inlineStr">
        <is>
          <t>Cable Desnudo</t>
        </is>
      </c>
      <c r="E313" s="23" t="inlineStr">
        <is>
          <t>m</t>
        </is>
      </c>
      <c r="F313" s="26" t="n">
        <v>30</v>
      </c>
      <c r="G313" s="27" t="n">
        <v>10.5</v>
      </c>
      <c r="H313" s="27" t="n">
        <v>10.81</v>
      </c>
      <c r="I313" s="23" t="inlineStr">
        <is>
          <t>Megametales</t>
        </is>
      </c>
      <c r="J313" s="27" t="n">
        <v>11.34</v>
      </c>
      <c r="K313" s="23" t="inlineStr">
        <is>
          <t>Kywi / Megakywi</t>
        </is>
      </c>
      <c r="L313" s="28">
        <f>F313*G313</f>
        <v/>
      </c>
      <c r="M313" s="146" t="inlineStr">
        <is>
          <t>IE-D50-CON-DES-AWG00</t>
        </is>
      </c>
      <c r="N313" s="23" t="inlineStr">
        <is>
          <t>Instalaciones eléctricas</t>
        </is>
      </c>
      <c r="O313" s="23" t="inlineStr">
        <is>
          <t>Estimado DION · criterio de mercado Guayaquil 2026 (no verificado en tienda)</t>
        </is>
      </c>
      <c r="P313" s="23" t="inlineStr">
        <is>
          <t>oct-2026 (est.)</t>
        </is>
      </c>
      <c r="Q313" s="23" t="n">
        <v>3</v>
      </c>
    </row>
    <row r="314">
      <c r="A314" s="18" t="n">
        <v>275</v>
      </c>
      <c r="B314" s="19" t="inlineStr">
        <is>
          <t xml:space="preserve">        Cable Concéntrico Sucre 3x12 AWG Flexible (m)</t>
        </is>
      </c>
      <c r="C314" s="20" t="inlineStr">
        <is>
          <t>Residencial / Comercial</t>
        </is>
      </c>
      <c r="D314" s="18" t="inlineStr">
        <is>
          <t>Cable Sucre</t>
        </is>
      </c>
      <c r="E314" s="18" t="inlineStr">
        <is>
          <t>m</t>
        </is>
      </c>
      <c r="F314" s="21" t="n">
        <v>30</v>
      </c>
      <c r="G314" s="22" t="n">
        <v>2.25</v>
      </c>
      <c r="H314" s="22" t="n">
        <v>2.32</v>
      </c>
      <c r="I314" s="18" t="inlineStr">
        <is>
          <t>Megametales</t>
        </is>
      </c>
      <c r="J314" s="22" t="n">
        <v>2.41</v>
      </c>
      <c r="K314" s="18" t="inlineStr">
        <is>
          <t>Ferrisariato</t>
        </is>
      </c>
      <c r="L314" s="8">
        <f>F314*G314</f>
        <v/>
      </c>
      <c r="M314" s="145" t="inlineStr">
        <is>
          <t>IE-D50-CON-SUC-3X12</t>
        </is>
      </c>
      <c r="N314" s="18" t="inlineStr">
        <is>
          <t>Instalaciones eléctricas</t>
        </is>
      </c>
      <c r="O314" s="18" t="inlineStr">
        <is>
          <t>Estimado DION · criterio de mercado Guayaquil 2026 (no verificado en tienda)</t>
        </is>
      </c>
      <c r="P314" s="18" t="inlineStr">
        <is>
          <t>oct-2026 (est.)</t>
        </is>
      </c>
      <c r="Q314" s="18" t="n">
        <v>3</v>
      </c>
    </row>
    <row r="315">
      <c r="A315" s="23" t="n">
        <v>276</v>
      </c>
      <c r="B315" s="24" t="inlineStr">
        <is>
          <t xml:space="preserve">        Cable Concéntrico Sucre 3x14 AWG Flexible (m)</t>
        </is>
      </c>
      <c r="C315" s="25" t="inlineStr">
        <is>
          <t>Residencial / Comercial</t>
        </is>
      </c>
      <c r="D315" s="23" t="inlineStr">
        <is>
          <t>Cable Sucre</t>
        </is>
      </c>
      <c r="E315" s="23" t="inlineStr">
        <is>
          <t>m</t>
        </is>
      </c>
      <c r="F315" s="26" t="n">
        <v>30</v>
      </c>
      <c r="G315" s="27" t="n">
        <v>1.55</v>
      </c>
      <c r="H315" s="27" t="n">
        <v>1.63</v>
      </c>
      <c r="I315" s="23" t="inlineStr">
        <is>
          <t>Megametales</t>
        </is>
      </c>
      <c r="J315" s="27" t="n">
        <v>1.72</v>
      </c>
      <c r="K315" s="23" t="inlineStr">
        <is>
          <t>Kywi / Megakywi</t>
        </is>
      </c>
      <c r="L315" s="28">
        <f>F315*G315</f>
        <v/>
      </c>
      <c r="M315" s="146" t="inlineStr">
        <is>
          <t>IE-D50-CON-SUC-3X14</t>
        </is>
      </c>
      <c r="N315" s="23" t="inlineStr">
        <is>
          <t>Instalaciones eléctricas</t>
        </is>
      </c>
      <c r="O315" s="23" t="inlineStr">
        <is>
          <t>Estimado DION · criterio de mercado Guayaquil 2026 (no verificado en tienda)</t>
        </is>
      </c>
      <c r="P315" s="23" t="inlineStr">
        <is>
          <t>oct-2026 (est.)</t>
        </is>
      </c>
      <c r="Q315" s="23" t="n">
        <v>3</v>
      </c>
    </row>
    <row r="316">
      <c r="A316" s="18" t="n">
        <v>277</v>
      </c>
      <c r="B316" s="19" t="inlineStr">
        <is>
          <t xml:space="preserve">        Cable Libre de Halógenos LSZH #12 AWG (m)</t>
        </is>
      </c>
      <c r="C316" s="20" t="inlineStr">
        <is>
          <t>Hospitalario / Comercial</t>
        </is>
      </c>
      <c r="D316" s="18" t="inlineStr">
        <is>
          <t>Cable LSZH</t>
        </is>
      </c>
      <c r="E316" s="18" t="inlineStr">
        <is>
          <t>m</t>
        </is>
      </c>
      <c r="F316" s="21" t="n">
        <v>100</v>
      </c>
      <c r="G316" s="22" t="n">
        <v>0.98</v>
      </c>
      <c r="H316" s="22" t="n">
        <v>1.02</v>
      </c>
      <c r="I316" s="18" t="inlineStr">
        <is>
          <t>Megametales</t>
        </is>
      </c>
      <c r="J316" s="22" t="n">
        <v>1.08</v>
      </c>
      <c r="K316" s="18" t="inlineStr">
        <is>
          <t>Ferrisariato</t>
        </is>
      </c>
      <c r="L316" s="8">
        <f>F316*G316</f>
        <v/>
      </c>
      <c r="M316" s="145" t="inlineStr">
        <is>
          <t>IE-D50-CON-LSZH-AWG12</t>
        </is>
      </c>
      <c r="N316" s="18" t="inlineStr">
        <is>
          <t>Instalaciones eléctricas</t>
        </is>
      </c>
      <c r="O316" s="18" t="inlineStr">
        <is>
          <t>Estimado DION · criterio de mercado Guayaquil 2026 (no verificado en tienda)</t>
        </is>
      </c>
      <c r="P316" s="18" t="inlineStr">
        <is>
          <t>oct-2026 (est.)</t>
        </is>
      </c>
      <c r="Q316" s="18" t="n">
        <v>5</v>
      </c>
    </row>
    <row r="317">
      <c r="A317" s="23" t="n">
        <v>278</v>
      </c>
      <c r="B317" s="24" t="inlineStr">
        <is>
          <t xml:space="preserve">        Cable Resistente al Fuego 2 h (Circuitos de Emergencia) 2x14 (m)</t>
        </is>
      </c>
      <c r="C317" s="25" t="inlineStr">
        <is>
          <t>Comercial / Hospitalario</t>
        </is>
      </c>
      <c r="D317" s="23" t="inlineStr">
        <is>
          <t>Cable FR</t>
        </is>
      </c>
      <c r="E317" s="23" t="inlineStr">
        <is>
          <t>m</t>
        </is>
      </c>
      <c r="F317" s="26" t="n">
        <v>50</v>
      </c>
      <c r="G317" s="27" t="n">
        <v>3.6</v>
      </c>
      <c r="H317" s="27" t="n">
        <v>3.78</v>
      </c>
      <c r="I317" s="23" t="inlineStr">
        <is>
          <t>Megametales</t>
        </is>
      </c>
      <c r="J317" s="27" t="n">
        <v>3.92</v>
      </c>
      <c r="K317" s="23" t="inlineStr">
        <is>
          <t>Kywi / Megakywi</t>
        </is>
      </c>
      <c r="L317" s="28">
        <f>F317*G317</f>
        <v/>
      </c>
      <c r="M317" s="146" t="inlineStr">
        <is>
          <t>IE-D50-CON-FR-AWG12</t>
        </is>
      </c>
      <c r="N317" s="23" t="inlineStr">
        <is>
          <t>Instalaciones eléctricas</t>
        </is>
      </c>
      <c r="O317" s="23" t="inlineStr">
        <is>
          <t>Estimado DION · criterio de mercado Guayaquil 2026 (no verificado en tienda)</t>
        </is>
      </c>
      <c r="P317" s="23" t="inlineStr">
        <is>
          <t>oct-2026 (est.)</t>
        </is>
      </c>
      <c r="Q317" s="23" t="n">
        <v>5</v>
      </c>
    </row>
    <row r="318">
      <c r="A318" s="18" t="n">
        <v>279</v>
      </c>
      <c r="B318" s="19" t="inlineStr">
        <is>
          <t xml:space="preserve">        Cable Aluminio XHHW-2 1/0 AWG (m)</t>
        </is>
      </c>
      <c r="C318" s="20" t="inlineStr">
        <is>
          <t>Comercial / Industrial</t>
        </is>
      </c>
      <c r="D318" s="18" t="inlineStr">
        <is>
          <t>Cable Aluminio</t>
        </is>
      </c>
      <c r="E318" s="18" t="inlineStr">
        <is>
          <t>m</t>
        </is>
      </c>
      <c r="F318" s="21" t="n">
        <v>30</v>
      </c>
      <c r="G318" s="22" t="n">
        <v>2.65</v>
      </c>
      <c r="H318" s="22" t="n">
        <v>2.76</v>
      </c>
      <c r="I318" s="18" t="inlineStr">
        <is>
          <t>Megametales</t>
        </is>
      </c>
      <c r="J318" s="22" t="n">
        <v>2.84</v>
      </c>
      <c r="K318" s="18" t="inlineStr">
        <is>
          <t>Ferrisariato</t>
        </is>
      </c>
      <c r="L318" s="8">
        <f>F318*G318</f>
        <v/>
      </c>
      <c r="M318" s="145" t="inlineStr">
        <is>
          <t>IE-D50-CON-ALU-AWG0</t>
        </is>
      </c>
      <c r="N318" s="18" t="inlineStr">
        <is>
          <t>Instalaciones eléctricas</t>
        </is>
      </c>
      <c r="O318" s="18" t="inlineStr">
        <is>
          <t>Estimado DION · criterio de mercado Guayaquil 2026 (no verificado en tienda)</t>
        </is>
      </c>
      <c r="P318" s="18" t="inlineStr">
        <is>
          <t>oct-2026 (est.)</t>
        </is>
      </c>
      <c r="Q318" s="18" t="n">
        <v>3</v>
      </c>
    </row>
    <row r="319">
      <c r="A319" s="23" t="n">
        <v>280</v>
      </c>
      <c r="B319" s="24" t="inlineStr">
        <is>
          <t xml:space="preserve">        Cable Multipar Control 4x18 AWG Apantallado (m)</t>
        </is>
      </c>
      <c r="C319" s="25" t="inlineStr">
        <is>
          <t>Industrial / Automatización</t>
        </is>
      </c>
      <c r="D319" s="23" t="inlineStr">
        <is>
          <t>Cable Control</t>
        </is>
      </c>
      <c r="E319" s="23" t="inlineStr">
        <is>
          <t>m</t>
        </is>
      </c>
      <c r="F319" s="26" t="n">
        <v>30</v>
      </c>
      <c r="G319" s="27" t="n">
        <v>1.95</v>
      </c>
      <c r="H319" s="27" t="n">
        <v>1.99</v>
      </c>
      <c r="I319" s="23" t="inlineStr">
        <is>
          <t>Megametales</t>
        </is>
      </c>
      <c r="J319" s="27" t="n">
        <v>2.16</v>
      </c>
      <c r="K319" s="23" t="inlineStr">
        <is>
          <t>Kywi / Megakywi</t>
        </is>
      </c>
      <c r="L319" s="28">
        <f>F319*G319</f>
        <v/>
      </c>
      <c r="M319" s="146" t="inlineStr">
        <is>
          <t>IE-D50-CON-CTL-4X18</t>
        </is>
      </c>
      <c r="N319" s="23" t="inlineStr">
        <is>
          <t>Instalaciones eléctricas</t>
        </is>
      </c>
      <c r="O319" s="23" t="inlineStr">
        <is>
          <t>Estimado DION · criterio de mercado Guayaquil 2026 (no verificado en tienda)</t>
        </is>
      </c>
      <c r="P319" s="23" t="inlineStr">
        <is>
          <t>oct-2026 (est.)</t>
        </is>
      </c>
      <c r="Q319" s="23" t="n">
        <v>5</v>
      </c>
    </row>
    <row r="320">
      <c r="A320" s="16" t="inlineStr">
        <is>
          <t xml:space="preserve">  ► CATEGORÍA: CONEXIONES Y ACCESORIOS DE DUCTO</t>
        </is>
      </c>
      <c r="B320" s="143" t="n"/>
      <c r="C320" s="143" t="n"/>
      <c r="D320" s="143" t="n"/>
      <c r="E320" s="143" t="n"/>
      <c r="F320" s="143" t="n"/>
      <c r="G320" s="143" t="n"/>
      <c r="H320" s="143" t="n"/>
      <c r="I320" s="143" t="n"/>
      <c r="J320" s="143" t="n"/>
      <c r="K320" s="143" t="n"/>
      <c r="L320" s="143" t="n"/>
      <c r="M320" s="143" t="n"/>
      <c r="N320" s="143" t="n"/>
      <c r="O320" s="143" t="n"/>
      <c r="P320" s="143" t="n"/>
      <c r="Q320" s="144" t="n"/>
    </row>
    <row r="321">
      <c r="A321" s="17" t="inlineStr">
        <is>
          <t xml:space="preserve">      • Subcategoría Especificada: Codos, Coples, Uniones, Abrazaderas y Conectores</t>
        </is>
      </c>
      <c r="B321" s="143" t="n"/>
      <c r="C321" s="143" t="n"/>
      <c r="D321" s="143" t="n"/>
      <c r="E321" s="143" t="n"/>
      <c r="F321" s="143" t="n"/>
      <c r="G321" s="143" t="n"/>
      <c r="H321" s="143" t="n"/>
      <c r="I321" s="143" t="n"/>
      <c r="J321" s="143" t="n"/>
      <c r="K321" s="143" t="n"/>
      <c r="L321" s="143" t="n"/>
      <c r="M321" s="143" t="n"/>
      <c r="N321" s="143" t="n"/>
      <c r="O321" s="143" t="n"/>
      <c r="P321" s="143" t="n"/>
      <c r="Q321" s="144" t="n"/>
    </row>
    <row r="322">
      <c r="A322" s="18" t="n">
        <v>281</v>
      </c>
      <c r="B322" s="19" t="inlineStr">
        <is>
          <t xml:space="preserve">        Codo Conduit PVC / EMT 90° / 45° ¾" - 1"</t>
        </is>
      </c>
      <c r="C322" s="20" t="inlineStr">
        <is>
          <t>Residencial / Comercial</t>
        </is>
      </c>
      <c r="D322" s="18" t="inlineStr">
        <is>
          <t>Codos Ducto</t>
        </is>
      </c>
      <c r="E322" s="18" t="inlineStr">
        <is>
          <t>U</t>
        </is>
      </c>
      <c r="F322" s="21" t="n">
        <v>40</v>
      </c>
      <c r="G322" s="22" t="n">
        <v>0.65</v>
      </c>
      <c r="H322" s="22" t="n">
        <v>0.68</v>
      </c>
      <c r="I322" s="18" t="inlineStr">
        <is>
          <t>Megametales</t>
        </is>
      </c>
      <c r="J322" s="22" t="n">
        <v>0.75</v>
      </c>
      <c r="K322" s="18" t="inlineStr">
        <is>
          <t>Ferrisariato</t>
        </is>
      </c>
      <c r="L322" s="8">
        <f>F322*G322</f>
        <v/>
      </c>
      <c r="M322" s="145" t="inlineStr">
        <is>
          <t>IE-D50-ACN-EMT-C90-DN20</t>
        </is>
      </c>
      <c r="N322" s="18" t="inlineStr">
        <is>
          <t>Instalaciones eléctricas</t>
        </is>
      </c>
      <c r="O322" s="18" t="inlineStr">
        <is>
          <t>Estimado · base original del usuario (sin cotización verificada)</t>
        </is>
      </c>
      <c r="P322" s="18" t="inlineStr">
        <is>
          <t>oct-2026 (est.)</t>
        </is>
      </c>
      <c r="Q322" s="18" t="n"/>
    </row>
    <row r="323">
      <c r="A323" s="23" t="n">
        <v>282</v>
      </c>
      <c r="B323" s="24" t="inlineStr">
        <is>
          <t xml:space="preserve">        Abrazadera Zync 2 Orejas / Unistrut ¾"</t>
        </is>
      </c>
      <c r="C323" s="25" t="inlineStr">
        <is>
          <t>Residencial / Comercial / Ind</t>
        </is>
      </c>
      <c r="D323" s="23" t="inlineStr">
        <is>
          <t>Abrazaderas</t>
        </is>
      </c>
      <c r="E323" s="23" t="inlineStr">
        <is>
          <t>U</t>
        </is>
      </c>
      <c r="F323" s="26" t="n">
        <v>100</v>
      </c>
      <c r="G323" s="27" t="n">
        <v>0.25</v>
      </c>
      <c r="H323" s="27" t="n">
        <v>0.28</v>
      </c>
      <c r="I323" s="23" t="inlineStr">
        <is>
          <t>Megametales</t>
        </is>
      </c>
      <c r="J323" s="27" t="n">
        <v>0.35</v>
      </c>
      <c r="K323" s="23" t="inlineStr">
        <is>
          <t>Ferrisariato</t>
        </is>
      </c>
      <c r="L323" s="28">
        <f>F323*G323</f>
        <v/>
      </c>
      <c r="M323" s="146" t="inlineStr">
        <is>
          <t>IE-D50-FIJ-ABR-2O-DN20</t>
        </is>
      </c>
      <c r="N323" s="23" t="inlineStr">
        <is>
          <t>Instalaciones eléctricas</t>
        </is>
      </c>
      <c r="O323" s="23" t="inlineStr">
        <is>
          <t>Estimado · base original del usuario (sin cotización verificada)</t>
        </is>
      </c>
      <c r="P323" s="23" t="inlineStr">
        <is>
          <t>oct-2026 (est.)</t>
        </is>
      </c>
      <c r="Q323" s="23" t="n"/>
    </row>
    <row r="324">
      <c r="A324" s="18" t="n">
        <v>283</v>
      </c>
      <c r="B324" s="19" t="inlineStr">
        <is>
          <t xml:space="preserve">        Conulette Aluminio T / LL / LR / C ¾" con Tapa</t>
        </is>
      </c>
      <c r="C324" s="20" t="inlineStr">
        <is>
          <t>Industrial / Intemperie</t>
        </is>
      </c>
      <c r="D324" s="18" t="inlineStr">
        <is>
          <t>Conduletes</t>
        </is>
      </c>
      <c r="E324" s="18" t="inlineStr">
        <is>
          <t>U</t>
        </is>
      </c>
      <c r="F324" s="21" t="n">
        <v>10</v>
      </c>
      <c r="G324" s="22" t="n">
        <v>4.5</v>
      </c>
      <c r="H324" s="22" t="n">
        <v>4.7</v>
      </c>
      <c r="I324" s="18" t="inlineStr">
        <is>
          <t>Megametales</t>
        </is>
      </c>
      <c r="J324" s="22" t="n">
        <v>5.1</v>
      </c>
      <c r="K324" s="18" t="inlineStr">
        <is>
          <t>Kywi / Megakywi</t>
        </is>
      </c>
      <c r="L324" s="8">
        <f>F324*G324</f>
        <v/>
      </c>
      <c r="M324" s="145" t="inlineStr">
        <is>
          <t>IE-D50-ACN-CDL-LB-DN20</t>
        </is>
      </c>
      <c r="N324" s="18" t="inlineStr">
        <is>
          <t>Instalaciones eléctricas</t>
        </is>
      </c>
      <c r="O324" s="18" t="inlineStr">
        <is>
          <t>Estimado · base original del usuario (sin cotización verificada)</t>
        </is>
      </c>
      <c r="P324" s="18" t="inlineStr">
        <is>
          <t>oct-2026 (est.)</t>
        </is>
      </c>
      <c r="Q324" s="18" t="n"/>
    </row>
    <row r="325">
      <c r="A325" s="17" t="inlineStr">
        <is>
          <t xml:space="preserve">      • Subcategoría Especificada: Codos, Conectores y Uniones por Diámetro (EMT, PVC, IMC) y Conduletas</t>
        </is>
      </c>
      <c r="B325" s="143" t="n"/>
      <c r="C325" s="143" t="n"/>
      <c r="D325" s="143" t="n"/>
      <c r="E325" s="143" t="n"/>
      <c r="F325" s="143" t="n"/>
      <c r="G325" s="143" t="n"/>
      <c r="H325" s="143" t="n"/>
      <c r="I325" s="143" t="n"/>
      <c r="J325" s="143" t="n"/>
      <c r="K325" s="143" t="n"/>
      <c r="L325" s="143" t="n"/>
      <c r="M325" s="143" t="n"/>
      <c r="N325" s="143" t="n"/>
      <c r="O325" s="143" t="n"/>
      <c r="P325" s="143" t="n"/>
      <c r="Q325" s="144" t="n"/>
    </row>
    <row r="326">
      <c r="A326" s="23" t="n">
        <v>284</v>
      </c>
      <c r="B326" s="24" t="inlineStr">
        <is>
          <t xml:space="preserve">        Codo EMT 90° ½"</t>
        </is>
      </c>
      <c r="C326" s="25" t="inlineStr">
        <is>
          <t>Comercial / Industrial</t>
        </is>
      </c>
      <c r="D326" s="23" t="inlineStr">
        <is>
          <t>Codos EMT</t>
        </is>
      </c>
      <c r="E326" s="23" t="inlineStr">
        <is>
          <t>U</t>
        </is>
      </c>
      <c r="F326" s="26" t="n">
        <v>10</v>
      </c>
      <c r="G326" s="27" t="n">
        <v>1.15</v>
      </c>
      <c r="H326" s="27" t="n">
        <v>1.2</v>
      </c>
      <c r="I326" s="23" t="inlineStr">
        <is>
          <t>Megametales</t>
        </is>
      </c>
      <c r="J326" s="27" t="n">
        <v>1.25</v>
      </c>
      <c r="K326" s="23" t="inlineStr">
        <is>
          <t>Kywi / Megakywi</t>
        </is>
      </c>
      <c r="L326" s="28">
        <f>F326*G326</f>
        <v/>
      </c>
      <c r="M326" s="146" t="inlineStr">
        <is>
          <t>IE-D50-ACN-EMT-C90-DN15</t>
        </is>
      </c>
      <c r="N326" s="23" t="inlineStr">
        <is>
          <t>Instalaciones eléctricas</t>
        </is>
      </c>
      <c r="O326" s="23" t="inlineStr">
        <is>
          <t>Estimado DION · criterio de mercado Guayaquil 2026 (no verificado en tienda)</t>
        </is>
      </c>
      <c r="P326" s="23" t="inlineStr">
        <is>
          <t>oct-2026 (est.)</t>
        </is>
      </c>
      <c r="Q326" s="23" t="n"/>
    </row>
    <row r="327">
      <c r="A327" s="18" t="n">
        <v>285</v>
      </c>
      <c r="B327" s="19" t="inlineStr">
        <is>
          <t xml:space="preserve">        Conector EMT a Caja ½" con Contratuerca</t>
        </is>
      </c>
      <c r="C327" s="20" t="inlineStr">
        <is>
          <t>Comercial / Industrial</t>
        </is>
      </c>
      <c r="D327" s="18" t="inlineStr">
        <is>
          <t>Conectores EMT</t>
        </is>
      </c>
      <c r="E327" s="18" t="inlineStr">
        <is>
          <t>U</t>
        </is>
      </c>
      <c r="F327" s="21" t="n">
        <v>20</v>
      </c>
      <c r="G327" s="22" t="n">
        <v>0.32</v>
      </c>
      <c r="H327" s="22" t="n">
        <v>0.33</v>
      </c>
      <c r="I327" s="18" t="inlineStr">
        <is>
          <t>Megametales</t>
        </is>
      </c>
      <c r="J327" s="22" t="n">
        <v>0.36</v>
      </c>
      <c r="K327" s="18" t="inlineStr">
        <is>
          <t>Ferrisariato</t>
        </is>
      </c>
      <c r="L327" s="8">
        <f>F327*G327</f>
        <v/>
      </c>
      <c r="M327" s="145" t="inlineStr">
        <is>
          <t>IE-D50-ACN-EMT-CNT-DN15</t>
        </is>
      </c>
      <c r="N327" s="18" t="inlineStr">
        <is>
          <t>Instalaciones eléctricas</t>
        </is>
      </c>
      <c r="O327" s="18" t="inlineStr">
        <is>
          <t>Estimado DION · criterio de mercado Guayaquil 2026 (no verificado en tienda)</t>
        </is>
      </c>
      <c r="P327" s="18" t="inlineStr">
        <is>
          <t>oct-2026 (est.)</t>
        </is>
      </c>
      <c r="Q327" s="18" t="n"/>
    </row>
    <row r="328">
      <c r="A328" s="23" t="n">
        <v>286</v>
      </c>
      <c r="B328" s="24" t="inlineStr">
        <is>
          <t xml:space="preserve">        Unión EMT ½" Tipo Tornillo</t>
        </is>
      </c>
      <c r="C328" s="25" t="inlineStr">
        <is>
          <t>Comercial / Industrial</t>
        </is>
      </c>
      <c r="D328" s="23" t="inlineStr">
        <is>
          <t>Uniones EMT</t>
        </is>
      </c>
      <c r="E328" s="23" t="inlineStr">
        <is>
          <t>U</t>
        </is>
      </c>
      <c r="F328" s="26" t="n">
        <v>20</v>
      </c>
      <c r="G328" s="27" t="n">
        <v>0.38</v>
      </c>
      <c r="H328" s="27" t="n">
        <v>0.4</v>
      </c>
      <c r="I328" s="23" t="inlineStr">
        <is>
          <t>Megametales</t>
        </is>
      </c>
      <c r="J328" s="27" t="n">
        <v>0.41</v>
      </c>
      <c r="K328" s="23" t="inlineStr">
        <is>
          <t>Kywi / Megakywi</t>
        </is>
      </c>
      <c r="L328" s="28">
        <f>F328*G328</f>
        <v/>
      </c>
      <c r="M328" s="146" t="inlineStr">
        <is>
          <t>IE-D50-ACN-EMT-UNI-DN15</t>
        </is>
      </c>
      <c r="N328" s="23" t="inlineStr">
        <is>
          <t>Instalaciones eléctricas</t>
        </is>
      </c>
      <c r="O328" s="23" t="inlineStr">
        <is>
          <t>Estimado DION · criterio de mercado Guayaquil 2026 (no verificado en tienda)</t>
        </is>
      </c>
      <c r="P328" s="23" t="inlineStr">
        <is>
          <t>oct-2026 (est.)</t>
        </is>
      </c>
      <c r="Q328" s="23" t="n"/>
    </row>
    <row r="329">
      <c r="A329" s="18" t="n">
        <v>287</v>
      </c>
      <c r="B329" s="19" t="inlineStr">
        <is>
          <t xml:space="preserve">        Codo EMT 90° ¾"</t>
        </is>
      </c>
      <c r="C329" s="20" t="inlineStr">
        <is>
          <t>Comercial / Industrial</t>
        </is>
      </c>
      <c r="D329" s="18" t="inlineStr">
        <is>
          <t>Codos EMT</t>
        </is>
      </c>
      <c r="E329" s="18" t="inlineStr">
        <is>
          <t>U</t>
        </is>
      </c>
      <c r="F329" s="21" t="n">
        <v>10</v>
      </c>
      <c r="G329" s="22" t="n">
        <v>1.65</v>
      </c>
      <c r="H329" s="22" t="n">
        <v>1.73</v>
      </c>
      <c r="I329" s="18" t="inlineStr">
        <is>
          <t>Megametales</t>
        </is>
      </c>
      <c r="J329" s="22" t="n">
        <v>1.83</v>
      </c>
      <c r="K329" s="18" t="inlineStr">
        <is>
          <t>Ferrisariato</t>
        </is>
      </c>
      <c r="L329" s="8">
        <f>F329*G329</f>
        <v/>
      </c>
      <c r="M329" s="145" t="inlineStr">
        <is>
          <t>IE-D50-ACN-EMT-C90-DN20</t>
        </is>
      </c>
      <c r="N329" s="18" t="inlineStr">
        <is>
          <t>Instalaciones eléctricas</t>
        </is>
      </c>
      <c r="O329" s="18" t="inlineStr">
        <is>
          <t>Estimado DION · criterio de mercado Guayaquil 2026 (no verificado en tienda)</t>
        </is>
      </c>
      <c r="P329" s="18" t="inlineStr">
        <is>
          <t>oct-2026 (est.)</t>
        </is>
      </c>
      <c r="Q329" s="18" t="n"/>
    </row>
    <row r="330">
      <c r="A330" s="23" t="n">
        <v>288</v>
      </c>
      <c r="B330" s="24" t="inlineStr">
        <is>
          <t xml:space="preserve">        Conector EMT a Caja ¾" con Contratuerca</t>
        </is>
      </c>
      <c r="C330" s="25" t="inlineStr">
        <is>
          <t>Comercial / Industrial</t>
        </is>
      </c>
      <c r="D330" s="23" t="inlineStr">
        <is>
          <t>Conectores EMT</t>
        </is>
      </c>
      <c r="E330" s="23" t="inlineStr">
        <is>
          <t>U</t>
        </is>
      </c>
      <c r="F330" s="26" t="n">
        <v>20</v>
      </c>
      <c r="G330" s="27" t="n">
        <v>0.45</v>
      </c>
      <c r="H330" s="27" t="n">
        <v>0.46</v>
      </c>
      <c r="I330" s="23" t="inlineStr">
        <is>
          <t>Megametales</t>
        </is>
      </c>
      <c r="J330" s="27" t="n">
        <v>0.49</v>
      </c>
      <c r="K330" s="23" t="inlineStr">
        <is>
          <t>Kywi / Megakywi</t>
        </is>
      </c>
      <c r="L330" s="28">
        <f>F330*G330</f>
        <v/>
      </c>
      <c r="M330" s="146" t="inlineStr">
        <is>
          <t>IE-D50-ACN-EMT-CNT-DN20</t>
        </is>
      </c>
      <c r="N330" s="23" t="inlineStr">
        <is>
          <t>Instalaciones eléctricas</t>
        </is>
      </c>
      <c r="O330" s="23" t="inlineStr">
        <is>
          <t>Estimado DION · criterio de mercado Guayaquil 2026 (no verificado en tienda)</t>
        </is>
      </c>
      <c r="P330" s="23" t="inlineStr">
        <is>
          <t>oct-2026 (est.)</t>
        </is>
      </c>
      <c r="Q330" s="23" t="n"/>
    </row>
    <row r="331">
      <c r="A331" s="18" t="n">
        <v>289</v>
      </c>
      <c r="B331" s="19" t="inlineStr">
        <is>
          <t xml:space="preserve">        Unión EMT ¾" Tipo Tornillo</t>
        </is>
      </c>
      <c r="C331" s="20" t="inlineStr">
        <is>
          <t>Comercial / Industrial</t>
        </is>
      </c>
      <c r="D331" s="18" t="inlineStr">
        <is>
          <t>Uniones EMT</t>
        </is>
      </c>
      <c r="E331" s="18" t="inlineStr">
        <is>
          <t>U</t>
        </is>
      </c>
      <c r="F331" s="21" t="n">
        <v>20</v>
      </c>
      <c r="G331" s="22" t="n">
        <v>0.5</v>
      </c>
      <c r="H331" s="22" t="n">
        <v>0.52</v>
      </c>
      <c r="I331" s="18" t="inlineStr">
        <is>
          <t>Megametales</t>
        </is>
      </c>
      <c r="J331" s="22" t="n">
        <v>0.54</v>
      </c>
      <c r="K331" s="18" t="inlineStr">
        <is>
          <t>Ferrisariato</t>
        </is>
      </c>
      <c r="L331" s="8">
        <f>F331*G331</f>
        <v/>
      </c>
      <c r="M331" s="145" t="inlineStr">
        <is>
          <t>IE-D50-ACN-EMT-UNI-DN20</t>
        </is>
      </c>
      <c r="N331" s="18" t="inlineStr">
        <is>
          <t>Instalaciones eléctricas</t>
        </is>
      </c>
      <c r="O331" s="18" t="inlineStr">
        <is>
          <t>Estimado DION · criterio de mercado Guayaquil 2026 (no verificado en tienda)</t>
        </is>
      </c>
      <c r="P331" s="18" t="inlineStr">
        <is>
          <t>oct-2026 (est.)</t>
        </is>
      </c>
      <c r="Q331" s="18" t="n"/>
    </row>
    <row r="332">
      <c r="A332" s="23" t="n">
        <v>290</v>
      </c>
      <c r="B332" s="24" t="inlineStr">
        <is>
          <t xml:space="preserve">        Codo EMT 90° 1"</t>
        </is>
      </c>
      <c r="C332" s="25" t="inlineStr">
        <is>
          <t>Comercial / Industrial</t>
        </is>
      </c>
      <c r="D332" s="23" t="inlineStr">
        <is>
          <t>Codos EMT</t>
        </is>
      </c>
      <c r="E332" s="23" t="inlineStr">
        <is>
          <t>U</t>
        </is>
      </c>
      <c r="F332" s="26" t="n">
        <v>10</v>
      </c>
      <c r="G332" s="27" t="n">
        <v>2.7</v>
      </c>
      <c r="H332" s="27" t="n">
        <v>2.75</v>
      </c>
      <c r="I332" s="23" t="inlineStr">
        <is>
          <t>Megametales</t>
        </is>
      </c>
      <c r="J332" s="27" t="n">
        <v>2.94</v>
      </c>
      <c r="K332" s="23" t="inlineStr">
        <is>
          <t>Kywi / Megakywi</t>
        </is>
      </c>
      <c r="L332" s="28">
        <f>F332*G332</f>
        <v/>
      </c>
      <c r="M332" s="146" t="inlineStr">
        <is>
          <t>IE-D50-ACN-EMT-C90-DN25</t>
        </is>
      </c>
      <c r="N332" s="23" t="inlineStr">
        <is>
          <t>Instalaciones eléctricas</t>
        </is>
      </c>
      <c r="O332" s="23" t="inlineStr">
        <is>
          <t>Estimado DION · criterio de mercado Guayaquil 2026 (no verificado en tienda)</t>
        </is>
      </c>
      <c r="P332" s="23" t="inlineStr">
        <is>
          <t>oct-2026 (est.)</t>
        </is>
      </c>
      <c r="Q332" s="23" t="n"/>
    </row>
    <row r="333">
      <c r="A333" s="18" t="n">
        <v>291</v>
      </c>
      <c r="B333" s="19" t="inlineStr">
        <is>
          <t xml:space="preserve">        Conector EMT a Caja 1" con Contratuerca</t>
        </is>
      </c>
      <c r="C333" s="20" t="inlineStr">
        <is>
          <t>Comercial / Industrial</t>
        </is>
      </c>
      <c r="D333" s="18" t="inlineStr">
        <is>
          <t>Conectores EMT</t>
        </is>
      </c>
      <c r="E333" s="18" t="inlineStr">
        <is>
          <t>U</t>
        </is>
      </c>
      <c r="F333" s="21" t="n">
        <v>20</v>
      </c>
      <c r="G333" s="22" t="n">
        <v>0.75</v>
      </c>
      <c r="H333" s="22" t="n">
        <v>0.78</v>
      </c>
      <c r="I333" s="18" t="inlineStr">
        <is>
          <t>Megametales</t>
        </is>
      </c>
      <c r="J333" s="22" t="n">
        <v>0.8100000000000001</v>
      </c>
      <c r="K333" s="18" t="inlineStr">
        <is>
          <t>Ferrisariato</t>
        </is>
      </c>
      <c r="L333" s="8">
        <f>F333*G333</f>
        <v/>
      </c>
      <c r="M333" s="145" t="inlineStr">
        <is>
          <t>IE-D50-ACN-EMT-CNT-DN25</t>
        </is>
      </c>
      <c r="N333" s="18" t="inlineStr">
        <is>
          <t>Instalaciones eléctricas</t>
        </is>
      </c>
      <c r="O333" s="18" t="inlineStr">
        <is>
          <t>Estimado DION · criterio de mercado Guayaquil 2026 (no verificado en tienda)</t>
        </is>
      </c>
      <c r="P333" s="18" t="inlineStr">
        <is>
          <t>oct-2026 (est.)</t>
        </is>
      </c>
      <c r="Q333" s="18" t="n"/>
    </row>
    <row r="334">
      <c r="A334" s="23" t="n">
        <v>292</v>
      </c>
      <c r="B334" s="24" t="inlineStr">
        <is>
          <t xml:space="preserve">        Unión EMT 1" Tipo Tornillo</t>
        </is>
      </c>
      <c r="C334" s="25" t="inlineStr">
        <is>
          <t>Comercial / Industrial</t>
        </is>
      </c>
      <c r="D334" s="23" t="inlineStr">
        <is>
          <t>Uniones EMT</t>
        </is>
      </c>
      <c r="E334" s="23" t="inlineStr">
        <is>
          <t>U</t>
        </is>
      </c>
      <c r="F334" s="26" t="n">
        <v>20</v>
      </c>
      <c r="G334" s="27" t="n">
        <v>0.8</v>
      </c>
      <c r="H334" s="27" t="n">
        <v>0.83</v>
      </c>
      <c r="I334" s="23" t="inlineStr">
        <is>
          <t>Megametales</t>
        </is>
      </c>
      <c r="J334" s="27" t="n">
        <v>0.88</v>
      </c>
      <c r="K334" s="23" t="inlineStr">
        <is>
          <t>Kywi / Megakywi</t>
        </is>
      </c>
      <c r="L334" s="28">
        <f>F334*G334</f>
        <v/>
      </c>
      <c r="M334" s="146" t="inlineStr">
        <is>
          <t>IE-D50-ACN-EMT-UNI-DN25</t>
        </is>
      </c>
      <c r="N334" s="23" t="inlineStr">
        <is>
          <t>Instalaciones eléctricas</t>
        </is>
      </c>
      <c r="O334" s="23" t="inlineStr">
        <is>
          <t>Estimado DION · criterio de mercado Guayaquil 2026 (no verificado en tienda)</t>
        </is>
      </c>
      <c r="P334" s="23" t="inlineStr">
        <is>
          <t>oct-2026 (est.)</t>
        </is>
      </c>
      <c r="Q334" s="23" t="n"/>
    </row>
    <row r="335">
      <c r="A335" s="18" t="n">
        <v>293</v>
      </c>
      <c r="B335" s="19" t="inlineStr">
        <is>
          <t xml:space="preserve">        Codo EMT 90° 1¼"</t>
        </is>
      </c>
      <c r="C335" s="20" t="inlineStr">
        <is>
          <t>Comercial / Industrial</t>
        </is>
      </c>
      <c r="D335" s="18" t="inlineStr">
        <is>
          <t>Codos EMT</t>
        </is>
      </c>
      <c r="E335" s="18" t="inlineStr">
        <is>
          <t>U</t>
        </is>
      </c>
      <c r="F335" s="21" t="n">
        <v>2</v>
      </c>
      <c r="G335" s="22" t="n">
        <v>4.9</v>
      </c>
      <c r="H335" s="22" t="n">
        <v>5.1</v>
      </c>
      <c r="I335" s="18" t="inlineStr">
        <is>
          <t>Megametales</t>
        </is>
      </c>
      <c r="J335" s="22" t="n">
        <v>5.24</v>
      </c>
      <c r="K335" s="18" t="inlineStr">
        <is>
          <t>Ferrisariato</t>
        </is>
      </c>
      <c r="L335" s="8">
        <f>F335*G335</f>
        <v/>
      </c>
      <c r="M335" s="145" t="inlineStr">
        <is>
          <t>IE-D50-ACN-EMT-C90-DN32</t>
        </is>
      </c>
      <c r="N335" s="18" t="inlineStr">
        <is>
          <t>Instalaciones eléctricas</t>
        </is>
      </c>
      <c r="O335" s="18" t="inlineStr">
        <is>
          <t>Estimado DION · criterio de mercado Guayaquil 2026 (no verificado en tienda)</t>
        </is>
      </c>
      <c r="P335" s="18" t="inlineStr">
        <is>
          <t>oct-2026 (est.)</t>
        </is>
      </c>
      <c r="Q335" s="18" t="n"/>
    </row>
    <row r="336">
      <c r="A336" s="23" t="n">
        <v>294</v>
      </c>
      <c r="B336" s="24" t="inlineStr">
        <is>
          <t xml:space="preserve">        Conector EMT a Caja 1¼" con Contratuerca</t>
        </is>
      </c>
      <c r="C336" s="25" t="inlineStr">
        <is>
          <t>Comercial / Industrial</t>
        </is>
      </c>
      <c r="D336" s="23" t="inlineStr">
        <is>
          <t>Conectores EMT</t>
        </is>
      </c>
      <c r="E336" s="23" t="inlineStr">
        <is>
          <t>U</t>
        </is>
      </c>
      <c r="F336" s="26" t="n">
        <v>4</v>
      </c>
      <c r="G336" s="27" t="n">
        <v>1.25</v>
      </c>
      <c r="H336" s="27" t="n">
        <v>1.31</v>
      </c>
      <c r="I336" s="23" t="inlineStr">
        <is>
          <t>Megametales</t>
        </is>
      </c>
      <c r="J336" s="27" t="n">
        <v>1.34</v>
      </c>
      <c r="K336" s="23" t="inlineStr">
        <is>
          <t>Kywi / Megakywi</t>
        </is>
      </c>
      <c r="L336" s="28">
        <f>F336*G336</f>
        <v/>
      </c>
      <c r="M336" s="146" t="inlineStr">
        <is>
          <t>IE-D50-ACN-EMT-CNT-DN32</t>
        </is>
      </c>
      <c r="N336" s="23" t="inlineStr">
        <is>
          <t>Instalaciones eléctricas</t>
        </is>
      </c>
      <c r="O336" s="23" t="inlineStr">
        <is>
          <t>Estimado DION · criterio de mercado Guayaquil 2026 (no verificado en tienda)</t>
        </is>
      </c>
      <c r="P336" s="23" t="inlineStr">
        <is>
          <t>oct-2026 (est.)</t>
        </is>
      </c>
      <c r="Q336" s="23" t="n"/>
    </row>
    <row r="337">
      <c r="A337" s="18" t="n">
        <v>295</v>
      </c>
      <c r="B337" s="19" t="inlineStr">
        <is>
          <t xml:space="preserve">        Unión EMT 1¼" Tipo Tornillo</t>
        </is>
      </c>
      <c r="C337" s="20" t="inlineStr">
        <is>
          <t>Comercial / Industrial</t>
        </is>
      </c>
      <c r="D337" s="18" t="inlineStr">
        <is>
          <t>Uniones EMT</t>
        </is>
      </c>
      <c r="E337" s="18" t="inlineStr">
        <is>
          <t>U</t>
        </is>
      </c>
      <c r="F337" s="21" t="n">
        <v>4</v>
      </c>
      <c r="G337" s="22" t="n">
        <v>1.3</v>
      </c>
      <c r="H337" s="22" t="n">
        <v>1.33</v>
      </c>
      <c r="I337" s="18" t="inlineStr">
        <is>
          <t>Megametales</t>
        </is>
      </c>
      <c r="J337" s="22" t="n">
        <v>1.44</v>
      </c>
      <c r="K337" s="18" t="inlineStr">
        <is>
          <t>Ferrisariato</t>
        </is>
      </c>
      <c r="L337" s="8">
        <f>F337*G337</f>
        <v/>
      </c>
      <c r="M337" s="145" t="inlineStr">
        <is>
          <t>IE-D50-ACN-EMT-UNI-DN32</t>
        </is>
      </c>
      <c r="N337" s="18" t="inlineStr">
        <is>
          <t>Instalaciones eléctricas</t>
        </is>
      </c>
      <c r="O337" s="18" t="inlineStr">
        <is>
          <t>Estimado DION · criterio de mercado Guayaquil 2026 (no verificado en tienda)</t>
        </is>
      </c>
      <c r="P337" s="18" t="inlineStr">
        <is>
          <t>oct-2026 (est.)</t>
        </is>
      </c>
      <c r="Q337" s="18" t="n"/>
    </row>
    <row r="338">
      <c r="A338" s="23" t="n">
        <v>296</v>
      </c>
      <c r="B338" s="24" t="inlineStr">
        <is>
          <t xml:space="preserve">        Codo EMT 90° 1½"</t>
        </is>
      </c>
      <c r="C338" s="25" t="inlineStr">
        <is>
          <t>Comercial / Industrial</t>
        </is>
      </c>
      <c r="D338" s="23" t="inlineStr">
        <is>
          <t>Codos EMT</t>
        </is>
      </c>
      <c r="E338" s="23" t="inlineStr">
        <is>
          <t>U</t>
        </is>
      </c>
      <c r="F338" s="26" t="n">
        <v>2</v>
      </c>
      <c r="G338" s="27" t="n">
        <v>6.3</v>
      </c>
      <c r="H338" s="27" t="n">
        <v>6.49</v>
      </c>
      <c r="I338" s="23" t="inlineStr">
        <is>
          <t>Megametales</t>
        </is>
      </c>
      <c r="J338" s="27" t="n">
        <v>6.93</v>
      </c>
      <c r="K338" s="23" t="inlineStr">
        <is>
          <t>Kywi / Megakywi</t>
        </is>
      </c>
      <c r="L338" s="28">
        <f>F338*G338</f>
        <v/>
      </c>
      <c r="M338" s="146" t="inlineStr">
        <is>
          <t>IE-D50-ACN-EMT-C90-DN40</t>
        </is>
      </c>
      <c r="N338" s="23" t="inlineStr">
        <is>
          <t>Instalaciones eléctricas</t>
        </is>
      </c>
      <c r="O338" s="23" t="inlineStr">
        <is>
          <t>Estimado DION · criterio de mercado Guayaquil 2026 (no verificado en tienda)</t>
        </is>
      </c>
      <c r="P338" s="23" t="inlineStr">
        <is>
          <t>oct-2026 (est.)</t>
        </is>
      </c>
      <c r="Q338" s="23" t="n"/>
    </row>
    <row r="339">
      <c r="A339" s="18" t="n">
        <v>297</v>
      </c>
      <c r="B339" s="19" t="inlineStr">
        <is>
          <t xml:space="preserve">        Conector EMT a Caja 1½" con Contratuerca</t>
        </is>
      </c>
      <c r="C339" s="20" t="inlineStr">
        <is>
          <t>Comercial / Industrial</t>
        </is>
      </c>
      <c r="D339" s="18" t="inlineStr">
        <is>
          <t>Conectores EMT</t>
        </is>
      </c>
      <c r="E339" s="18" t="inlineStr">
        <is>
          <t>U</t>
        </is>
      </c>
      <c r="F339" s="21" t="n">
        <v>4</v>
      </c>
      <c r="G339" s="22" t="n">
        <v>1.6</v>
      </c>
      <c r="H339" s="22" t="n">
        <v>1.66</v>
      </c>
      <c r="I339" s="18" t="inlineStr">
        <is>
          <t>Megametales</t>
        </is>
      </c>
      <c r="J339" s="22" t="n">
        <v>1.73</v>
      </c>
      <c r="K339" s="18" t="inlineStr">
        <is>
          <t>Ferrisariato</t>
        </is>
      </c>
      <c r="L339" s="8">
        <f>F339*G339</f>
        <v/>
      </c>
      <c r="M339" s="145" t="inlineStr">
        <is>
          <t>IE-D50-ACN-EMT-CNT-DN40</t>
        </is>
      </c>
      <c r="N339" s="18" t="inlineStr">
        <is>
          <t>Instalaciones eléctricas</t>
        </is>
      </c>
      <c r="O339" s="18" t="inlineStr">
        <is>
          <t>Estimado DION · criterio de mercado Guayaquil 2026 (no verificado en tienda)</t>
        </is>
      </c>
      <c r="P339" s="18" t="inlineStr">
        <is>
          <t>oct-2026 (est.)</t>
        </is>
      </c>
      <c r="Q339" s="18" t="n"/>
    </row>
    <row r="340">
      <c r="A340" s="23" t="n">
        <v>298</v>
      </c>
      <c r="B340" s="24" t="inlineStr">
        <is>
          <t xml:space="preserve">        Unión EMT 1½" Tipo Tornillo</t>
        </is>
      </c>
      <c r="C340" s="25" t="inlineStr">
        <is>
          <t>Comercial / Industrial</t>
        </is>
      </c>
      <c r="D340" s="23" t="inlineStr">
        <is>
          <t>Uniones EMT</t>
        </is>
      </c>
      <c r="E340" s="23" t="inlineStr">
        <is>
          <t>U</t>
        </is>
      </c>
      <c r="F340" s="26" t="n">
        <v>4</v>
      </c>
      <c r="G340" s="27" t="n">
        <v>1.65</v>
      </c>
      <c r="H340" s="27" t="n">
        <v>1.72</v>
      </c>
      <c r="I340" s="23" t="inlineStr">
        <is>
          <t>Megametales</t>
        </is>
      </c>
      <c r="J340" s="27" t="n">
        <v>1.81</v>
      </c>
      <c r="K340" s="23" t="inlineStr">
        <is>
          <t>Kywi / Megakywi</t>
        </is>
      </c>
      <c r="L340" s="28">
        <f>F340*G340</f>
        <v/>
      </c>
      <c r="M340" s="146" t="inlineStr">
        <is>
          <t>IE-D50-ACN-EMT-UNI-DN40</t>
        </is>
      </c>
      <c r="N340" s="23" t="inlineStr">
        <is>
          <t>Instalaciones eléctricas</t>
        </is>
      </c>
      <c r="O340" s="23" t="inlineStr">
        <is>
          <t>Estimado DION · criterio de mercado Guayaquil 2026 (no verificado en tienda)</t>
        </is>
      </c>
      <c r="P340" s="23" t="inlineStr">
        <is>
          <t>oct-2026 (est.)</t>
        </is>
      </c>
      <c r="Q340" s="23" t="n"/>
    </row>
    <row r="341">
      <c r="A341" s="18" t="n">
        <v>299</v>
      </c>
      <c r="B341" s="19" t="inlineStr">
        <is>
          <t xml:space="preserve">        Codo EMT 90° 2"</t>
        </is>
      </c>
      <c r="C341" s="20" t="inlineStr">
        <is>
          <t>Comercial / Industrial</t>
        </is>
      </c>
      <c r="D341" s="18" t="inlineStr">
        <is>
          <t>Codos EMT</t>
        </is>
      </c>
      <c r="E341" s="18" t="inlineStr">
        <is>
          <t>U</t>
        </is>
      </c>
      <c r="F341" s="21" t="n">
        <v>2</v>
      </c>
      <c r="G341" s="22" t="n">
        <v>9.699999999999999</v>
      </c>
      <c r="H341" s="22" t="n">
        <v>10.19</v>
      </c>
      <c r="I341" s="18" t="inlineStr">
        <is>
          <t>Megametales</t>
        </is>
      </c>
      <c r="J341" s="22" t="n">
        <v>10.48</v>
      </c>
      <c r="K341" s="18" t="inlineStr">
        <is>
          <t>Ferrisariato</t>
        </is>
      </c>
      <c r="L341" s="8">
        <f>F341*G341</f>
        <v/>
      </c>
      <c r="M341" s="145" t="inlineStr">
        <is>
          <t>IE-D50-ACN-EMT-C90-DN50</t>
        </is>
      </c>
      <c r="N341" s="18" t="inlineStr">
        <is>
          <t>Instalaciones eléctricas</t>
        </is>
      </c>
      <c r="O341" s="18" t="inlineStr">
        <is>
          <t>Estimado DION · criterio de mercado Guayaquil 2026 (no verificado en tienda)</t>
        </is>
      </c>
      <c r="P341" s="18" t="inlineStr">
        <is>
          <t>oct-2026 (est.)</t>
        </is>
      </c>
      <c r="Q341" s="18" t="n"/>
    </row>
    <row r="342">
      <c r="A342" s="23" t="n">
        <v>300</v>
      </c>
      <c r="B342" s="24" t="inlineStr">
        <is>
          <t xml:space="preserve">        Conector EMT a Caja 2" con Contratuerca</t>
        </is>
      </c>
      <c r="C342" s="25" t="inlineStr">
        <is>
          <t>Comercial / Industrial</t>
        </is>
      </c>
      <c r="D342" s="23" t="inlineStr">
        <is>
          <t>Conectores EMT</t>
        </is>
      </c>
      <c r="E342" s="23" t="inlineStr">
        <is>
          <t>U</t>
        </is>
      </c>
      <c r="F342" s="26" t="n">
        <v>4</v>
      </c>
      <c r="G342" s="27" t="n">
        <v>2.2</v>
      </c>
      <c r="H342" s="27" t="n">
        <v>2.31</v>
      </c>
      <c r="I342" s="23" t="inlineStr">
        <is>
          <t>Megametales</t>
        </is>
      </c>
      <c r="J342" s="27" t="n">
        <v>2.35</v>
      </c>
      <c r="K342" s="23" t="inlineStr">
        <is>
          <t>Kywi / Megakywi</t>
        </is>
      </c>
      <c r="L342" s="28">
        <f>F342*G342</f>
        <v/>
      </c>
      <c r="M342" s="146" t="inlineStr">
        <is>
          <t>IE-D50-ACN-EMT-CNT-DN50</t>
        </is>
      </c>
      <c r="N342" s="23" t="inlineStr">
        <is>
          <t>Instalaciones eléctricas</t>
        </is>
      </c>
      <c r="O342" s="23" t="inlineStr">
        <is>
          <t>Estimado DION · criterio de mercado Guayaquil 2026 (no verificado en tienda)</t>
        </is>
      </c>
      <c r="P342" s="23" t="inlineStr">
        <is>
          <t>oct-2026 (est.)</t>
        </is>
      </c>
      <c r="Q342" s="23" t="n"/>
    </row>
    <row r="343">
      <c r="A343" s="18" t="n">
        <v>301</v>
      </c>
      <c r="B343" s="19" t="inlineStr">
        <is>
          <t xml:space="preserve">        Unión EMT 2" Tipo Tornillo</t>
        </is>
      </c>
      <c r="C343" s="20" t="inlineStr">
        <is>
          <t>Comercial / Industrial</t>
        </is>
      </c>
      <c r="D343" s="18" t="inlineStr">
        <is>
          <t>Uniones EMT</t>
        </is>
      </c>
      <c r="E343" s="18" t="inlineStr">
        <is>
          <t>U</t>
        </is>
      </c>
      <c r="F343" s="21" t="n">
        <v>4</v>
      </c>
      <c r="G343" s="22" t="n">
        <v>2.3</v>
      </c>
      <c r="H343" s="22" t="n">
        <v>2.35</v>
      </c>
      <c r="I343" s="18" t="inlineStr">
        <is>
          <t>Megametales</t>
        </is>
      </c>
      <c r="J343" s="22" t="n">
        <v>2.53</v>
      </c>
      <c r="K343" s="18" t="inlineStr">
        <is>
          <t>Ferrisariato</t>
        </is>
      </c>
      <c r="L343" s="8">
        <f>F343*G343</f>
        <v/>
      </c>
      <c r="M343" s="145" t="inlineStr">
        <is>
          <t>IE-D50-ACN-EMT-UNI-DN50</t>
        </is>
      </c>
      <c r="N343" s="18" t="inlineStr">
        <is>
          <t>Instalaciones eléctricas</t>
        </is>
      </c>
      <c r="O343" s="18" t="inlineStr">
        <is>
          <t>Estimado DION · criterio de mercado Guayaquil 2026 (no verificado en tienda)</t>
        </is>
      </c>
      <c r="P343" s="18" t="inlineStr">
        <is>
          <t>oct-2026 (est.)</t>
        </is>
      </c>
      <c r="Q343" s="18" t="n"/>
    </row>
    <row r="344">
      <c r="A344" s="23" t="n">
        <v>302</v>
      </c>
      <c r="B344" s="24" t="inlineStr">
        <is>
          <t xml:space="preserve">        Codo EMT 90° 3"</t>
        </is>
      </c>
      <c r="C344" s="25" t="inlineStr">
        <is>
          <t>Comercial / Industrial</t>
        </is>
      </c>
      <c r="D344" s="23" t="inlineStr">
        <is>
          <t>Codos EMT</t>
        </is>
      </c>
      <c r="E344" s="23" t="inlineStr">
        <is>
          <t>U</t>
        </is>
      </c>
      <c r="F344" s="26" t="n">
        <v>2</v>
      </c>
      <c r="G344" s="27" t="n">
        <v>29</v>
      </c>
      <c r="H344" s="27" t="n">
        <v>29.87</v>
      </c>
      <c r="I344" s="23" t="inlineStr">
        <is>
          <t>Megametales</t>
        </is>
      </c>
      <c r="J344" s="27" t="n">
        <v>32.19</v>
      </c>
      <c r="K344" s="23" t="inlineStr">
        <is>
          <t>Kywi / Megakywi</t>
        </is>
      </c>
      <c r="L344" s="28">
        <f>F344*G344</f>
        <v/>
      </c>
      <c r="M344" s="146" t="inlineStr">
        <is>
          <t>IE-D50-ACN-EMT-C90-DN80</t>
        </is>
      </c>
      <c r="N344" s="23" t="inlineStr">
        <is>
          <t>Instalaciones eléctricas</t>
        </is>
      </c>
      <c r="O344" s="23" t="inlineStr">
        <is>
          <t>Estimado DION · criterio de mercado Guayaquil 2026 (no verificado en tienda)</t>
        </is>
      </c>
      <c r="P344" s="23" t="inlineStr">
        <is>
          <t>oct-2026 (est.)</t>
        </is>
      </c>
      <c r="Q344" s="23" t="n"/>
    </row>
    <row r="345">
      <c r="A345" s="18" t="n">
        <v>303</v>
      </c>
      <c r="B345" s="19" t="inlineStr">
        <is>
          <t xml:space="preserve">        Conector EMT a Caja 3" con Contratuerca</t>
        </is>
      </c>
      <c r="C345" s="20" t="inlineStr">
        <is>
          <t>Comercial / Industrial</t>
        </is>
      </c>
      <c r="D345" s="18" t="inlineStr">
        <is>
          <t>Conectores EMT</t>
        </is>
      </c>
      <c r="E345" s="18" t="inlineStr">
        <is>
          <t>U</t>
        </is>
      </c>
      <c r="F345" s="21" t="n">
        <v>4</v>
      </c>
      <c r="G345" s="22" t="n">
        <v>6.8</v>
      </c>
      <c r="H345" s="22" t="n">
        <v>6.94</v>
      </c>
      <c r="I345" s="18" t="inlineStr">
        <is>
          <t>Megametales</t>
        </is>
      </c>
      <c r="J345" s="22" t="n">
        <v>7.34</v>
      </c>
      <c r="K345" s="18" t="inlineStr">
        <is>
          <t>Ferrisariato</t>
        </is>
      </c>
      <c r="L345" s="8">
        <f>F345*G345</f>
        <v/>
      </c>
      <c r="M345" s="145" t="inlineStr">
        <is>
          <t>IE-D50-ACN-EMT-CNT-DN80</t>
        </is>
      </c>
      <c r="N345" s="18" t="inlineStr">
        <is>
          <t>Instalaciones eléctricas</t>
        </is>
      </c>
      <c r="O345" s="18" t="inlineStr">
        <is>
          <t>Estimado DION · criterio de mercado Guayaquil 2026 (no verificado en tienda)</t>
        </is>
      </c>
      <c r="P345" s="18" t="inlineStr">
        <is>
          <t>oct-2026 (est.)</t>
        </is>
      </c>
      <c r="Q345" s="18" t="n"/>
    </row>
    <row r="346">
      <c r="A346" s="23" t="n">
        <v>304</v>
      </c>
      <c r="B346" s="24" t="inlineStr">
        <is>
          <t xml:space="preserve">        Unión EMT 3" Tipo Tornillo</t>
        </is>
      </c>
      <c r="C346" s="25" t="inlineStr">
        <is>
          <t>Comercial / Industrial</t>
        </is>
      </c>
      <c r="D346" s="23" t="inlineStr">
        <is>
          <t>Uniones EMT</t>
        </is>
      </c>
      <c r="E346" s="23" t="inlineStr">
        <is>
          <t>U</t>
        </is>
      </c>
      <c r="F346" s="26" t="n">
        <v>4</v>
      </c>
      <c r="G346" s="27" t="n">
        <v>7.2</v>
      </c>
      <c r="H346" s="27" t="n">
        <v>7.49</v>
      </c>
      <c r="I346" s="23" t="inlineStr">
        <is>
          <t>Megametales</t>
        </is>
      </c>
      <c r="J346" s="27" t="n">
        <v>7.78</v>
      </c>
      <c r="K346" s="23" t="inlineStr">
        <is>
          <t>Kywi / Megakywi</t>
        </is>
      </c>
      <c r="L346" s="28">
        <f>F346*G346</f>
        <v/>
      </c>
      <c r="M346" s="146" t="inlineStr">
        <is>
          <t>IE-D50-ACN-EMT-UNI-DN80</t>
        </is>
      </c>
      <c r="N346" s="23" t="inlineStr">
        <is>
          <t>Instalaciones eléctricas</t>
        </is>
      </c>
      <c r="O346" s="23" t="inlineStr">
        <is>
          <t>Estimado DION · criterio de mercado Guayaquil 2026 (no verificado en tienda)</t>
        </is>
      </c>
      <c r="P346" s="23" t="inlineStr">
        <is>
          <t>oct-2026 (est.)</t>
        </is>
      </c>
      <c r="Q346" s="23" t="n"/>
    </row>
    <row r="347">
      <c r="A347" s="18" t="n">
        <v>305</v>
      </c>
      <c r="B347" s="19" t="inlineStr">
        <is>
          <t xml:space="preserve">        Codo EMT 90° 4"</t>
        </is>
      </c>
      <c r="C347" s="20" t="inlineStr">
        <is>
          <t>Comercial / Industrial</t>
        </is>
      </c>
      <c r="D347" s="18" t="inlineStr">
        <is>
          <t>Codos EMT</t>
        </is>
      </c>
      <c r="E347" s="18" t="inlineStr">
        <is>
          <t>U</t>
        </is>
      </c>
      <c r="F347" s="21" t="n">
        <v>2</v>
      </c>
      <c r="G347" s="22" t="n">
        <v>44</v>
      </c>
      <c r="H347" s="22" t="n">
        <v>45.76</v>
      </c>
      <c r="I347" s="18" t="inlineStr">
        <is>
          <t>Megametales</t>
        </is>
      </c>
      <c r="J347" s="22" t="n">
        <v>47.08</v>
      </c>
      <c r="K347" s="18" t="inlineStr">
        <is>
          <t>Ferrisariato</t>
        </is>
      </c>
      <c r="L347" s="8">
        <f>F347*G347</f>
        <v/>
      </c>
      <c r="M347" s="145" t="inlineStr">
        <is>
          <t>IE-D50-ACN-EMT-C90-DN100</t>
        </is>
      </c>
      <c r="N347" s="18" t="inlineStr">
        <is>
          <t>Instalaciones eléctricas</t>
        </is>
      </c>
      <c r="O347" s="18" t="inlineStr">
        <is>
          <t>Estimado DION · criterio de mercado Guayaquil 2026 (no verificado en tienda)</t>
        </is>
      </c>
      <c r="P347" s="18" t="inlineStr">
        <is>
          <t>oct-2026 (est.)</t>
        </is>
      </c>
      <c r="Q347" s="18" t="n"/>
    </row>
    <row r="348">
      <c r="A348" s="23" t="n">
        <v>306</v>
      </c>
      <c r="B348" s="24" t="inlineStr">
        <is>
          <t xml:space="preserve">        Conector EMT a Caja 4" con Contratuerca</t>
        </is>
      </c>
      <c r="C348" s="25" t="inlineStr">
        <is>
          <t>Comercial / Industrial</t>
        </is>
      </c>
      <c r="D348" s="23" t="inlineStr">
        <is>
          <t>Conectores EMT</t>
        </is>
      </c>
      <c r="E348" s="23" t="inlineStr">
        <is>
          <t>U</t>
        </is>
      </c>
      <c r="F348" s="26" t="n">
        <v>4</v>
      </c>
      <c r="G348" s="27" t="n">
        <v>9.5</v>
      </c>
      <c r="H348" s="27" t="n">
        <v>9.970000000000001</v>
      </c>
      <c r="I348" s="23" t="inlineStr">
        <is>
          <t>Megametales</t>
        </is>
      </c>
      <c r="J348" s="27" t="n">
        <v>10.26</v>
      </c>
      <c r="K348" s="23" t="inlineStr">
        <is>
          <t>Kywi / Megakywi</t>
        </is>
      </c>
      <c r="L348" s="28">
        <f>F348*G348</f>
        <v/>
      </c>
      <c r="M348" s="146" t="inlineStr">
        <is>
          <t>IE-D50-ACN-EMT-CNT-DN100</t>
        </is>
      </c>
      <c r="N348" s="23" t="inlineStr">
        <is>
          <t>Instalaciones eléctricas</t>
        </is>
      </c>
      <c r="O348" s="23" t="inlineStr">
        <is>
          <t>Estimado DION · criterio de mercado Guayaquil 2026 (no verificado en tienda)</t>
        </is>
      </c>
      <c r="P348" s="23" t="inlineStr">
        <is>
          <t>oct-2026 (est.)</t>
        </is>
      </c>
      <c r="Q348" s="23" t="n"/>
    </row>
    <row r="349">
      <c r="A349" s="18" t="n">
        <v>307</v>
      </c>
      <c r="B349" s="19" t="inlineStr">
        <is>
          <t xml:space="preserve">        Unión EMT 4" Tipo Tornillo</t>
        </is>
      </c>
      <c r="C349" s="20" t="inlineStr">
        <is>
          <t>Comercial / Industrial</t>
        </is>
      </c>
      <c r="D349" s="18" t="inlineStr">
        <is>
          <t>Uniones EMT</t>
        </is>
      </c>
      <c r="E349" s="18" t="inlineStr">
        <is>
          <t>U</t>
        </is>
      </c>
      <c r="F349" s="21" t="n">
        <v>4</v>
      </c>
      <c r="G349" s="22" t="n">
        <v>9.9</v>
      </c>
      <c r="H349" s="22" t="n">
        <v>10.4</v>
      </c>
      <c r="I349" s="18" t="inlineStr">
        <is>
          <t>Megametales</t>
        </is>
      </c>
      <c r="J349" s="22" t="n">
        <v>10.99</v>
      </c>
      <c r="K349" s="18" t="inlineStr">
        <is>
          <t>Ferrisariato</t>
        </is>
      </c>
      <c r="L349" s="8">
        <f>F349*G349</f>
        <v/>
      </c>
      <c r="M349" s="145" t="inlineStr">
        <is>
          <t>IE-D50-ACN-EMT-UNI-DN100</t>
        </is>
      </c>
      <c r="N349" s="18" t="inlineStr">
        <is>
          <t>Instalaciones eléctricas</t>
        </is>
      </c>
      <c r="O349" s="18" t="inlineStr">
        <is>
          <t>Estimado DION · criterio de mercado Guayaquil 2026 (no verificado en tienda)</t>
        </is>
      </c>
      <c r="P349" s="18" t="inlineStr">
        <is>
          <t>oct-2026 (est.)</t>
        </is>
      </c>
      <c r="Q349" s="18" t="n"/>
    </row>
    <row r="350">
      <c r="A350" s="23" t="n">
        <v>308</v>
      </c>
      <c r="B350" s="24" t="inlineStr">
        <is>
          <t xml:space="preserve">        Codo PVC Conduit 90° ½"</t>
        </is>
      </c>
      <c r="C350" s="25" t="inlineStr">
        <is>
          <t>Residencial / Comercial</t>
        </is>
      </c>
      <c r="D350" s="23" t="inlineStr">
        <is>
          <t>Codos PVC</t>
        </is>
      </c>
      <c r="E350" s="23" t="inlineStr">
        <is>
          <t>U</t>
        </is>
      </c>
      <c r="F350" s="26" t="n">
        <v>10</v>
      </c>
      <c r="G350" s="27" t="n">
        <v>0.32</v>
      </c>
      <c r="H350" s="27" t="n">
        <v>0.33</v>
      </c>
      <c r="I350" s="23" t="inlineStr">
        <is>
          <t>Megametales</t>
        </is>
      </c>
      <c r="J350" s="27" t="n">
        <v>0.36</v>
      </c>
      <c r="K350" s="23" t="inlineStr">
        <is>
          <t>Kywi / Megakywi</t>
        </is>
      </c>
      <c r="L350" s="28">
        <f>F350*G350</f>
        <v/>
      </c>
      <c r="M350" s="146" t="inlineStr">
        <is>
          <t>IE-D50-ACN-PVC-C90-DN15</t>
        </is>
      </c>
      <c r="N350" s="23" t="inlineStr">
        <is>
          <t>Instalaciones eléctricas</t>
        </is>
      </c>
      <c r="O350" s="23" t="inlineStr">
        <is>
          <t>Estimado DION · criterio de mercado Guayaquil 2026 (no verificado en tienda)</t>
        </is>
      </c>
      <c r="P350" s="23" t="inlineStr">
        <is>
          <t>oct-2026 (est.)</t>
        </is>
      </c>
      <c r="Q350" s="23" t="n"/>
    </row>
    <row r="351">
      <c r="A351" s="18" t="n">
        <v>309</v>
      </c>
      <c r="B351" s="19" t="inlineStr">
        <is>
          <t xml:space="preserve">        Adaptador / Conector PVC Conduit a Caja ½"</t>
        </is>
      </c>
      <c r="C351" s="20" t="inlineStr">
        <is>
          <t>Residencial / Comercial</t>
        </is>
      </c>
      <c r="D351" s="18" t="inlineStr">
        <is>
          <t>Conectores PVC</t>
        </is>
      </c>
      <c r="E351" s="18" t="inlineStr">
        <is>
          <t>U</t>
        </is>
      </c>
      <c r="F351" s="21" t="n">
        <v>20</v>
      </c>
      <c r="G351" s="22" t="n">
        <v>0.18</v>
      </c>
      <c r="H351" s="22" t="n">
        <v>0.19</v>
      </c>
      <c r="I351" s="18" t="inlineStr">
        <is>
          <t>Megametales</t>
        </is>
      </c>
      <c r="J351" s="22" t="n">
        <v>0.19</v>
      </c>
      <c r="K351" s="18" t="inlineStr">
        <is>
          <t>Ferrisariato</t>
        </is>
      </c>
      <c r="L351" s="8">
        <f>F351*G351</f>
        <v/>
      </c>
      <c r="M351" s="145" t="inlineStr">
        <is>
          <t>IE-D50-ACN-PVC-CNT-DN15</t>
        </is>
      </c>
      <c r="N351" s="18" t="inlineStr">
        <is>
          <t>Instalaciones eléctricas</t>
        </is>
      </c>
      <c r="O351" s="18" t="inlineStr">
        <is>
          <t>Estimado DION · criterio de mercado Guayaquil 2026 (no verificado en tienda)</t>
        </is>
      </c>
      <c r="P351" s="18" t="inlineStr">
        <is>
          <t>oct-2026 (est.)</t>
        </is>
      </c>
      <c r="Q351" s="18" t="n"/>
    </row>
    <row r="352">
      <c r="A352" s="23" t="n">
        <v>310</v>
      </c>
      <c r="B352" s="24" t="inlineStr">
        <is>
          <t xml:space="preserve">        Codo PVC Conduit 90° ¾"</t>
        </is>
      </c>
      <c r="C352" s="25" t="inlineStr">
        <is>
          <t>Residencial / Comercial</t>
        </is>
      </c>
      <c r="D352" s="23" t="inlineStr">
        <is>
          <t>Codos PVC</t>
        </is>
      </c>
      <c r="E352" s="23" t="inlineStr">
        <is>
          <t>U</t>
        </is>
      </c>
      <c r="F352" s="26" t="n">
        <v>10</v>
      </c>
      <c r="G352" s="27" t="n">
        <v>0.45</v>
      </c>
      <c r="H352" s="27" t="n">
        <v>0.46</v>
      </c>
      <c r="I352" s="23" t="inlineStr">
        <is>
          <t>Megametales</t>
        </is>
      </c>
      <c r="J352" s="27" t="n">
        <v>0.48</v>
      </c>
      <c r="K352" s="23" t="inlineStr">
        <is>
          <t>Kywi / Megakywi</t>
        </is>
      </c>
      <c r="L352" s="28">
        <f>F352*G352</f>
        <v/>
      </c>
      <c r="M352" s="146" t="inlineStr">
        <is>
          <t>IE-D50-ACN-PVC-C90-DN20</t>
        </is>
      </c>
      <c r="N352" s="23" t="inlineStr">
        <is>
          <t>Instalaciones eléctricas</t>
        </is>
      </c>
      <c r="O352" s="23" t="inlineStr">
        <is>
          <t>Estimado DION · criterio de mercado Guayaquil 2026 (no verificado en tienda)</t>
        </is>
      </c>
      <c r="P352" s="23" t="inlineStr">
        <is>
          <t>oct-2026 (est.)</t>
        </is>
      </c>
      <c r="Q352" s="23" t="n"/>
    </row>
    <row r="353">
      <c r="A353" s="18" t="n">
        <v>311</v>
      </c>
      <c r="B353" s="19" t="inlineStr">
        <is>
          <t xml:space="preserve">        Adaptador / Conector PVC Conduit a Caja ¾"</t>
        </is>
      </c>
      <c r="C353" s="20" t="inlineStr">
        <is>
          <t>Residencial / Comercial</t>
        </is>
      </c>
      <c r="D353" s="18" t="inlineStr">
        <is>
          <t>Conectores PVC</t>
        </is>
      </c>
      <c r="E353" s="18" t="inlineStr">
        <is>
          <t>U</t>
        </is>
      </c>
      <c r="F353" s="21" t="n">
        <v>20</v>
      </c>
      <c r="G353" s="22" t="n">
        <v>0.25</v>
      </c>
      <c r="H353" s="22" t="n">
        <v>0.26</v>
      </c>
      <c r="I353" s="18" t="inlineStr">
        <is>
          <t>Megametales</t>
        </is>
      </c>
      <c r="J353" s="22" t="n">
        <v>0.27</v>
      </c>
      <c r="K353" s="18" t="inlineStr">
        <is>
          <t>Ferrisariato</t>
        </is>
      </c>
      <c r="L353" s="8">
        <f>F353*G353</f>
        <v/>
      </c>
      <c r="M353" s="145" t="inlineStr">
        <is>
          <t>IE-D50-ACN-PVC-CNT-DN20</t>
        </is>
      </c>
      <c r="N353" s="18" t="inlineStr">
        <is>
          <t>Instalaciones eléctricas</t>
        </is>
      </c>
      <c r="O353" s="18" t="inlineStr">
        <is>
          <t>Estimado DION · criterio de mercado Guayaquil 2026 (no verificado en tienda)</t>
        </is>
      </c>
      <c r="P353" s="18" t="inlineStr">
        <is>
          <t>oct-2026 (est.)</t>
        </is>
      </c>
      <c r="Q353" s="18" t="n"/>
    </row>
    <row r="354">
      <c r="A354" s="23" t="n">
        <v>312</v>
      </c>
      <c r="B354" s="24" t="inlineStr">
        <is>
          <t xml:space="preserve">        Codo PVC Conduit 90° 1"</t>
        </is>
      </c>
      <c r="C354" s="25" t="inlineStr">
        <is>
          <t>Residencial / Comercial</t>
        </is>
      </c>
      <c r="D354" s="23" t="inlineStr">
        <is>
          <t>Codos PVC</t>
        </is>
      </c>
      <c r="E354" s="23" t="inlineStr">
        <is>
          <t>U</t>
        </is>
      </c>
      <c r="F354" s="26" t="n">
        <v>10</v>
      </c>
      <c r="G354" s="27" t="n">
        <v>0.75</v>
      </c>
      <c r="H354" s="27" t="n">
        <v>0.77</v>
      </c>
      <c r="I354" s="23" t="inlineStr">
        <is>
          <t>Megametales</t>
        </is>
      </c>
      <c r="J354" s="27" t="n">
        <v>0.82</v>
      </c>
      <c r="K354" s="23" t="inlineStr">
        <is>
          <t>Kywi / Megakywi</t>
        </is>
      </c>
      <c r="L354" s="28">
        <f>F354*G354</f>
        <v/>
      </c>
      <c r="M354" s="146" t="inlineStr">
        <is>
          <t>IE-D50-ACN-PVC-C90-DN25</t>
        </is>
      </c>
      <c r="N354" s="23" t="inlineStr">
        <is>
          <t>Instalaciones eléctricas</t>
        </is>
      </c>
      <c r="O354" s="23" t="inlineStr">
        <is>
          <t>Estimado DION · criterio de mercado Guayaquil 2026 (no verificado en tienda)</t>
        </is>
      </c>
      <c r="P354" s="23" t="inlineStr">
        <is>
          <t>oct-2026 (est.)</t>
        </is>
      </c>
      <c r="Q354" s="23" t="n"/>
    </row>
    <row r="355">
      <c r="A355" s="18" t="n">
        <v>313</v>
      </c>
      <c r="B355" s="19" t="inlineStr">
        <is>
          <t xml:space="preserve">        Adaptador / Conector PVC Conduit a Caja 1"</t>
        </is>
      </c>
      <c r="C355" s="20" t="inlineStr">
        <is>
          <t>Residencial / Comercial</t>
        </is>
      </c>
      <c r="D355" s="18" t="inlineStr">
        <is>
          <t>Conectores PVC</t>
        </is>
      </c>
      <c r="E355" s="18" t="inlineStr">
        <is>
          <t>U</t>
        </is>
      </c>
      <c r="F355" s="21" t="n">
        <v>20</v>
      </c>
      <c r="G355" s="22" t="n">
        <v>0.38</v>
      </c>
      <c r="H355" s="22" t="n">
        <v>0.39</v>
      </c>
      <c r="I355" s="18" t="inlineStr">
        <is>
          <t>Megametales</t>
        </is>
      </c>
      <c r="J355" s="22" t="n">
        <v>0.41</v>
      </c>
      <c r="K355" s="18" t="inlineStr">
        <is>
          <t>Ferrisariato</t>
        </is>
      </c>
      <c r="L355" s="8">
        <f>F355*G355</f>
        <v/>
      </c>
      <c r="M355" s="145" t="inlineStr">
        <is>
          <t>IE-D50-ACN-PVC-CNT-DN25</t>
        </is>
      </c>
      <c r="N355" s="18" t="inlineStr">
        <is>
          <t>Instalaciones eléctricas</t>
        </is>
      </c>
      <c r="O355" s="18" t="inlineStr">
        <is>
          <t>Estimado DION · criterio de mercado Guayaquil 2026 (no verificado en tienda)</t>
        </is>
      </c>
      <c r="P355" s="18" t="inlineStr">
        <is>
          <t>oct-2026 (est.)</t>
        </is>
      </c>
      <c r="Q355" s="18" t="n"/>
    </row>
    <row r="356">
      <c r="A356" s="23" t="n">
        <v>314</v>
      </c>
      <c r="B356" s="24" t="inlineStr">
        <is>
          <t xml:space="preserve">        Codo PVC Conduit 90° 1¼"</t>
        </is>
      </c>
      <c r="C356" s="25" t="inlineStr">
        <is>
          <t>Residencial / Comercial</t>
        </is>
      </c>
      <c r="D356" s="23" t="inlineStr">
        <is>
          <t>Codos PVC</t>
        </is>
      </c>
      <c r="E356" s="23" t="inlineStr">
        <is>
          <t>U</t>
        </is>
      </c>
      <c r="F356" s="26" t="n">
        <v>2</v>
      </c>
      <c r="G356" s="27" t="n">
        <v>1.2</v>
      </c>
      <c r="H356" s="27" t="n">
        <v>1.24</v>
      </c>
      <c r="I356" s="23" t="inlineStr">
        <is>
          <t>Megametales</t>
        </is>
      </c>
      <c r="J356" s="27" t="n">
        <v>1.32</v>
      </c>
      <c r="K356" s="23" t="inlineStr">
        <is>
          <t>Kywi / Megakywi</t>
        </is>
      </c>
      <c r="L356" s="28">
        <f>F356*G356</f>
        <v/>
      </c>
      <c r="M356" s="146" t="inlineStr">
        <is>
          <t>IE-D50-ACN-PVC-C90-DN32</t>
        </is>
      </c>
      <c r="N356" s="23" t="inlineStr">
        <is>
          <t>Instalaciones eléctricas</t>
        </is>
      </c>
      <c r="O356" s="23" t="inlineStr">
        <is>
          <t>Estimado DION · criterio de mercado Guayaquil 2026 (no verificado en tienda)</t>
        </is>
      </c>
      <c r="P356" s="23" t="inlineStr">
        <is>
          <t>oct-2026 (est.)</t>
        </is>
      </c>
      <c r="Q356" s="23" t="n"/>
    </row>
    <row r="357">
      <c r="A357" s="18" t="n">
        <v>315</v>
      </c>
      <c r="B357" s="19" t="inlineStr">
        <is>
          <t xml:space="preserve">        Adaptador / Conector PVC Conduit a Caja 1¼"</t>
        </is>
      </c>
      <c r="C357" s="20" t="inlineStr">
        <is>
          <t>Residencial / Comercial</t>
        </is>
      </c>
      <c r="D357" s="18" t="inlineStr">
        <is>
          <t>Conectores PVC</t>
        </is>
      </c>
      <c r="E357" s="18" t="inlineStr">
        <is>
          <t>U</t>
        </is>
      </c>
      <c r="F357" s="21" t="n">
        <v>4</v>
      </c>
      <c r="G357" s="22" t="n">
        <v>0.6</v>
      </c>
      <c r="H357" s="22" t="n">
        <v>0.62</v>
      </c>
      <c r="I357" s="18" t="inlineStr">
        <is>
          <t>Megametales</t>
        </is>
      </c>
      <c r="J357" s="22" t="n">
        <v>0.66</v>
      </c>
      <c r="K357" s="18" t="inlineStr">
        <is>
          <t>Ferrisariato</t>
        </is>
      </c>
      <c r="L357" s="8">
        <f>F357*G357</f>
        <v/>
      </c>
      <c r="M357" s="145" t="inlineStr">
        <is>
          <t>IE-D50-ACN-PVC-CNT-DN32</t>
        </is>
      </c>
      <c r="N357" s="18" t="inlineStr">
        <is>
          <t>Instalaciones eléctricas</t>
        </is>
      </c>
      <c r="O357" s="18" t="inlineStr">
        <is>
          <t>Estimado DION · criterio de mercado Guayaquil 2026 (no verificado en tienda)</t>
        </is>
      </c>
      <c r="P357" s="18" t="inlineStr">
        <is>
          <t>oct-2026 (est.)</t>
        </is>
      </c>
      <c r="Q357" s="18" t="n"/>
    </row>
    <row r="358">
      <c r="A358" s="23" t="n">
        <v>316</v>
      </c>
      <c r="B358" s="24" t="inlineStr">
        <is>
          <t xml:space="preserve">        Codo PVC Conduit 90° 1½"</t>
        </is>
      </c>
      <c r="C358" s="25" t="inlineStr">
        <is>
          <t>Residencial / Comercial</t>
        </is>
      </c>
      <c r="D358" s="23" t="inlineStr">
        <is>
          <t>Codos PVC</t>
        </is>
      </c>
      <c r="E358" s="23" t="inlineStr">
        <is>
          <t>U</t>
        </is>
      </c>
      <c r="F358" s="26" t="n">
        <v>2</v>
      </c>
      <c r="G358" s="27" t="n">
        <v>1.6</v>
      </c>
      <c r="H358" s="27" t="n">
        <v>1.65</v>
      </c>
      <c r="I358" s="23" t="inlineStr">
        <is>
          <t>Megametales</t>
        </is>
      </c>
      <c r="J358" s="27" t="n">
        <v>1.73</v>
      </c>
      <c r="K358" s="23" t="inlineStr">
        <is>
          <t>Kywi / Megakywi</t>
        </is>
      </c>
      <c r="L358" s="28">
        <f>F358*G358</f>
        <v/>
      </c>
      <c r="M358" s="146" t="inlineStr">
        <is>
          <t>IE-D50-ACN-PVC-C90-DN40</t>
        </is>
      </c>
      <c r="N358" s="23" t="inlineStr">
        <is>
          <t>Instalaciones eléctricas</t>
        </is>
      </c>
      <c r="O358" s="23" t="inlineStr">
        <is>
          <t>Estimado DION · criterio de mercado Guayaquil 2026 (no verificado en tienda)</t>
        </is>
      </c>
      <c r="P358" s="23" t="inlineStr">
        <is>
          <t>oct-2026 (est.)</t>
        </is>
      </c>
      <c r="Q358" s="23" t="n"/>
    </row>
    <row r="359">
      <c r="A359" s="18" t="n">
        <v>317</v>
      </c>
      <c r="B359" s="19" t="inlineStr">
        <is>
          <t xml:space="preserve">        Adaptador / Conector PVC Conduit a Caja 1½"</t>
        </is>
      </c>
      <c r="C359" s="20" t="inlineStr">
        <is>
          <t>Residencial / Comercial</t>
        </is>
      </c>
      <c r="D359" s="18" t="inlineStr">
        <is>
          <t>Conectores PVC</t>
        </is>
      </c>
      <c r="E359" s="18" t="inlineStr">
        <is>
          <t>U</t>
        </is>
      </c>
      <c r="F359" s="21" t="n">
        <v>4</v>
      </c>
      <c r="G359" s="22" t="n">
        <v>0.8</v>
      </c>
      <c r="H359" s="22" t="n">
        <v>0.82</v>
      </c>
      <c r="I359" s="18" t="inlineStr">
        <is>
          <t>Megametales</t>
        </is>
      </c>
      <c r="J359" s="22" t="n">
        <v>0.86</v>
      </c>
      <c r="K359" s="18" t="inlineStr">
        <is>
          <t>Ferrisariato</t>
        </is>
      </c>
      <c r="L359" s="8">
        <f>F359*G359</f>
        <v/>
      </c>
      <c r="M359" s="145" t="inlineStr">
        <is>
          <t>IE-D50-ACN-PVC-CNT-DN40</t>
        </is>
      </c>
      <c r="N359" s="18" t="inlineStr">
        <is>
          <t>Instalaciones eléctricas</t>
        </is>
      </c>
      <c r="O359" s="18" t="inlineStr">
        <is>
          <t>Estimado DION · criterio de mercado Guayaquil 2026 (no verificado en tienda)</t>
        </is>
      </c>
      <c r="P359" s="18" t="inlineStr">
        <is>
          <t>oct-2026 (est.)</t>
        </is>
      </c>
      <c r="Q359" s="18" t="n"/>
    </row>
    <row r="360">
      <c r="A360" s="23" t="n">
        <v>318</v>
      </c>
      <c r="B360" s="24" t="inlineStr">
        <is>
          <t xml:space="preserve">        Codo PVC Conduit 90° 2"</t>
        </is>
      </c>
      <c r="C360" s="25" t="inlineStr">
        <is>
          <t>Residencial / Comercial</t>
        </is>
      </c>
      <c r="D360" s="23" t="inlineStr">
        <is>
          <t>Codos PVC</t>
        </is>
      </c>
      <c r="E360" s="23" t="inlineStr">
        <is>
          <t>U</t>
        </is>
      </c>
      <c r="F360" s="26" t="n">
        <v>2</v>
      </c>
      <c r="G360" s="27" t="n">
        <v>2.6</v>
      </c>
      <c r="H360" s="27" t="n">
        <v>2.65</v>
      </c>
      <c r="I360" s="23" t="inlineStr">
        <is>
          <t>Megametales</t>
        </is>
      </c>
      <c r="J360" s="27" t="n">
        <v>2.81</v>
      </c>
      <c r="K360" s="23" t="inlineStr">
        <is>
          <t>Kywi / Megakywi</t>
        </is>
      </c>
      <c r="L360" s="28">
        <f>F360*G360</f>
        <v/>
      </c>
      <c r="M360" s="146" t="inlineStr">
        <is>
          <t>IE-D50-ACN-PVC-C90-DN50</t>
        </is>
      </c>
      <c r="N360" s="23" t="inlineStr">
        <is>
          <t>Instalaciones eléctricas</t>
        </is>
      </c>
      <c r="O360" s="23" t="inlineStr">
        <is>
          <t>Estimado DION · criterio de mercado Guayaquil 2026 (no verificado en tienda)</t>
        </is>
      </c>
      <c r="P360" s="23" t="inlineStr">
        <is>
          <t>oct-2026 (est.)</t>
        </is>
      </c>
      <c r="Q360" s="23" t="n"/>
    </row>
    <row r="361">
      <c r="A361" s="18" t="n">
        <v>319</v>
      </c>
      <c r="B361" s="19" t="inlineStr">
        <is>
          <t xml:space="preserve">        Adaptador / Conector PVC Conduit a Caja 2"</t>
        </is>
      </c>
      <c r="C361" s="20" t="inlineStr">
        <is>
          <t>Residencial / Comercial</t>
        </is>
      </c>
      <c r="D361" s="18" t="inlineStr">
        <is>
          <t>Conectores PVC</t>
        </is>
      </c>
      <c r="E361" s="18" t="inlineStr">
        <is>
          <t>U</t>
        </is>
      </c>
      <c r="F361" s="21" t="n">
        <v>4</v>
      </c>
      <c r="G361" s="22" t="n">
        <v>1.1</v>
      </c>
      <c r="H361" s="22" t="n">
        <v>1.14</v>
      </c>
      <c r="I361" s="18" t="inlineStr">
        <is>
          <t>Megametales</t>
        </is>
      </c>
      <c r="J361" s="22" t="n">
        <v>1.19</v>
      </c>
      <c r="K361" s="18" t="inlineStr">
        <is>
          <t>Ferrisariato</t>
        </is>
      </c>
      <c r="L361" s="8">
        <f>F361*G361</f>
        <v/>
      </c>
      <c r="M361" s="145" t="inlineStr">
        <is>
          <t>IE-D50-ACN-PVC-CNT-DN50</t>
        </is>
      </c>
      <c r="N361" s="18" t="inlineStr">
        <is>
          <t>Instalaciones eléctricas</t>
        </is>
      </c>
      <c r="O361" s="18" t="inlineStr">
        <is>
          <t>Estimado DION · criterio de mercado Guayaquil 2026 (no verificado en tienda)</t>
        </is>
      </c>
      <c r="P361" s="18" t="inlineStr">
        <is>
          <t>oct-2026 (est.)</t>
        </is>
      </c>
      <c r="Q361" s="18" t="n"/>
    </row>
    <row r="362">
      <c r="A362" s="23" t="n">
        <v>320</v>
      </c>
      <c r="B362" s="24" t="inlineStr">
        <is>
          <t xml:space="preserve">        Codo PVC Conduit 90° 3"</t>
        </is>
      </c>
      <c r="C362" s="25" t="inlineStr">
        <is>
          <t>Residencial / Comercial</t>
        </is>
      </c>
      <c r="D362" s="23" t="inlineStr">
        <is>
          <t>Codos PVC</t>
        </is>
      </c>
      <c r="E362" s="23" t="inlineStr">
        <is>
          <t>U</t>
        </is>
      </c>
      <c r="F362" s="26" t="n">
        <v>2</v>
      </c>
      <c r="G362" s="27" t="n">
        <v>6.8</v>
      </c>
      <c r="H362" s="27" t="n">
        <v>6.94</v>
      </c>
      <c r="I362" s="23" t="inlineStr">
        <is>
          <t>Megametales</t>
        </is>
      </c>
      <c r="J362" s="27" t="n">
        <v>7.48</v>
      </c>
      <c r="K362" s="23" t="inlineStr">
        <is>
          <t>Kywi / Megakywi</t>
        </is>
      </c>
      <c r="L362" s="28">
        <f>F362*G362</f>
        <v/>
      </c>
      <c r="M362" s="146" t="inlineStr">
        <is>
          <t>IE-D50-ACN-PVC-C90-DN80</t>
        </is>
      </c>
      <c r="N362" s="23" t="inlineStr">
        <is>
          <t>Instalaciones eléctricas</t>
        </is>
      </c>
      <c r="O362" s="23" t="inlineStr">
        <is>
          <t>Estimado DION · criterio de mercado Guayaquil 2026 (no verificado en tienda)</t>
        </is>
      </c>
      <c r="P362" s="23" t="inlineStr">
        <is>
          <t>oct-2026 (est.)</t>
        </is>
      </c>
      <c r="Q362" s="23" t="n"/>
    </row>
    <row r="363">
      <c r="A363" s="18" t="n">
        <v>321</v>
      </c>
      <c r="B363" s="19" t="inlineStr">
        <is>
          <t xml:space="preserve">        Adaptador / Conector PVC Conduit a Caja 3"</t>
        </is>
      </c>
      <c r="C363" s="20" t="inlineStr">
        <is>
          <t>Residencial / Comercial</t>
        </is>
      </c>
      <c r="D363" s="18" t="inlineStr">
        <is>
          <t>Conectores PVC</t>
        </is>
      </c>
      <c r="E363" s="18" t="inlineStr">
        <is>
          <t>U</t>
        </is>
      </c>
      <c r="F363" s="21" t="n">
        <v>4</v>
      </c>
      <c r="G363" s="22" t="n">
        <v>2.9</v>
      </c>
      <c r="H363" s="22" t="n">
        <v>2.96</v>
      </c>
      <c r="I363" s="18" t="inlineStr">
        <is>
          <t>Megametales</t>
        </is>
      </c>
      <c r="J363" s="22" t="n">
        <v>3.22</v>
      </c>
      <c r="K363" s="18" t="inlineStr">
        <is>
          <t>Ferrisariato</t>
        </is>
      </c>
      <c r="L363" s="8">
        <f>F363*G363</f>
        <v/>
      </c>
      <c r="M363" s="145" t="inlineStr">
        <is>
          <t>IE-D50-ACN-PVC-CNT-DN80</t>
        </is>
      </c>
      <c r="N363" s="18" t="inlineStr">
        <is>
          <t>Instalaciones eléctricas</t>
        </is>
      </c>
      <c r="O363" s="18" t="inlineStr">
        <is>
          <t>Estimado DION · criterio de mercado Guayaquil 2026 (no verificado en tienda)</t>
        </is>
      </c>
      <c r="P363" s="18" t="inlineStr">
        <is>
          <t>oct-2026 (est.)</t>
        </is>
      </c>
      <c r="Q363" s="18" t="n"/>
    </row>
    <row r="364">
      <c r="A364" s="23" t="n">
        <v>322</v>
      </c>
      <c r="B364" s="24" t="inlineStr">
        <is>
          <t xml:space="preserve">        Codo PVC Conduit 90° 4"</t>
        </is>
      </c>
      <c r="C364" s="25" t="inlineStr">
        <is>
          <t>Residencial / Comercial</t>
        </is>
      </c>
      <c r="D364" s="23" t="inlineStr">
        <is>
          <t>Codos PVC</t>
        </is>
      </c>
      <c r="E364" s="23" t="inlineStr">
        <is>
          <t>U</t>
        </is>
      </c>
      <c r="F364" s="26" t="n">
        <v>2</v>
      </c>
      <c r="G364" s="27" t="n">
        <v>11.5</v>
      </c>
      <c r="H364" s="27" t="n">
        <v>11.85</v>
      </c>
      <c r="I364" s="23" t="inlineStr">
        <is>
          <t>Megametales</t>
        </is>
      </c>
      <c r="J364" s="27" t="n">
        <v>12.42</v>
      </c>
      <c r="K364" s="23" t="inlineStr">
        <is>
          <t>Kywi / Megakywi</t>
        </is>
      </c>
      <c r="L364" s="28">
        <f>F364*G364</f>
        <v/>
      </c>
      <c r="M364" s="146" t="inlineStr">
        <is>
          <t>IE-D50-ACN-PVC-C90-DN100</t>
        </is>
      </c>
      <c r="N364" s="23" t="inlineStr">
        <is>
          <t>Instalaciones eléctricas</t>
        </is>
      </c>
      <c r="O364" s="23" t="inlineStr">
        <is>
          <t>Estimado DION · criterio de mercado Guayaquil 2026 (no verificado en tienda)</t>
        </is>
      </c>
      <c r="P364" s="23" t="inlineStr">
        <is>
          <t>oct-2026 (est.)</t>
        </is>
      </c>
      <c r="Q364" s="23" t="n"/>
    </row>
    <row r="365">
      <c r="A365" s="18" t="n">
        <v>323</v>
      </c>
      <c r="B365" s="19" t="inlineStr">
        <is>
          <t xml:space="preserve">        Adaptador / Conector PVC Conduit a Caja 4"</t>
        </is>
      </c>
      <c r="C365" s="20" t="inlineStr">
        <is>
          <t>Residencial / Comercial</t>
        </is>
      </c>
      <c r="D365" s="18" t="inlineStr">
        <is>
          <t>Conectores PVC</t>
        </is>
      </c>
      <c r="E365" s="18" t="inlineStr">
        <is>
          <t>U</t>
        </is>
      </c>
      <c r="F365" s="21" t="n">
        <v>4</v>
      </c>
      <c r="G365" s="22" t="n">
        <v>4.2</v>
      </c>
      <c r="H365" s="22" t="n">
        <v>4.33</v>
      </c>
      <c r="I365" s="18" t="inlineStr">
        <is>
          <t>Megametales</t>
        </is>
      </c>
      <c r="J365" s="22" t="n">
        <v>4.54</v>
      </c>
      <c r="K365" s="18" t="inlineStr">
        <is>
          <t>Ferrisariato</t>
        </is>
      </c>
      <c r="L365" s="8">
        <f>F365*G365</f>
        <v/>
      </c>
      <c r="M365" s="145" t="inlineStr">
        <is>
          <t>IE-D50-ACN-PVC-CNT-DN100</t>
        </is>
      </c>
      <c r="N365" s="18" t="inlineStr">
        <is>
          <t>Instalaciones eléctricas</t>
        </is>
      </c>
      <c r="O365" s="18" t="inlineStr">
        <is>
          <t>Estimado DION · criterio de mercado Guayaquil 2026 (no verificado en tienda)</t>
        </is>
      </c>
      <c r="P365" s="18" t="inlineStr">
        <is>
          <t>oct-2026 (est.)</t>
        </is>
      </c>
      <c r="Q365" s="18" t="n"/>
    </row>
    <row r="366">
      <c r="A366" s="23" t="n">
        <v>324</v>
      </c>
      <c r="B366" s="24" t="inlineStr">
        <is>
          <t xml:space="preserve">        Conduleta Aluminio Tipo LB ½" con Tapa y Empaque</t>
        </is>
      </c>
      <c r="C366" s="25" t="inlineStr">
        <is>
          <t>Industrial / Intemperie</t>
        </is>
      </c>
      <c r="D366" s="23" t="inlineStr">
        <is>
          <t>Conduletas</t>
        </is>
      </c>
      <c r="E366" s="23" t="inlineStr">
        <is>
          <t>U</t>
        </is>
      </c>
      <c r="F366" s="26" t="n">
        <v>2</v>
      </c>
      <c r="G366" s="27" t="n">
        <v>3.6</v>
      </c>
      <c r="H366" s="27" t="n">
        <v>3.71</v>
      </c>
      <c r="I366" s="23" t="inlineStr">
        <is>
          <t>Megametales</t>
        </is>
      </c>
      <c r="J366" s="27" t="n">
        <v>3.96</v>
      </c>
      <c r="K366" s="23" t="inlineStr">
        <is>
          <t>Kywi / Megakywi</t>
        </is>
      </c>
      <c r="L366" s="28">
        <f>F366*G366</f>
        <v/>
      </c>
      <c r="M366" s="146" t="inlineStr">
        <is>
          <t>IE-D50-ACN-CDL-LB-DN15</t>
        </is>
      </c>
      <c r="N366" s="23" t="inlineStr">
        <is>
          <t>Instalaciones eléctricas</t>
        </is>
      </c>
      <c r="O366" s="23" t="inlineStr">
        <is>
          <t>Estimado DION · criterio de mercado Guayaquil 2026 (no verificado en tienda)</t>
        </is>
      </c>
      <c r="P366" s="23" t="inlineStr">
        <is>
          <t>oct-2026 (est.)</t>
        </is>
      </c>
      <c r="Q366" s="23" t="n"/>
    </row>
    <row r="367">
      <c r="A367" s="18" t="n">
        <v>325</v>
      </c>
      <c r="B367" s="19" t="inlineStr">
        <is>
          <t xml:space="preserve">        Conduleta Aluminio Tipo LB 1" con Tapa y Empaque</t>
        </is>
      </c>
      <c r="C367" s="20" t="inlineStr">
        <is>
          <t>Industrial / Intemperie</t>
        </is>
      </c>
      <c r="D367" s="18" t="inlineStr">
        <is>
          <t>Conduletas</t>
        </is>
      </c>
      <c r="E367" s="18" t="inlineStr">
        <is>
          <t>U</t>
        </is>
      </c>
      <c r="F367" s="21" t="n">
        <v>2</v>
      </c>
      <c r="G367" s="22" t="n">
        <v>6.2</v>
      </c>
      <c r="H367" s="22" t="n">
        <v>6.45</v>
      </c>
      <c r="I367" s="18" t="inlineStr">
        <is>
          <t>Megametales</t>
        </is>
      </c>
      <c r="J367" s="22" t="n">
        <v>6.82</v>
      </c>
      <c r="K367" s="18" t="inlineStr">
        <is>
          <t>Ferrisariato</t>
        </is>
      </c>
      <c r="L367" s="8">
        <f>F367*G367</f>
        <v/>
      </c>
      <c r="M367" s="145" t="inlineStr">
        <is>
          <t>IE-D50-ACN-CDL-LB-DN25</t>
        </is>
      </c>
      <c r="N367" s="18" t="inlineStr">
        <is>
          <t>Instalaciones eléctricas</t>
        </is>
      </c>
      <c r="O367" s="18" t="inlineStr">
        <is>
          <t>Estimado DION · criterio de mercado Guayaquil 2026 (no verificado en tienda)</t>
        </is>
      </c>
      <c r="P367" s="18" t="inlineStr">
        <is>
          <t>oct-2026 (est.)</t>
        </is>
      </c>
      <c r="Q367" s="18" t="n"/>
    </row>
    <row r="368">
      <c r="A368" s="23" t="n">
        <v>326</v>
      </c>
      <c r="B368" s="24" t="inlineStr">
        <is>
          <t xml:space="preserve">        Conduleta Aluminio Tipo LB 2" con Tapa y Empaque</t>
        </is>
      </c>
      <c r="C368" s="25" t="inlineStr">
        <is>
          <t>Industrial / Intemperie</t>
        </is>
      </c>
      <c r="D368" s="23" t="inlineStr">
        <is>
          <t>Conduletas</t>
        </is>
      </c>
      <c r="E368" s="23" t="inlineStr">
        <is>
          <t>U</t>
        </is>
      </c>
      <c r="F368" s="26" t="n">
        <v>2</v>
      </c>
      <c r="G368" s="27" t="n">
        <v>14.5</v>
      </c>
      <c r="H368" s="27" t="n">
        <v>14.79</v>
      </c>
      <c r="I368" s="23" t="inlineStr">
        <is>
          <t>Megametales</t>
        </is>
      </c>
      <c r="J368" s="27" t="n">
        <v>15.95</v>
      </c>
      <c r="K368" s="23" t="inlineStr">
        <is>
          <t>Kywi / Megakywi</t>
        </is>
      </c>
      <c r="L368" s="28">
        <f>F368*G368</f>
        <v/>
      </c>
      <c r="M368" s="146" t="inlineStr">
        <is>
          <t>IE-D50-ACN-CDL-LB-DN50</t>
        </is>
      </c>
      <c r="N368" s="23" t="inlineStr">
        <is>
          <t>Instalaciones eléctricas</t>
        </is>
      </c>
      <c r="O368" s="23" t="inlineStr">
        <is>
          <t>Estimado DION · criterio de mercado Guayaquil 2026 (no verificado en tienda)</t>
        </is>
      </c>
      <c r="P368" s="23" t="inlineStr">
        <is>
          <t>oct-2026 (est.)</t>
        </is>
      </c>
      <c r="Q368" s="23" t="n"/>
    </row>
    <row r="369">
      <c r="A369" s="18" t="n">
        <v>327</v>
      </c>
      <c r="B369" s="19" t="inlineStr">
        <is>
          <t xml:space="preserve">        Conduleta Aluminio Tipo LR ½" con Tapa y Empaque</t>
        </is>
      </c>
      <c r="C369" s="20" t="inlineStr">
        <is>
          <t>Industrial / Intemperie</t>
        </is>
      </c>
      <c r="D369" s="18" t="inlineStr">
        <is>
          <t>Conduletas</t>
        </is>
      </c>
      <c r="E369" s="18" t="inlineStr">
        <is>
          <t>U</t>
        </is>
      </c>
      <c r="F369" s="21" t="n">
        <v>2</v>
      </c>
      <c r="G369" s="22" t="n">
        <v>3.6</v>
      </c>
      <c r="H369" s="22" t="n">
        <v>3.78</v>
      </c>
      <c r="I369" s="18" t="inlineStr">
        <is>
          <t>Megametales</t>
        </is>
      </c>
      <c r="J369" s="22" t="n">
        <v>3.89</v>
      </c>
      <c r="K369" s="18" t="inlineStr">
        <is>
          <t>Ferrisariato</t>
        </is>
      </c>
      <c r="L369" s="8">
        <f>F369*G369</f>
        <v/>
      </c>
      <c r="M369" s="145" t="inlineStr">
        <is>
          <t>IE-D50-ACN-CDL-LR-DN15</t>
        </is>
      </c>
      <c r="N369" s="18" t="inlineStr">
        <is>
          <t>Instalaciones eléctricas</t>
        </is>
      </c>
      <c r="O369" s="18" t="inlineStr">
        <is>
          <t>Estimado DION · criterio de mercado Guayaquil 2026 (no verificado en tienda)</t>
        </is>
      </c>
      <c r="P369" s="18" t="inlineStr">
        <is>
          <t>oct-2026 (est.)</t>
        </is>
      </c>
      <c r="Q369" s="18" t="n"/>
    </row>
    <row r="370">
      <c r="A370" s="23" t="n">
        <v>328</v>
      </c>
      <c r="B370" s="24" t="inlineStr">
        <is>
          <t xml:space="preserve">        Conduleta Aluminio Tipo LR 1" con Tapa y Empaque</t>
        </is>
      </c>
      <c r="C370" s="25" t="inlineStr">
        <is>
          <t>Industrial / Intemperie</t>
        </is>
      </c>
      <c r="D370" s="23" t="inlineStr">
        <is>
          <t>Conduletas</t>
        </is>
      </c>
      <c r="E370" s="23" t="inlineStr">
        <is>
          <t>U</t>
        </is>
      </c>
      <c r="F370" s="26" t="n">
        <v>2</v>
      </c>
      <c r="G370" s="27" t="n">
        <v>6.2</v>
      </c>
      <c r="H370" s="27" t="n">
        <v>6.45</v>
      </c>
      <c r="I370" s="23" t="inlineStr">
        <is>
          <t>Megametales</t>
        </is>
      </c>
      <c r="J370" s="27" t="n">
        <v>6.63</v>
      </c>
      <c r="K370" s="23" t="inlineStr">
        <is>
          <t>Kywi / Megakywi</t>
        </is>
      </c>
      <c r="L370" s="28">
        <f>F370*G370</f>
        <v/>
      </c>
      <c r="M370" s="146" t="inlineStr">
        <is>
          <t>IE-D50-ACN-CDL-LR-DN25</t>
        </is>
      </c>
      <c r="N370" s="23" t="inlineStr">
        <is>
          <t>Instalaciones eléctricas</t>
        </is>
      </c>
      <c r="O370" s="23" t="inlineStr">
        <is>
          <t>Estimado DION · criterio de mercado Guayaquil 2026 (no verificado en tienda)</t>
        </is>
      </c>
      <c r="P370" s="23" t="inlineStr">
        <is>
          <t>oct-2026 (est.)</t>
        </is>
      </c>
      <c r="Q370" s="23" t="n"/>
    </row>
    <row r="371">
      <c r="A371" s="18" t="n">
        <v>329</v>
      </c>
      <c r="B371" s="19" t="inlineStr">
        <is>
          <t xml:space="preserve">        Conduleta Aluminio Tipo LR 2" con Tapa y Empaque</t>
        </is>
      </c>
      <c r="C371" s="20" t="inlineStr">
        <is>
          <t>Industrial / Intemperie</t>
        </is>
      </c>
      <c r="D371" s="18" t="inlineStr">
        <is>
          <t>Conduletas</t>
        </is>
      </c>
      <c r="E371" s="18" t="inlineStr">
        <is>
          <t>U</t>
        </is>
      </c>
      <c r="F371" s="21" t="n">
        <v>2</v>
      </c>
      <c r="G371" s="22" t="n">
        <v>14.5</v>
      </c>
      <c r="H371" s="22" t="n">
        <v>14.79</v>
      </c>
      <c r="I371" s="18" t="inlineStr">
        <is>
          <t>Megametales</t>
        </is>
      </c>
      <c r="J371" s="22" t="n">
        <v>16.1</v>
      </c>
      <c r="K371" s="18" t="inlineStr">
        <is>
          <t>Ferrisariato</t>
        </is>
      </c>
      <c r="L371" s="8">
        <f>F371*G371</f>
        <v/>
      </c>
      <c r="M371" s="145" t="inlineStr">
        <is>
          <t>IE-D50-ACN-CDL-LR-DN50</t>
        </is>
      </c>
      <c r="N371" s="18" t="inlineStr">
        <is>
          <t>Instalaciones eléctricas</t>
        </is>
      </c>
      <c r="O371" s="18" t="inlineStr">
        <is>
          <t>Estimado DION · criterio de mercado Guayaquil 2026 (no verificado en tienda)</t>
        </is>
      </c>
      <c r="P371" s="18" t="inlineStr">
        <is>
          <t>oct-2026 (est.)</t>
        </is>
      </c>
      <c r="Q371" s="18" t="n"/>
    </row>
    <row r="372">
      <c r="A372" s="23" t="n">
        <v>330</v>
      </c>
      <c r="B372" s="24" t="inlineStr">
        <is>
          <t xml:space="preserve">        Conduleta Aluminio Tipo LL ½" con Tapa y Empaque</t>
        </is>
      </c>
      <c r="C372" s="25" t="inlineStr">
        <is>
          <t>Industrial / Intemperie</t>
        </is>
      </c>
      <c r="D372" s="23" t="inlineStr">
        <is>
          <t>Conduletas</t>
        </is>
      </c>
      <c r="E372" s="23" t="inlineStr">
        <is>
          <t>U</t>
        </is>
      </c>
      <c r="F372" s="26" t="n">
        <v>2</v>
      </c>
      <c r="G372" s="27" t="n">
        <v>3.6</v>
      </c>
      <c r="H372" s="27" t="n">
        <v>3.74</v>
      </c>
      <c r="I372" s="23" t="inlineStr">
        <is>
          <t>Megametales</t>
        </is>
      </c>
      <c r="J372" s="27" t="n">
        <v>3.92</v>
      </c>
      <c r="K372" s="23" t="inlineStr">
        <is>
          <t>Kywi / Megakywi</t>
        </is>
      </c>
      <c r="L372" s="28">
        <f>F372*G372</f>
        <v/>
      </c>
      <c r="M372" s="146" t="inlineStr">
        <is>
          <t>IE-D50-ACN-CDL-LL-DN15</t>
        </is>
      </c>
      <c r="N372" s="23" t="inlineStr">
        <is>
          <t>Instalaciones eléctricas</t>
        </is>
      </c>
      <c r="O372" s="23" t="inlineStr">
        <is>
          <t>Estimado DION · criterio de mercado Guayaquil 2026 (no verificado en tienda)</t>
        </is>
      </c>
      <c r="P372" s="23" t="inlineStr">
        <is>
          <t>oct-2026 (est.)</t>
        </is>
      </c>
      <c r="Q372" s="23" t="n"/>
    </row>
    <row r="373">
      <c r="A373" s="18" t="n">
        <v>331</v>
      </c>
      <c r="B373" s="19" t="inlineStr">
        <is>
          <t xml:space="preserve">        Conduleta Aluminio Tipo LL 1" con Tapa y Empaque</t>
        </is>
      </c>
      <c r="C373" s="20" t="inlineStr">
        <is>
          <t>Industrial / Intemperie</t>
        </is>
      </c>
      <c r="D373" s="18" t="inlineStr">
        <is>
          <t>Conduletas</t>
        </is>
      </c>
      <c r="E373" s="18" t="inlineStr">
        <is>
          <t>U</t>
        </is>
      </c>
      <c r="F373" s="21" t="n">
        <v>2</v>
      </c>
      <c r="G373" s="22" t="n">
        <v>6.2</v>
      </c>
      <c r="H373" s="22" t="n">
        <v>6.45</v>
      </c>
      <c r="I373" s="18" t="inlineStr">
        <is>
          <t>Megametales</t>
        </is>
      </c>
      <c r="J373" s="22" t="n">
        <v>6.7</v>
      </c>
      <c r="K373" s="18" t="inlineStr">
        <is>
          <t>Ferrisariato</t>
        </is>
      </c>
      <c r="L373" s="8">
        <f>F373*G373</f>
        <v/>
      </c>
      <c r="M373" s="145" t="inlineStr">
        <is>
          <t>IE-D50-ACN-CDL-LL-DN25</t>
        </is>
      </c>
      <c r="N373" s="18" t="inlineStr">
        <is>
          <t>Instalaciones eléctricas</t>
        </is>
      </c>
      <c r="O373" s="18" t="inlineStr">
        <is>
          <t>Estimado DION · criterio de mercado Guayaquil 2026 (no verificado en tienda)</t>
        </is>
      </c>
      <c r="P373" s="18" t="inlineStr">
        <is>
          <t>oct-2026 (est.)</t>
        </is>
      </c>
      <c r="Q373" s="18" t="n"/>
    </row>
    <row r="374">
      <c r="A374" s="23" t="n">
        <v>332</v>
      </c>
      <c r="B374" s="24" t="inlineStr">
        <is>
          <t xml:space="preserve">        Conduleta Aluminio Tipo LL 2" con Tapa y Empaque</t>
        </is>
      </c>
      <c r="C374" s="25" t="inlineStr">
        <is>
          <t>Industrial / Intemperie</t>
        </is>
      </c>
      <c r="D374" s="23" t="inlineStr">
        <is>
          <t>Conduletas</t>
        </is>
      </c>
      <c r="E374" s="23" t="inlineStr">
        <is>
          <t>U</t>
        </is>
      </c>
      <c r="F374" s="26" t="n">
        <v>2</v>
      </c>
      <c r="G374" s="27" t="n">
        <v>14.5</v>
      </c>
      <c r="H374" s="27" t="n">
        <v>14.79</v>
      </c>
      <c r="I374" s="23" t="inlineStr">
        <is>
          <t>Megametales</t>
        </is>
      </c>
      <c r="J374" s="27" t="n">
        <v>16.1</v>
      </c>
      <c r="K374" s="23" t="inlineStr">
        <is>
          <t>Kywi / Megakywi</t>
        </is>
      </c>
      <c r="L374" s="28">
        <f>F374*G374</f>
        <v/>
      </c>
      <c r="M374" s="146" t="inlineStr">
        <is>
          <t>IE-D50-ACN-CDL-LL-DN50</t>
        </is>
      </c>
      <c r="N374" s="23" t="inlineStr">
        <is>
          <t>Instalaciones eléctricas</t>
        </is>
      </c>
      <c r="O374" s="23" t="inlineStr">
        <is>
          <t>Estimado DION · criterio de mercado Guayaquil 2026 (no verificado en tienda)</t>
        </is>
      </c>
      <c r="P374" s="23" t="inlineStr">
        <is>
          <t>oct-2026 (est.)</t>
        </is>
      </c>
      <c r="Q374" s="23" t="n"/>
    </row>
    <row r="375">
      <c r="A375" s="18" t="n">
        <v>333</v>
      </c>
      <c r="B375" s="19" t="inlineStr">
        <is>
          <t xml:space="preserve">        Conduleta Aluminio Tipo T ½" con Tapa y Empaque</t>
        </is>
      </c>
      <c r="C375" s="20" t="inlineStr">
        <is>
          <t>Industrial / Intemperie</t>
        </is>
      </c>
      <c r="D375" s="18" t="inlineStr">
        <is>
          <t>Conduletas</t>
        </is>
      </c>
      <c r="E375" s="18" t="inlineStr">
        <is>
          <t>U</t>
        </is>
      </c>
      <c r="F375" s="21" t="n">
        <v>2</v>
      </c>
      <c r="G375" s="22" t="n">
        <v>4.14</v>
      </c>
      <c r="H375" s="22" t="n">
        <v>4.26</v>
      </c>
      <c r="I375" s="18" t="inlineStr">
        <is>
          <t>Megametales</t>
        </is>
      </c>
      <c r="J375" s="22" t="n">
        <v>4.47</v>
      </c>
      <c r="K375" s="18" t="inlineStr">
        <is>
          <t>Ferrisariato</t>
        </is>
      </c>
      <c r="L375" s="8">
        <f>F375*G375</f>
        <v/>
      </c>
      <c r="M375" s="145" t="inlineStr">
        <is>
          <t>IE-D50-ACN-CDL-T-DN15</t>
        </is>
      </c>
      <c r="N375" s="18" t="inlineStr">
        <is>
          <t>Instalaciones eléctricas</t>
        </is>
      </c>
      <c r="O375" s="18" t="inlineStr">
        <is>
          <t>Estimado DION · criterio de mercado Guayaquil 2026 (no verificado en tienda)</t>
        </is>
      </c>
      <c r="P375" s="18" t="inlineStr">
        <is>
          <t>oct-2026 (est.)</t>
        </is>
      </c>
      <c r="Q375" s="18" t="n"/>
    </row>
    <row r="376">
      <c r="A376" s="23" t="n">
        <v>334</v>
      </c>
      <c r="B376" s="24" t="inlineStr">
        <is>
          <t xml:space="preserve">        Conduleta Aluminio Tipo T 1" con Tapa y Empaque</t>
        </is>
      </c>
      <c r="C376" s="25" t="inlineStr">
        <is>
          <t>Industrial / Intemperie</t>
        </is>
      </c>
      <c r="D376" s="23" t="inlineStr">
        <is>
          <t>Conduletas</t>
        </is>
      </c>
      <c r="E376" s="23" t="inlineStr">
        <is>
          <t>U</t>
        </is>
      </c>
      <c r="F376" s="26" t="n">
        <v>2</v>
      </c>
      <c r="G376" s="27" t="n">
        <v>7.13</v>
      </c>
      <c r="H376" s="27" t="n">
        <v>7.27</v>
      </c>
      <c r="I376" s="23" t="inlineStr">
        <is>
          <t>Megametales</t>
        </is>
      </c>
      <c r="J376" s="27" t="n">
        <v>7.84</v>
      </c>
      <c r="K376" s="23" t="inlineStr">
        <is>
          <t>Kywi / Megakywi</t>
        </is>
      </c>
      <c r="L376" s="28">
        <f>F376*G376</f>
        <v/>
      </c>
      <c r="M376" s="146" t="inlineStr">
        <is>
          <t>IE-D50-ACN-CDL-T-DN25</t>
        </is>
      </c>
      <c r="N376" s="23" t="inlineStr">
        <is>
          <t>Instalaciones eléctricas</t>
        </is>
      </c>
      <c r="O376" s="23" t="inlineStr">
        <is>
          <t>Estimado DION · criterio de mercado Guayaquil 2026 (no verificado en tienda)</t>
        </is>
      </c>
      <c r="P376" s="23" t="inlineStr">
        <is>
          <t>oct-2026 (est.)</t>
        </is>
      </c>
      <c r="Q376" s="23" t="n"/>
    </row>
    <row r="377">
      <c r="A377" s="18" t="n">
        <v>335</v>
      </c>
      <c r="B377" s="19" t="inlineStr">
        <is>
          <t xml:space="preserve">        Conduleta Aluminio Tipo T 2" con Tapa y Empaque</t>
        </is>
      </c>
      <c r="C377" s="20" t="inlineStr">
        <is>
          <t>Industrial / Intemperie</t>
        </is>
      </c>
      <c r="D377" s="18" t="inlineStr">
        <is>
          <t>Conduletas</t>
        </is>
      </c>
      <c r="E377" s="18" t="inlineStr">
        <is>
          <t>U</t>
        </is>
      </c>
      <c r="F377" s="21" t="n">
        <v>2</v>
      </c>
      <c r="G377" s="22" t="n">
        <v>16.67</v>
      </c>
      <c r="H377" s="22" t="n">
        <v>17</v>
      </c>
      <c r="I377" s="18" t="inlineStr">
        <is>
          <t>Megametales</t>
        </is>
      </c>
      <c r="J377" s="22" t="n">
        <v>17.84</v>
      </c>
      <c r="K377" s="18" t="inlineStr">
        <is>
          <t>Ferrisariato</t>
        </is>
      </c>
      <c r="L377" s="8">
        <f>F377*G377</f>
        <v/>
      </c>
      <c r="M377" s="145" t="inlineStr">
        <is>
          <t>IE-D50-ACN-CDL-T-DN50</t>
        </is>
      </c>
      <c r="N377" s="18" t="inlineStr">
        <is>
          <t>Instalaciones eléctricas</t>
        </is>
      </c>
      <c r="O377" s="18" t="inlineStr">
        <is>
          <t>Estimado DION · criterio de mercado Guayaquil 2026 (no verificado en tienda)</t>
        </is>
      </c>
      <c r="P377" s="18" t="inlineStr">
        <is>
          <t>oct-2026 (est.)</t>
        </is>
      </c>
      <c r="Q377" s="18" t="n"/>
    </row>
    <row r="378">
      <c r="A378" s="23" t="n">
        <v>336</v>
      </c>
      <c r="B378" s="24" t="inlineStr">
        <is>
          <t xml:space="preserve">        Conduleta Aluminio Tipo C ½" con Tapa y Empaque</t>
        </is>
      </c>
      <c r="C378" s="25" t="inlineStr">
        <is>
          <t>Industrial / Intemperie</t>
        </is>
      </c>
      <c r="D378" s="23" t="inlineStr">
        <is>
          <t>Conduletas</t>
        </is>
      </c>
      <c r="E378" s="23" t="inlineStr">
        <is>
          <t>U</t>
        </is>
      </c>
      <c r="F378" s="26" t="n">
        <v>2</v>
      </c>
      <c r="G378" s="27" t="n">
        <v>3.6</v>
      </c>
      <c r="H378" s="27" t="n">
        <v>3.71</v>
      </c>
      <c r="I378" s="23" t="inlineStr">
        <is>
          <t>Megametales</t>
        </is>
      </c>
      <c r="J378" s="27" t="n">
        <v>3.89</v>
      </c>
      <c r="K378" s="23" t="inlineStr">
        <is>
          <t>Kywi / Megakywi</t>
        </is>
      </c>
      <c r="L378" s="28">
        <f>F378*G378</f>
        <v/>
      </c>
      <c r="M378" s="146" t="inlineStr">
        <is>
          <t>IE-D50-ACN-CDL-C-DN15</t>
        </is>
      </c>
      <c r="N378" s="23" t="inlineStr">
        <is>
          <t>Instalaciones eléctricas</t>
        </is>
      </c>
      <c r="O378" s="23" t="inlineStr">
        <is>
          <t>Estimado DION · criterio de mercado Guayaquil 2026 (no verificado en tienda)</t>
        </is>
      </c>
      <c r="P378" s="23" t="inlineStr">
        <is>
          <t>oct-2026 (est.)</t>
        </is>
      </c>
      <c r="Q378" s="23" t="n"/>
    </row>
    <row r="379">
      <c r="A379" s="18" t="n">
        <v>337</v>
      </c>
      <c r="B379" s="19" t="inlineStr">
        <is>
          <t xml:space="preserve">        Conduleta Aluminio Tipo C 1" con Tapa y Empaque</t>
        </is>
      </c>
      <c r="C379" s="20" t="inlineStr">
        <is>
          <t>Industrial / Intemperie</t>
        </is>
      </c>
      <c r="D379" s="18" t="inlineStr">
        <is>
          <t>Conduletas</t>
        </is>
      </c>
      <c r="E379" s="18" t="inlineStr">
        <is>
          <t>U</t>
        </is>
      </c>
      <c r="F379" s="21" t="n">
        <v>2</v>
      </c>
      <c r="G379" s="22" t="n">
        <v>6.2</v>
      </c>
      <c r="H379" s="22" t="n">
        <v>6.32</v>
      </c>
      <c r="I379" s="18" t="inlineStr">
        <is>
          <t>Megametales</t>
        </is>
      </c>
      <c r="J379" s="22" t="n">
        <v>6.76</v>
      </c>
      <c r="K379" s="18" t="inlineStr">
        <is>
          <t>Ferrisariato</t>
        </is>
      </c>
      <c r="L379" s="8">
        <f>F379*G379</f>
        <v/>
      </c>
      <c r="M379" s="145" t="inlineStr">
        <is>
          <t>IE-D50-ACN-CDL-C-DN25</t>
        </is>
      </c>
      <c r="N379" s="18" t="inlineStr">
        <is>
          <t>Instalaciones eléctricas</t>
        </is>
      </c>
      <c r="O379" s="18" t="inlineStr">
        <is>
          <t>Estimado DION · criterio de mercado Guayaquil 2026 (no verificado en tienda)</t>
        </is>
      </c>
      <c r="P379" s="18" t="inlineStr">
        <is>
          <t>oct-2026 (est.)</t>
        </is>
      </c>
      <c r="Q379" s="18" t="n"/>
    </row>
    <row r="380">
      <c r="A380" s="23" t="n">
        <v>338</v>
      </c>
      <c r="B380" s="24" t="inlineStr">
        <is>
          <t xml:space="preserve">        Conduleta Aluminio Tipo C 2" con Tapa y Empaque</t>
        </is>
      </c>
      <c r="C380" s="25" t="inlineStr">
        <is>
          <t>Industrial / Intemperie</t>
        </is>
      </c>
      <c r="D380" s="23" t="inlineStr">
        <is>
          <t>Conduletas</t>
        </is>
      </c>
      <c r="E380" s="23" t="inlineStr">
        <is>
          <t>U</t>
        </is>
      </c>
      <c r="F380" s="26" t="n">
        <v>2</v>
      </c>
      <c r="G380" s="27" t="n">
        <v>14.5</v>
      </c>
      <c r="H380" s="27" t="n">
        <v>14.79</v>
      </c>
      <c r="I380" s="23" t="inlineStr">
        <is>
          <t>Megametales</t>
        </is>
      </c>
      <c r="J380" s="27" t="n">
        <v>15.95</v>
      </c>
      <c r="K380" s="23" t="inlineStr">
        <is>
          <t>Kywi / Megakywi</t>
        </is>
      </c>
      <c r="L380" s="28">
        <f>F380*G380</f>
        <v/>
      </c>
      <c r="M380" s="146" t="inlineStr">
        <is>
          <t>IE-D50-ACN-CDL-C-DN50</t>
        </is>
      </c>
      <c r="N380" s="23" t="inlineStr">
        <is>
          <t>Instalaciones eléctricas</t>
        </is>
      </c>
      <c r="O380" s="23" t="inlineStr">
        <is>
          <t>Estimado DION · criterio de mercado Guayaquil 2026 (no verificado en tienda)</t>
        </is>
      </c>
      <c r="P380" s="23" t="inlineStr">
        <is>
          <t>oct-2026 (est.)</t>
        </is>
      </c>
      <c r="Q380" s="23" t="n"/>
    </row>
    <row r="381">
      <c r="A381" s="18" t="n">
        <v>339</v>
      </c>
      <c r="B381" s="19" t="inlineStr">
        <is>
          <t xml:space="preserve">        Codo IMC 90° Roscado ¾"</t>
        </is>
      </c>
      <c r="C381" s="20" t="inlineStr">
        <is>
          <t>Industrial</t>
        </is>
      </c>
      <c r="D381" s="18" t="inlineStr">
        <is>
          <t>Codos IMC</t>
        </is>
      </c>
      <c r="E381" s="18" t="inlineStr">
        <is>
          <t>U</t>
        </is>
      </c>
      <c r="F381" s="21" t="n">
        <v>2</v>
      </c>
      <c r="G381" s="22" t="n">
        <v>2.4</v>
      </c>
      <c r="H381" s="22" t="n">
        <v>2.45</v>
      </c>
      <c r="I381" s="18" t="inlineStr">
        <is>
          <t>Megametales</t>
        </is>
      </c>
      <c r="J381" s="22" t="n">
        <v>2.62</v>
      </c>
      <c r="K381" s="18" t="inlineStr">
        <is>
          <t>Ferrisariato</t>
        </is>
      </c>
      <c r="L381" s="8">
        <f>F381*G381</f>
        <v/>
      </c>
      <c r="M381" s="145" t="inlineStr">
        <is>
          <t>IE-D50-ACN-IMC-C90-DN20</t>
        </is>
      </c>
      <c r="N381" s="18" t="inlineStr">
        <is>
          <t>Instalaciones eléctricas</t>
        </is>
      </c>
      <c r="O381" s="18" t="inlineStr">
        <is>
          <t>Estimado DION · criterio de mercado Guayaquil 2026 (no verificado en tienda)</t>
        </is>
      </c>
      <c r="P381" s="18" t="inlineStr">
        <is>
          <t>oct-2026 (est.)</t>
        </is>
      </c>
      <c r="Q381" s="18" t="n"/>
    </row>
    <row r="382">
      <c r="A382" s="23" t="n">
        <v>340</v>
      </c>
      <c r="B382" s="24" t="inlineStr">
        <is>
          <t xml:space="preserve">        Unión IMC Roscada ¾"</t>
        </is>
      </c>
      <c r="C382" s="25" t="inlineStr">
        <is>
          <t>Industrial</t>
        </is>
      </c>
      <c r="D382" s="23" t="inlineStr">
        <is>
          <t>Uniones IMC</t>
        </is>
      </c>
      <c r="E382" s="23" t="inlineStr">
        <is>
          <t>U</t>
        </is>
      </c>
      <c r="F382" s="26" t="n">
        <v>2</v>
      </c>
      <c r="G382" s="27" t="n">
        <v>1.08</v>
      </c>
      <c r="H382" s="27" t="n">
        <v>1.13</v>
      </c>
      <c r="I382" s="23" t="inlineStr">
        <is>
          <t>Megametales</t>
        </is>
      </c>
      <c r="J382" s="27" t="n">
        <v>1.19</v>
      </c>
      <c r="K382" s="23" t="inlineStr">
        <is>
          <t>Kywi / Megakywi</t>
        </is>
      </c>
      <c r="L382" s="28">
        <f>F382*G382</f>
        <v/>
      </c>
      <c r="M382" s="146" t="inlineStr">
        <is>
          <t>IE-D50-ACN-IMC-UNI-DN20</t>
        </is>
      </c>
      <c r="N382" s="23" t="inlineStr">
        <is>
          <t>Instalaciones eléctricas</t>
        </is>
      </c>
      <c r="O382" s="23" t="inlineStr">
        <is>
          <t>Estimado DION · criterio de mercado Guayaquil 2026 (no verificado en tienda)</t>
        </is>
      </c>
      <c r="P382" s="23" t="inlineStr">
        <is>
          <t>oct-2026 (est.)</t>
        </is>
      </c>
      <c r="Q382" s="23" t="n"/>
    </row>
    <row r="383">
      <c r="A383" s="18" t="n">
        <v>341</v>
      </c>
      <c r="B383" s="19" t="inlineStr">
        <is>
          <t xml:space="preserve">        Codo IMC 90° Roscado 1"</t>
        </is>
      </c>
      <c r="C383" s="20" t="inlineStr">
        <is>
          <t>Industrial</t>
        </is>
      </c>
      <c r="D383" s="18" t="inlineStr">
        <is>
          <t>Codos IMC</t>
        </is>
      </c>
      <c r="E383" s="18" t="inlineStr">
        <is>
          <t>U</t>
        </is>
      </c>
      <c r="F383" s="21" t="n">
        <v>2</v>
      </c>
      <c r="G383" s="22" t="n">
        <v>3.6</v>
      </c>
      <c r="H383" s="22" t="n">
        <v>3.67</v>
      </c>
      <c r="I383" s="18" t="inlineStr">
        <is>
          <t>Megametales</t>
        </is>
      </c>
      <c r="J383" s="22" t="n">
        <v>3.89</v>
      </c>
      <c r="K383" s="18" t="inlineStr">
        <is>
          <t>Ferrisariato</t>
        </is>
      </c>
      <c r="L383" s="8">
        <f>F383*G383</f>
        <v/>
      </c>
      <c r="M383" s="145" t="inlineStr">
        <is>
          <t>IE-D50-ACN-IMC-C90-DN25</t>
        </is>
      </c>
      <c r="N383" s="18" t="inlineStr">
        <is>
          <t>Instalaciones eléctricas</t>
        </is>
      </c>
      <c r="O383" s="18" t="inlineStr">
        <is>
          <t>Estimado DION · criterio de mercado Guayaquil 2026 (no verificado en tienda)</t>
        </is>
      </c>
      <c r="P383" s="18" t="inlineStr">
        <is>
          <t>oct-2026 (est.)</t>
        </is>
      </c>
      <c r="Q383" s="18" t="n"/>
    </row>
    <row r="384">
      <c r="A384" s="23" t="n">
        <v>342</v>
      </c>
      <c r="B384" s="24" t="inlineStr">
        <is>
          <t xml:space="preserve">        Unión IMC Roscada 1"</t>
        </is>
      </c>
      <c r="C384" s="25" t="inlineStr">
        <is>
          <t>Industrial</t>
        </is>
      </c>
      <c r="D384" s="23" t="inlineStr">
        <is>
          <t>Uniones IMC</t>
        </is>
      </c>
      <c r="E384" s="23" t="inlineStr">
        <is>
          <t>U</t>
        </is>
      </c>
      <c r="F384" s="26" t="n">
        <v>2</v>
      </c>
      <c r="G384" s="27" t="n">
        <v>1.62</v>
      </c>
      <c r="H384" s="27" t="n">
        <v>1.68</v>
      </c>
      <c r="I384" s="23" t="inlineStr">
        <is>
          <t>Megametales</t>
        </is>
      </c>
      <c r="J384" s="27" t="n">
        <v>1.77</v>
      </c>
      <c r="K384" s="23" t="inlineStr">
        <is>
          <t>Kywi / Megakywi</t>
        </is>
      </c>
      <c r="L384" s="28">
        <f>F384*G384</f>
        <v/>
      </c>
      <c r="M384" s="146" t="inlineStr">
        <is>
          <t>IE-D50-ACN-IMC-UNI-DN25</t>
        </is>
      </c>
      <c r="N384" s="23" t="inlineStr">
        <is>
          <t>Instalaciones eléctricas</t>
        </is>
      </c>
      <c r="O384" s="23" t="inlineStr">
        <is>
          <t>Estimado DION · criterio de mercado Guayaquil 2026 (no verificado en tienda)</t>
        </is>
      </c>
      <c r="P384" s="23" t="inlineStr">
        <is>
          <t>oct-2026 (est.)</t>
        </is>
      </c>
      <c r="Q384" s="23" t="n"/>
    </row>
    <row r="385">
      <c r="A385" s="18" t="n">
        <v>343</v>
      </c>
      <c r="B385" s="19" t="inlineStr">
        <is>
          <t xml:space="preserve">        Codo IMC 90° Roscado 2"</t>
        </is>
      </c>
      <c r="C385" s="20" t="inlineStr">
        <is>
          <t>Industrial</t>
        </is>
      </c>
      <c r="D385" s="18" t="inlineStr">
        <is>
          <t>Codos IMC</t>
        </is>
      </c>
      <c r="E385" s="18" t="inlineStr">
        <is>
          <t>U</t>
        </is>
      </c>
      <c r="F385" s="21" t="n">
        <v>2</v>
      </c>
      <c r="G385" s="22" t="n">
        <v>9.5</v>
      </c>
      <c r="H385" s="22" t="n">
        <v>9.69</v>
      </c>
      <c r="I385" s="18" t="inlineStr">
        <is>
          <t>Megametales</t>
        </is>
      </c>
      <c r="J385" s="22" t="n">
        <v>10.45</v>
      </c>
      <c r="K385" s="18" t="inlineStr">
        <is>
          <t>Ferrisariato</t>
        </is>
      </c>
      <c r="L385" s="8">
        <f>F385*G385</f>
        <v/>
      </c>
      <c r="M385" s="145" t="inlineStr">
        <is>
          <t>IE-D50-ACN-IMC-C90-DN50</t>
        </is>
      </c>
      <c r="N385" s="18" t="inlineStr">
        <is>
          <t>Instalaciones eléctricas</t>
        </is>
      </c>
      <c r="O385" s="18" t="inlineStr">
        <is>
          <t>Estimado DION · criterio de mercado Guayaquil 2026 (no verificado en tienda)</t>
        </is>
      </c>
      <c r="P385" s="18" t="inlineStr">
        <is>
          <t>oct-2026 (est.)</t>
        </is>
      </c>
      <c r="Q385" s="18" t="n"/>
    </row>
    <row r="386">
      <c r="A386" s="23" t="n">
        <v>344</v>
      </c>
      <c r="B386" s="24" t="inlineStr">
        <is>
          <t xml:space="preserve">        Unión IMC Roscada 2"</t>
        </is>
      </c>
      <c r="C386" s="25" t="inlineStr">
        <is>
          <t>Industrial</t>
        </is>
      </c>
      <c r="D386" s="23" t="inlineStr">
        <is>
          <t>Uniones IMC</t>
        </is>
      </c>
      <c r="E386" s="23" t="inlineStr">
        <is>
          <t>U</t>
        </is>
      </c>
      <c r="F386" s="26" t="n">
        <v>2</v>
      </c>
      <c r="G386" s="27" t="n">
        <v>4.28</v>
      </c>
      <c r="H386" s="27" t="n">
        <v>4.49</v>
      </c>
      <c r="I386" s="23" t="inlineStr">
        <is>
          <t>Megametales</t>
        </is>
      </c>
      <c r="J386" s="27" t="n">
        <v>4.67</v>
      </c>
      <c r="K386" s="23" t="inlineStr">
        <is>
          <t>Kywi / Megakywi</t>
        </is>
      </c>
      <c r="L386" s="28">
        <f>F386*G386</f>
        <v/>
      </c>
      <c r="M386" s="146" t="inlineStr">
        <is>
          <t>IE-D50-ACN-IMC-UNI-DN50</t>
        </is>
      </c>
      <c r="N386" s="23" t="inlineStr">
        <is>
          <t>Instalaciones eléctricas</t>
        </is>
      </c>
      <c r="O386" s="23" t="inlineStr">
        <is>
          <t>Estimado DION · criterio de mercado Guayaquil 2026 (no verificado en tienda)</t>
        </is>
      </c>
      <c r="P386" s="23" t="inlineStr">
        <is>
          <t>oct-2026 (est.)</t>
        </is>
      </c>
      <c r="Q386" s="23" t="n"/>
    </row>
    <row r="387">
      <c r="A387" s="18" t="n">
        <v>345</v>
      </c>
      <c r="B387" s="19" t="inlineStr">
        <is>
          <t xml:space="preserve">        Conector Liquidtight Recto ¾"</t>
        </is>
      </c>
      <c r="C387" s="20" t="inlineStr">
        <is>
          <t>Exterior / Motores</t>
        </is>
      </c>
      <c r="D387" s="18" t="inlineStr">
        <is>
          <t>Conectores Flex</t>
        </is>
      </c>
      <c r="E387" s="18" t="inlineStr">
        <is>
          <t>U</t>
        </is>
      </c>
      <c r="F387" s="21" t="n">
        <v>4</v>
      </c>
      <c r="G387" s="22" t="n">
        <v>3.4</v>
      </c>
      <c r="H387" s="22" t="n">
        <v>3.54</v>
      </c>
      <c r="I387" s="18" t="inlineStr">
        <is>
          <t>Megametales</t>
        </is>
      </c>
      <c r="J387" s="22" t="n">
        <v>3.71</v>
      </c>
      <c r="K387" s="18" t="inlineStr">
        <is>
          <t>Ferrisariato</t>
        </is>
      </c>
      <c r="L387" s="8">
        <f>F387*G387</f>
        <v/>
      </c>
      <c r="M387" s="145" t="inlineStr">
        <is>
          <t>IE-D50-ACN-LTG-CNT-DN20</t>
        </is>
      </c>
      <c r="N387" s="18" t="inlineStr">
        <is>
          <t>Instalaciones eléctricas</t>
        </is>
      </c>
      <c r="O387" s="18" t="inlineStr">
        <is>
          <t>Estimado DION · criterio de mercado Guayaquil 2026 (no verificado en tienda)</t>
        </is>
      </c>
      <c r="P387" s="18" t="inlineStr">
        <is>
          <t>oct-2026 (est.)</t>
        </is>
      </c>
      <c r="Q387" s="18" t="n"/>
    </row>
    <row r="388">
      <c r="A388" s="23" t="n">
        <v>346</v>
      </c>
      <c r="B388" s="24" t="inlineStr">
        <is>
          <t xml:space="preserve">        Boquilla / Bushing Plástico ¾"-1"</t>
        </is>
      </c>
      <c r="C388" s="25" t="inlineStr">
        <is>
          <t>Comercial / Industrial</t>
        </is>
      </c>
      <c r="D388" s="23" t="inlineStr">
        <is>
          <t>Boquillas</t>
        </is>
      </c>
      <c r="E388" s="23" t="inlineStr">
        <is>
          <t>U</t>
        </is>
      </c>
      <c r="F388" s="26" t="n">
        <v>20</v>
      </c>
      <c r="G388" s="27" t="n">
        <v>0.35</v>
      </c>
      <c r="H388" s="27" t="n">
        <v>0.36</v>
      </c>
      <c r="I388" s="23" t="inlineStr">
        <is>
          <t>Megametales</t>
        </is>
      </c>
      <c r="J388" s="27" t="n">
        <v>0.37</v>
      </c>
      <c r="K388" s="23" t="inlineStr">
        <is>
          <t>Kywi / Megakywi</t>
        </is>
      </c>
      <c r="L388" s="28">
        <f>F388*G388</f>
        <v/>
      </c>
      <c r="M388" s="146" t="inlineStr">
        <is>
          <t>IE-D50-ACN-BUS-DN25</t>
        </is>
      </c>
      <c r="N388" s="23" t="inlineStr">
        <is>
          <t>Instalaciones eléctricas</t>
        </is>
      </c>
      <c r="O388" s="23" t="inlineStr">
        <is>
          <t>Estimado DION · criterio de mercado Guayaquil 2026 (no verificado en tienda)</t>
        </is>
      </c>
      <c r="P388" s="23" t="inlineStr">
        <is>
          <t>oct-2026 (est.)</t>
        </is>
      </c>
      <c r="Q388" s="23" t="n"/>
    </row>
    <row r="389">
      <c r="A389" s="18" t="n">
        <v>347</v>
      </c>
      <c r="B389" s="19" t="inlineStr">
        <is>
          <t xml:space="preserve">        Sello Cortafuego Intumescente para Pase de Ducto (Cartucho)</t>
        </is>
      </c>
      <c r="C389" s="20" t="inlineStr">
        <is>
          <t>Comercial / Hospitalario</t>
        </is>
      </c>
      <c r="D389" s="18" t="inlineStr">
        <is>
          <t>Sellos Cortafuego</t>
        </is>
      </c>
      <c r="E389" s="18" t="inlineStr">
        <is>
          <t>U</t>
        </is>
      </c>
      <c r="F389" s="21" t="n">
        <v>4</v>
      </c>
      <c r="G389" s="22" t="n">
        <v>24</v>
      </c>
      <c r="H389" s="22" t="n">
        <v>24.48</v>
      </c>
      <c r="I389" s="18" t="inlineStr">
        <is>
          <t>Megametales</t>
        </is>
      </c>
      <c r="J389" s="22" t="n">
        <v>26.64</v>
      </c>
      <c r="K389" s="18" t="inlineStr">
        <is>
          <t>Ferrisariato</t>
        </is>
      </c>
      <c r="L389" s="8">
        <f>F389*G389</f>
        <v/>
      </c>
      <c r="M389" s="145" t="inlineStr">
        <is>
          <t>IE-D50-ACN-SCF-INT</t>
        </is>
      </c>
      <c r="N389" s="18" t="inlineStr">
        <is>
          <t>Instalaciones eléctricas</t>
        </is>
      </c>
      <c r="O389" s="18" t="inlineStr">
        <is>
          <t>Estimado DION · criterio de mercado Guayaquil 2026 (no verificado en tienda)</t>
        </is>
      </c>
      <c r="P389" s="18" t="inlineStr">
        <is>
          <t>oct-2026 (est.)</t>
        </is>
      </c>
      <c r="Q389" s="18" t="n"/>
    </row>
    <row r="390">
      <c r="A390" s="16" t="inlineStr">
        <is>
          <t xml:space="preserve">  ► CATEGORÍA: ACOMETIDAS</t>
        </is>
      </c>
      <c r="B390" s="143" t="n"/>
      <c r="C390" s="143" t="n"/>
      <c r="D390" s="143" t="n"/>
      <c r="E390" s="143" t="n"/>
      <c r="F390" s="143" t="n"/>
      <c r="G390" s="143" t="n"/>
      <c r="H390" s="143" t="n"/>
      <c r="I390" s="143" t="n"/>
      <c r="J390" s="143" t="n"/>
      <c r="K390" s="143" t="n"/>
      <c r="L390" s="143" t="n"/>
      <c r="M390" s="143" t="n"/>
      <c r="N390" s="143" t="n"/>
      <c r="O390" s="143" t="n"/>
      <c r="P390" s="143" t="n"/>
      <c r="Q390" s="144" t="n"/>
    </row>
    <row r="391">
      <c r="A391" s="17" t="inlineStr">
        <is>
          <t xml:space="preserve">      • Subcategoría Especificada: Acometidas Aéreas y Subterráneas en Baja Tensión</t>
        </is>
      </c>
      <c r="B391" s="143" t="n"/>
      <c r="C391" s="143" t="n"/>
      <c r="D391" s="143" t="n"/>
      <c r="E391" s="143" t="n"/>
      <c r="F391" s="143" t="n"/>
      <c r="G391" s="143" t="n"/>
      <c r="H391" s="143" t="n"/>
      <c r="I391" s="143" t="n"/>
      <c r="J391" s="143" t="n"/>
      <c r="K391" s="143" t="n"/>
      <c r="L391" s="143" t="n"/>
      <c r="M391" s="143" t="n"/>
      <c r="N391" s="143" t="n"/>
      <c r="O391" s="143" t="n"/>
      <c r="P391" s="143" t="n"/>
      <c r="Q391" s="144" t="n"/>
    </row>
    <row r="392">
      <c r="A392" s="23" t="n">
        <v>348</v>
      </c>
      <c r="B392" s="24" t="inlineStr">
        <is>
          <t xml:space="preserve">        Acometida Aérea Cable Concéntrico 2x6 AWG (m)</t>
        </is>
      </c>
      <c r="C392" s="25" t="inlineStr">
        <is>
          <t>Residencial</t>
        </is>
      </c>
      <c r="D392" s="23" t="inlineStr">
        <is>
          <t>Acometidas Aéreas</t>
        </is>
      </c>
      <c r="E392" s="23" t="inlineStr">
        <is>
          <t>m</t>
        </is>
      </c>
      <c r="F392" s="26" t="n">
        <v>20</v>
      </c>
      <c r="G392" s="27" t="n">
        <v>3.6</v>
      </c>
      <c r="H392" s="27" t="n">
        <v>3.74</v>
      </c>
      <c r="I392" s="23" t="inlineStr">
        <is>
          <t>Megametales</t>
        </is>
      </c>
      <c r="J392" s="27" t="n">
        <v>3.85</v>
      </c>
      <c r="K392" s="23" t="inlineStr">
        <is>
          <t>Kywi / Megakywi</t>
        </is>
      </c>
      <c r="L392" s="28">
        <f>F392*G392</f>
        <v/>
      </c>
      <c r="M392" s="146" t="inlineStr">
        <is>
          <t>IE-D50-ACO-AER-2X6</t>
        </is>
      </c>
      <c r="N392" s="23" t="inlineStr">
        <is>
          <t>Instalaciones eléctricas</t>
        </is>
      </c>
      <c r="O392" s="23" t="inlineStr">
        <is>
          <t>Estimado DION · criterio de mercado Guayaquil 2026 (no verificado en tienda)</t>
        </is>
      </c>
      <c r="P392" s="23" t="inlineStr">
        <is>
          <t>oct-2026 (est.)</t>
        </is>
      </c>
      <c r="Q392" s="23" t="n">
        <v>3</v>
      </c>
    </row>
    <row r="393">
      <c r="A393" s="18" t="n">
        <v>349</v>
      </c>
      <c r="B393" s="19" t="inlineStr">
        <is>
          <t xml:space="preserve">        Acometida Aérea Cable Concéntrico 3x4 AWG (m)</t>
        </is>
      </c>
      <c r="C393" s="20" t="inlineStr">
        <is>
          <t>Residencial / Comercial</t>
        </is>
      </c>
      <c r="D393" s="18" t="inlineStr">
        <is>
          <t>Acometidas Aéreas</t>
        </is>
      </c>
      <c r="E393" s="18" t="inlineStr">
        <is>
          <t>m</t>
        </is>
      </c>
      <c r="F393" s="21" t="n">
        <v>20</v>
      </c>
      <c r="G393" s="22" t="n">
        <v>6.6</v>
      </c>
      <c r="H393" s="22" t="n">
        <v>6.8</v>
      </c>
      <c r="I393" s="18" t="inlineStr">
        <is>
          <t>Megametales</t>
        </is>
      </c>
      <c r="J393" s="22" t="n">
        <v>7.19</v>
      </c>
      <c r="K393" s="18" t="inlineStr">
        <is>
          <t>Ferrisariato</t>
        </is>
      </c>
      <c r="L393" s="8">
        <f>F393*G393</f>
        <v/>
      </c>
      <c r="M393" s="145" t="inlineStr">
        <is>
          <t>IE-D50-ACO-AER-3X4</t>
        </is>
      </c>
      <c r="N393" s="18" t="inlineStr">
        <is>
          <t>Instalaciones eléctricas</t>
        </is>
      </c>
      <c r="O393" s="18" t="inlineStr">
        <is>
          <t>Estimado DION · criterio de mercado Guayaquil 2026 (no verificado en tienda)</t>
        </is>
      </c>
      <c r="P393" s="18" t="inlineStr">
        <is>
          <t>oct-2026 (est.)</t>
        </is>
      </c>
      <c r="Q393" s="18" t="n">
        <v>3</v>
      </c>
    </row>
    <row r="394">
      <c r="A394" s="23" t="n">
        <v>350</v>
      </c>
      <c r="B394" s="24" t="inlineStr">
        <is>
          <t xml:space="preserve">        Acometida Subterránea 3x2 AWG + Tierra en Ducto (m)</t>
        </is>
      </c>
      <c r="C394" s="25" t="inlineStr">
        <is>
          <t>Comercial</t>
        </is>
      </c>
      <c r="D394" s="23" t="inlineStr">
        <is>
          <t>Acometidas Subterráneas</t>
        </is>
      </c>
      <c r="E394" s="23" t="inlineStr">
        <is>
          <t>m</t>
        </is>
      </c>
      <c r="F394" s="26" t="n">
        <v>20</v>
      </c>
      <c r="G394" s="27" t="n">
        <v>22</v>
      </c>
      <c r="H394" s="27" t="n">
        <v>22.88</v>
      </c>
      <c r="I394" s="23" t="inlineStr">
        <is>
          <t>Megametales</t>
        </is>
      </c>
      <c r="J394" s="27" t="n">
        <v>23.98</v>
      </c>
      <c r="K394" s="23" t="inlineStr">
        <is>
          <t>Kywi / Megakywi</t>
        </is>
      </c>
      <c r="L394" s="28">
        <f>F394*G394</f>
        <v/>
      </c>
      <c r="M394" s="146" t="inlineStr">
        <is>
          <t>IE-D50-ACO-SUB-3X2</t>
        </is>
      </c>
      <c r="N394" s="23" t="inlineStr">
        <is>
          <t>Instalaciones eléctricas</t>
        </is>
      </c>
      <c r="O394" s="23" t="inlineStr">
        <is>
          <t>Estimado DION · criterio de mercado Guayaquil 2026 (no verificado en tienda)</t>
        </is>
      </c>
      <c r="P394" s="23" t="inlineStr">
        <is>
          <t>oct-2026 (est.)</t>
        </is>
      </c>
      <c r="Q394" s="23" t="n">
        <v>3</v>
      </c>
    </row>
    <row r="395">
      <c r="A395" s="18" t="n">
        <v>351</v>
      </c>
      <c r="B395" s="19" t="inlineStr">
        <is>
          <t xml:space="preserve">        Acometida Subterránea 4x1/0 AWG + Tierra en Ducto (m)</t>
        </is>
      </c>
      <c r="C395" s="20" t="inlineStr">
        <is>
          <t>Comercial / Edificios</t>
        </is>
      </c>
      <c r="D395" s="18" t="inlineStr">
        <is>
          <t>Acometidas Subterráneas</t>
        </is>
      </c>
      <c r="E395" s="18" t="inlineStr">
        <is>
          <t>m</t>
        </is>
      </c>
      <c r="F395" s="21" t="n">
        <v>20</v>
      </c>
      <c r="G395" s="22" t="n">
        <v>42</v>
      </c>
      <c r="H395" s="22" t="n">
        <v>43.68</v>
      </c>
      <c r="I395" s="18" t="inlineStr">
        <is>
          <t>Megametales</t>
        </is>
      </c>
      <c r="J395" s="22" t="n">
        <v>46.2</v>
      </c>
      <c r="K395" s="18" t="inlineStr">
        <is>
          <t>Ferrisariato</t>
        </is>
      </c>
      <c r="L395" s="8">
        <f>F395*G395</f>
        <v/>
      </c>
      <c r="M395" s="145" t="inlineStr">
        <is>
          <t>IE-D50-ACO-SUB-4X0</t>
        </is>
      </c>
      <c r="N395" s="18" t="inlineStr">
        <is>
          <t>Instalaciones eléctricas</t>
        </is>
      </c>
      <c r="O395" s="18" t="inlineStr">
        <is>
          <t>Estimado DION · criterio de mercado Guayaquil 2026 (no verificado en tienda)</t>
        </is>
      </c>
      <c r="P395" s="18" t="inlineStr">
        <is>
          <t>oct-2026 (est.)</t>
        </is>
      </c>
      <c r="Q395" s="18" t="n">
        <v>3</v>
      </c>
    </row>
    <row r="396">
      <c r="A396" s="23" t="n">
        <v>352</v>
      </c>
      <c r="B396" s="24" t="inlineStr">
        <is>
          <t xml:space="preserve">        Acometida Subterránea 4x4/0 AWG + Tierra en Ducto (m)</t>
        </is>
      </c>
      <c r="C396" s="25" t="inlineStr">
        <is>
          <t>Industrial / Edificios</t>
        </is>
      </c>
      <c r="D396" s="23" t="inlineStr">
        <is>
          <t>Acometidas Subterráneas</t>
        </is>
      </c>
      <c r="E396" s="23" t="inlineStr">
        <is>
          <t>m</t>
        </is>
      </c>
      <c r="F396" s="26" t="n">
        <v>20</v>
      </c>
      <c r="G396" s="27" t="n">
        <v>86</v>
      </c>
      <c r="H396" s="27" t="n">
        <v>89.44</v>
      </c>
      <c r="I396" s="23" t="inlineStr">
        <is>
          <t>Megametales</t>
        </is>
      </c>
      <c r="J396" s="27" t="n">
        <v>93.73999999999999</v>
      </c>
      <c r="K396" s="23" t="inlineStr">
        <is>
          <t>Kywi / Megakywi</t>
        </is>
      </c>
      <c r="L396" s="28">
        <f>F396*G396</f>
        <v/>
      </c>
      <c r="M396" s="146" t="inlineStr">
        <is>
          <t>IE-D50-ACO-SUB-4X0000</t>
        </is>
      </c>
      <c r="N396" s="23" t="inlineStr">
        <is>
          <t>Instalaciones eléctricas</t>
        </is>
      </c>
      <c r="O396" s="23" t="inlineStr">
        <is>
          <t>Estimado DION · criterio de mercado Guayaquil 2026 (no verificado en tienda)</t>
        </is>
      </c>
      <c r="P396" s="23" t="inlineStr">
        <is>
          <t>oct-2026 (est.)</t>
        </is>
      </c>
      <c r="Q396" s="23" t="n">
        <v>3</v>
      </c>
    </row>
    <row r="397">
      <c r="A397" s="14" t="inlineStr">
        <is>
          <t>EQUIPOS ESPECIALIZADOS</t>
        </is>
      </c>
      <c r="B397" s="143" t="n"/>
      <c r="C397" s="143" t="n"/>
      <c r="D397" s="143" t="n"/>
      <c r="E397" s="143" t="n"/>
      <c r="F397" s="143" t="n"/>
      <c r="G397" s="143" t="n"/>
      <c r="H397" s="143" t="n"/>
      <c r="I397" s="143" t="n"/>
      <c r="J397" s="143" t="n"/>
      <c r="K397" s="143" t="n"/>
      <c r="L397" s="143" t="n"/>
      <c r="M397" s="143" t="n"/>
      <c r="N397" s="143" t="n"/>
      <c r="O397" s="143" t="n"/>
      <c r="P397" s="143" t="n"/>
      <c r="Q397" s="144" t="n"/>
    </row>
    <row r="398">
      <c r="A398" s="16" t="inlineStr">
        <is>
          <t xml:space="preserve">  ► CATEGORÍA: SISTEMAS DE ILUMINACIÓN COMPLETOS</t>
        </is>
      </c>
      <c r="B398" s="143" t="n"/>
      <c r="C398" s="143" t="n"/>
      <c r="D398" s="143" t="n"/>
      <c r="E398" s="143" t="n"/>
      <c r="F398" s="143" t="n"/>
      <c r="G398" s="143" t="n"/>
      <c r="H398" s="143" t="n"/>
      <c r="I398" s="143" t="n"/>
      <c r="J398" s="143" t="n"/>
      <c r="K398" s="143" t="n"/>
      <c r="L398" s="143" t="n"/>
      <c r="M398" s="143" t="n"/>
      <c r="N398" s="143" t="n"/>
      <c r="O398" s="143" t="n"/>
      <c r="P398" s="143" t="n"/>
      <c r="Q398" s="144" t="n"/>
    </row>
    <row r="399">
      <c r="A399" s="17" t="inlineStr">
        <is>
          <t xml:space="preserve">      • Subcategoría Especificada: Tiras LED</t>
        </is>
      </c>
      <c r="B399" s="143" t="n"/>
      <c r="C399" s="143" t="n"/>
      <c r="D399" s="143" t="n"/>
      <c r="E399" s="143" t="n"/>
      <c r="F399" s="143" t="n"/>
      <c r="G399" s="143" t="n"/>
      <c r="H399" s="143" t="n"/>
      <c r="I399" s="143" t="n"/>
      <c r="J399" s="143" t="n"/>
      <c r="K399" s="143" t="n"/>
      <c r="L399" s="143" t="n"/>
      <c r="M399" s="143" t="n"/>
      <c r="N399" s="143" t="n"/>
      <c r="O399" s="143" t="n"/>
      <c r="P399" s="143" t="n"/>
      <c r="Q399" s="144" t="n"/>
    </row>
    <row r="400">
      <c r="A400" s="18" t="n">
        <v>353</v>
      </c>
      <c r="B400" s="19" t="inlineStr">
        <is>
          <t xml:space="preserve">        Tira LED Monocolor / RGB / RGBW / COB 12V/24V (m)</t>
        </is>
      </c>
      <c r="C400" s="20" t="inlineStr">
        <is>
          <t>Residencial / Comercial</t>
        </is>
      </c>
      <c r="D400" s="18" t="inlineStr">
        <is>
          <t>Tiras LED</t>
        </is>
      </c>
      <c r="E400" s="18" t="inlineStr">
        <is>
          <t>m</t>
        </is>
      </c>
      <c r="F400" s="21" t="n">
        <v>25</v>
      </c>
      <c r="G400" s="22" t="n">
        <v>3.5</v>
      </c>
      <c r="H400" s="22" t="n">
        <v>3.65</v>
      </c>
      <c r="I400" s="18" t="inlineStr">
        <is>
          <t>Megametales</t>
        </is>
      </c>
      <c r="J400" s="22" t="n">
        <v>3.9</v>
      </c>
      <c r="K400" s="18" t="inlineStr">
        <is>
          <t>Ferrisariato</t>
        </is>
      </c>
      <c r="L400" s="8">
        <f>F400*G400</f>
        <v/>
      </c>
      <c r="M400" s="145" t="inlineStr">
        <is>
          <t>IE-D50-LUM-CIN-LED-10W</t>
        </is>
      </c>
      <c r="N400" s="18" t="inlineStr">
        <is>
          <t>Instalaciones eléctricas</t>
        </is>
      </c>
      <c r="O400" s="18" t="inlineStr">
        <is>
          <t>Estimado · base original del usuario (sin cotización verificada)</t>
        </is>
      </c>
      <c r="P400" s="18" t="inlineStr">
        <is>
          <t>oct-2026 (est.)</t>
        </is>
      </c>
      <c r="Q400" s="18" t="n">
        <v>5</v>
      </c>
    </row>
    <row r="401">
      <c r="A401" s="23" t="n">
        <v>354</v>
      </c>
      <c r="B401" s="24" t="inlineStr">
        <is>
          <t xml:space="preserve">        Tira LED Direccionable / Alta Densidad IP65/IP67/IP68</t>
        </is>
      </c>
      <c r="C401" s="25" t="inlineStr">
        <is>
          <t>Residencial / Exterior / Piscina</t>
        </is>
      </c>
      <c r="D401" s="23" t="inlineStr">
        <is>
          <t>Tiras LED Especiales</t>
        </is>
      </c>
      <c r="E401" s="23" t="inlineStr">
        <is>
          <t>m</t>
        </is>
      </c>
      <c r="F401" s="26" t="n">
        <v>15</v>
      </c>
      <c r="G401" s="27" t="n">
        <v>6.8</v>
      </c>
      <c r="H401" s="27" t="n">
        <v>7.1</v>
      </c>
      <c r="I401" s="23" t="inlineStr">
        <is>
          <t>Megametales</t>
        </is>
      </c>
      <c r="J401" s="27" t="n">
        <v>7.5</v>
      </c>
      <c r="K401" s="23" t="inlineStr">
        <is>
          <t>Kywi / Megakywi</t>
        </is>
      </c>
      <c r="L401" s="28">
        <f>F401*G401</f>
        <v/>
      </c>
      <c r="M401" s="146" t="inlineStr">
        <is>
          <t>IE-D50-LUM-TIR-IP67</t>
        </is>
      </c>
      <c r="N401" s="23" t="inlineStr">
        <is>
          <t>Instalaciones eléctricas</t>
        </is>
      </c>
      <c r="O401" s="23" t="inlineStr">
        <is>
          <t>Estimado · base original del usuario (sin cotización verificada)</t>
        </is>
      </c>
      <c r="P401" s="23" t="inlineStr">
        <is>
          <t>oct-2026 (est.)</t>
        </is>
      </c>
      <c r="Q401" s="23" t="n">
        <v>5</v>
      </c>
    </row>
    <row r="402">
      <c r="A402" s="18" t="n">
        <v>355</v>
      </c>
      <c r="B402" s="19" t="inlineStr">
        <is>
          <t xml:space="preserve">        Fuente de Poder 12V/24V + Driver Regulable Dimmer LED</t>
        </is>
      </c>
      <c r="C402" s="20" t="inlineStr">
        <is>
          <t>Residencial / Comercial</t>
        </is>
      </c>
      <c r="D402" s="18" t="inlineStr">
        <is>
          <t>Fuentes LED</t>
        </is>
      </c>
      <c r="E402" s="18" t="inlineStr">
        <is>
          <t>U</t>
        </is>
      </c>
      <c r="F402" s="21" t="n">
        <v>4</v>
      </c>
      <c r="G402" s="22" t="n">
        <v>18.5</v>
      </c>
      <c r="H402" s="22" t="n">
        <v>19.2</v>
      </c>
      <c r="I402" s="18" t="inlineStr">
        <is>
          <t>Megametales</t>
        </is>
      </c>
      <c r="J402" s="22" t="n">
        <v>20.5</v>
      </c>
      <c r="K402" s="18" t="inlineStr">
        <is>
          <t>Ferrisariato</t>
        </is>
      </c>
      <c r="L402" s="8">
        <f>F402*G402</f>
        <v/>
      </c>
      <c r="M402" s="145" t="inlineStr">
        <is>
          <t>IE-D50-LUM-FTE-12V-100W</t>
        </is>
      </c>
      <c r="N402" s="18" t="inlineStr">
        <is>
          <t>Instalaciones eléctricas</t>
        </is>
      </c>
      <c r="O402" s="18" t="inlineStr">
        <is>
          <t>Estimado · base original del usuario (sin cotización verificada)</t>
        </is>
      </c>
      <c r="P402" s="18" t="inlineStr">
        <is>
          <t>oct-2026 (est.)</t>
        </is>
      </c>
      <c r="Q402" s="18" t="n"/>
    </row>
    <row r="403">
      <c r="A403" s="17" t="inlineStr">
        <is>
          <t xml:space="preserve">      • Subcategoría Especificada: Spots</t>
        </is>
      </c>
      <c r="B403" s="143" t="n"/>
      <c r="C403" s="143" t="n"/>
      <c r="D403" s="143" t="n"/>
      <c r="E403" s="143" t="n"/>
      <c r="F403" s="143" t="n"/>
      <c r="G403" s="143" t="n"/>
      <c r="H403" s="143" t="n"/>
      <c r="I403" s="143" t="n"/>
      <c r="J403" s="143" t="n"/>
      <c r="K403" s="143" t="n"/>
      <c r="L403" s="143" t="n"/>
      <c r="M403" s="143" t="n"/>
      <c r="N403" s="143" t="n"/>
      <c r="O403" s="143" t="n"/>
      <c r="P403" s="143" t="n"/>
      <c r="Q403" s="144" t="n"/>
    </row>
    <row r="404">
      <c r="A404" s="23" t="n">
        <v>356</v>
      </c>
      <c r="B404" s="24" t="inlineStr">
        <is>
          <t xml:space="preserve">        Spot Empotrado / Basculante / Orientable LED 7W-12W</t>
        </is>
      </c>
      <c r="C404" s="25" t="inlineStr">
        <is>
          <t>Residencial / Comercial</t>
        </is>
      </c>
      <c r="D404" s="23" t="inlineStr">
        <is>
          <t>Spots LED</t>
        </is>
      </c>
      <c r="E404" s="23" t="inlineStr">
        <is>
          <t>U</t>
        </is>
      </c>
      <c r="F404" s="26" t="n">
        <v>20</v>
      </c>
      <c r="G404" s="27" t="n">
        <v>4.5</v>
      </c>
      <c r="H404" s="27" t="n">
        <v>4.7</v>
      </c>
      <c r="I404" s="23" t="inlineStr">
        <is>
          <t>Megametales</t>
        </is>
      </c>
      <c r="J404" s="27" t="n">
        <v>5.2</v>
      </c>
      <c r="K404" s="23" t="inlineStr">
        <is>
          <t>Kywi / Megakywi</t>
        </is>
      </c>
      <c r="L404" s="28">
        <f>F404*G404</f>
        <v/>
      </c>
      <c r="M404" s="146" t="inlineStr">
        <is>
          <t>IE-D50-LUM-DWN-04-07W</t>
        </is>
      </c>
      <c r="N404" s="23" t="inlineStr">
        <is>
          <t>Instalaciones eléctricas</t>
        </is>
      </c>
      <c r="O404" s="23" t="inlineStr">
        <is>
          <t>Estimado · base original del usuario (sin cotización verificada)</t>
        </is>
      </c>
      <c r="P404" s="23" t="inlineStr">
        <is>
          <t>oct-2026 (est.)</t>
        </is>
      </c>
      <c r="Q404" s="23" t="n"/>
    </row>
    <row r="405">
      <c r="A405" s="18" t="n">
        <v>357</v>
      </c>
      <c r="B405" s="19" t="inlineStr">
        <is>
          <t xml:space="preserve">        Spot de Superficie / Carril / Downlight / Mini Spot Decorativo</t>
        </is>
      </c>
      <c r="C405" s="20" t="inlineStr">
        <is>
          <t>Comercial / Oficinas</t>
        </is>
      </c>
      <c r="D405" s="18" t="inlineStr">
        <is>
          <t>Spots Comerciales</t>
        </is>
      </c>
      <c r="E405" s="18" t="inlineStr">
        <is>
          <t>U</t>
        </is>
      </c>
      <c r="F405" s="21" t="n">
        <v>12</v>
      </c>
      <c r="G405" s="22" t="n">
        <v>12.5</v>
      </c>
      <c r="H405" s="22" t="n">
        <v>13</v>
      </c>
      <c r="I405" s="18" t="inlineStr">
        <is>
          <t>Megametales</t>
        </is>
      </c>
      <c r="J405" s="22" t="n">
        <v>14.2</v>
      </c>
      <c r="K405" s="18" t="inlineStr">
        <is>
          <t>Ferrisariato</t>
        </is>
      </c>
      <c r="L405" s="8">
        <f>F405*G405</f>
        <v/>
      </c>
      <c r="M405" s="145" t="inlineStr">
        <is>
          <t>IE-D50-LUM-RIE-TRK-20W</t>
        </is>
      </c>
      <c r="N405" s="18" t="inlineStr">
        <is>
          <t>Instalaciones eléctricas</t>
        </is>
      </c>
      <c r="O405" s="18" t="inlineStr">
        <is>
          <t>Estimado · base original del usuario (sin cotización verificada)</t>
        </is>
      </c>
      <c r="P405" s="18" t="inlineStr">
        <is>
          <t>oct-2026 (est.)</t>
        </is>
      </c>
      <c r="Q405" s="18" t="n"/>
    </row>
    <row r="406">
      <c r="A406" s="17" t="inlineStr">
        <is>
          <t xml:space="preserve">      • Subcategoría Especificada: Luminarias Interiores y Exteriores</t>
        </is>
      </c>
      <c r="B406" s="143" t="n"/>
      <c r="C406" s="143" t="n"/>
      <c r="D406" s="143" t="n"/>
      <c r="E406" s="143" t="n"/>
      <c r="F406" s="143" t="n"/>
      <c r="G406" s="143" t="n"/>
      <c r="H406" s="143" t="n"/>
      <c r="I406" s="143" t="n"/>
      <c r="J406" s="143" t="n"/>
      <c r="K406" s="143" t="n"/>
      <c r="L406" s="143" t="n"/>
      <c r="M406" s="143" t="n"/>
      <c r="N406" s="143" t="n"/>
      <c r="O406" s="143" t="n"/>
      <c r="P406" s="143" t="n"/>
      <c r="Q406" s="144" t="n"/>
    </row>
    <row r="407">
      <c r="A407" s="23" t="n">
        <v>358</v>
      </c>
      <c r="B407" s="24" t="inlineStr">
        <is>
          <t xml:space="preserve">        Plafon LED / Panel 60x60 / Lámpara Colgante / Aplique Pared</t>
        </is>
      </c>
      <c r="C407" s="25" t="inlineStr">
        <is>
          <t>Residencial / Comercial</t>
        </is>
      </c>
      <c r="D407" s="23" t="inlineStr">
        <is>
          <t>Luminarias Interiores</t>
        </is>
      </c>
      <c r="E407" s="23" t="inlineStr">
        <is>
          <t>U</t>
        </is>
      </c>
      <c r="F407" s="26" t="n">
        <v>15</v>
      </c>
      <c r="G407" s="27" t="n">
        <v>18.5</v>
      </c>
      <c r="H407" s="27" t="n">
        <v>19.2</v>
      </c>
      <c r="I407" s="23" t="inlineStr">
        <is>
          <t>Megametales</t>
        </is>
      </c>
      <c r="J407" s="27" t="n">
        <v>20.5</v>
      </c>
      <c r="K407" s="23" t="inlineStr">
        <is>
          <t>Ferrisariato</t>
        </is>
      </c>
      <c r="L407" s="28">
        <f>F407*G407</f>
        <v/>
      </c>
      <c r="M407" s="146" t="inlineStr">
        <is>
          <t>IE-D50-LUM-PAN-60X60-36W</t>
        </is>
      </c>
      <c r="N407" s="23" t="inlineStr">
        <is>
          <t>Instalaciones eléctricas</t>
        </is>
      </c>
      <c r="O407" s="23" t="inlineStr">
        <is>
          <t>Estimado · base original del usuario (sin cotización verificada)</t>
        </is>
      </c>
      <c r="P407" s="23" t="inlineStr">
        <is>
          <t>oct-2026 (est.)</t>
        </is>
      </c>
      <c r="Q407" s="23" t="n"/>
    </row>
    <row r="408">
      <c r="A408" s="18" t="n">
        <v>359</v>
      </c>
      <c r="B408" s="19" t="inlineStr">
        <is>
          <t xml:space="preserve">        Reflector LED 100W IP65 / Proyector / Baliza / Poste Solars</t>
        </is>
      </c>
      <c r="C408" s="20" t="inlineStr">
        <is>
          <t>Residencial / Comercial / Urb</t>
        </is>
      </c>
      <c r="D408" s="18" t="inlineStr">
        <is>
          <t>Luminarias Exteriores</t>
        </is>
      </c>
      <c r="E408" s="18" t="inlineStr">
        <is>
          <t>U</t>
        </is>
      </c>
      <c r="F408" s="21" t="n">
        <v>6</v>
      </c>
      <c r="G408" s="22" t="n">
        <v>32</v>
      </c>
      <c r="H408" s="22" t="n">
        <v>33.5</v>
      </c>
      <c r="I408" s="18" t="inlineStr">
        <is>
          <t>Megametales</t>
        </is>
      </c>
      <c r="J408" s="22" t="n">
        <v>36</v>
      </c>
      <c r="K408" s="18" t="inlineStr">
        <is>
          <t>Ferrisariato</t>
        </is>
      </c>
      <c r="L408" s="8">
        <f>F408*G408</f>
        <v/>
      </c>
      <c r="M408" s="145" t="inlineStr">
        <is>
          <t>IE-D50-LUM-REF-100W</t>
        </is>
      </c>
      <c r="N408" s="18" t="inlineStr">
        <is>
          <t>Instalaciones eléctricas</t>
        </is>
      </c>
      <c r="O408" s="18" t="inlineStr">
        <is>
          <t>Estimado · base original del usuario (sin cotización verificada)</t>
        </is>
      </c>
      <c r="P408" s="18" t="inlineStr">
        <is>
          <t>oct-2026 (est.)</t>
        </is>
      </c>
      <c r="Q408" s="18" t="n"/>
    </row>
    <row r="409">
      <c r="A409" s="23" t="n">
        <v>360</v>
      </c>
      <c r="B409" s="24" t="inlineStr">
        <is>
          <t xml:space="preserve">        Luminaria Sumergible para Piscina LED RGB IP68 18W</t>
        </is>
      </c>
      <c r="C409" s="25" t="inlineStr">
        <is>
          <t>Piscina / Áreas Húmedas</t>
        </is>
      </c>
      <c r="D409" s="23" t="inlineStr">
        <is>
          <t>Luminarias Sumergibles</t>
        </is>
      </c>
      <c r="E409" s="23" t="inlineStr">
        <is>
          <t>U</t>
        </is>
      </c>
      <c r="F409" s="26" t="n">
        <v>4</v>
      </c>
      <c r="G409" s="27" t="n">
        <v>85</v>
      </c>
      <c r="H409" s="27" t="n">
        <v>88</v>
      </c>
      <c r="I409" s="23" t="inlineStr">
        <is>
          <t>Megametales</t>
        </is>
      </c>
      <c r="J409" s="27" t="n">
        <v>94</v>
      </c>
      <c r="K409" s="23" t="inlineStr">
        <is>
          <t>Kywi / Megakywi</t>
        </is>
      </c>
      <c r="L409" s="28">
        <f>F409*G409</f>
        <v/>
      </c>
      <c r="M409" s="146" t="inlineStr">
        <is>
          <t>IE-D50-LUM-SUM-PIS-18W</t>
        </is>
      </c>
      <c r="N409" s="23" t="inlineStr">
        <is>
          <t>Instalaciones eléctricas</t>
        </is>
      </c>
      <c r="O409" s="23" t="inlineStr">
        <is>
          <t>Estimado · base original del usuario (sin cotización verificada)</t>
        </is>
      </c>
      <c r="P409" s="23" t="inlineStr">
        <is>
          <t>oct-2026 (est.)</t>
        </is>
      </c>
      <c r="Q409" s="23" t="n"/>
    </row>
    <row r="410">
      <c r="A410" s="17" t="inlineStr">
        <is>
          <t xml:space="preserve">      • Subcategoría Especificada: Sistemas de Control de Iluminación</t>
        </is>
      </c>
      <c r="B410" s="143" t="n"/>
      <c r="C410" s="143" t="n"/>
      <c r="D410" s="143" t="n"/>
      <c r="E410" s="143" t="n"/>
      <c r="F410" s="143" t="n"/>
      <c r="G410" s="143" t="n"/>
      <c r="H410" s="143" t="n"/>
      <c r="I410" s="143" t="n"/>
      <c r="J410" s="143" t="n"/>
      <c r="K410" s="143" t="n"/>
      <c r="L410" s="143" t="n"/>
      <c r="M410" s="143" t="n"/>
      <c r="N410" s="143" t="n"/>
      <c r="O410" s="143" t="n"/>
      <c r="P410" s="143" t="n"/>
      <c r="Q410" s="144" t="n"/>
    </row>
    <row r="411">
      <c r="A411" s="18" t="n">
        <v>361</v>
      </c>
      <c r="B411" s="19" t="inlineStr">
        <is>
          <t xml:space="preserve">        Sensor Movimiento 360° / Dimmer / Controlador Smart (WiFi/Zigbee)</t>
        </is>
      </c>
      <c r="C411" s="20" t="inlineStr">
        <is>
          <t>Residencial / Comercial</t>
        </is>
      </c>
      <c r="D411" s="18" t="inlineStr">
        <is>
          <t>Control Iluminación</t>
        </is>
      </c>
      <c r="E411" s="18" t="inlineStr">
        <is>
          <t>U</t>
        </is>
      </c>
      <c r="F411" s="21" t="n">
        <v>6</v>
      </c>
      <c r="G411" s="22" t="n">
        <v>12.5</v>
      </c>
      <c r="H411" s="22" t="n">
        <v>13</v>
      </c>
      <c r="I411" s="18" t="inlineStr">
        <is>
          <t>Megametales</t>
        </is>
      </c>
      <c r="J411" s="22" t="n">
        <v>14.2</v>
      </c>
      <c r="K411" s="18" t="inlineStr">
        <is>
          <t>Ferrisariato</t>
        </is>
      </c>
      <c r="L411" s="8">
        <f>F411*G411</f>
        <v/>
      </c>
      <c r="M411" s="145" t="inlineStr">
        <is>
          <t>IE-D50-INT-SEN-PIR</t>
        </is>
      </c>
      <c r="N411" s="18" t="inlineStr">
        <is>
          <t>Instalaciones eléctricas</t>
        </is>
      </c>
      <c r="O411" s="18" t="inlineStr">
        <is>
          <t>Estimado · base original del usuario (sin cotización verificada)</t>
        </is>
      </c>
      <c r="P411" s="18" t="inlineStr">
        <is>
          <t>oct-2026 (est.)</t>
        </is>
      </c>
      <c r="Q411" s="18" t="n"/>
    </row>
    <row r="412">
      <c r="A412" s="17" t="inlineStr">
        <is>
          <t xml:space="preserve">      • Subcategoría Especificada: Catálogo Detallado de Luminarias por Tipo y Potencia</t>
        </is>
      </c>
      <c r="B412" s="143" t="n"/>
      <c r="C412" s="143" t="n"/>
      <c r="D412" s="143" t="n"/>
      <c r="E412" s="143" t="n"/>
      <c r="F412" s="143" t="n"/>
      <c r="G412" s="143" t="n"/>
      <c r="H412" s="143" t="n"/>
      <c r="I412" s="143" t="n"/>
      <c r="J412" s="143" t="n"/>
      <c r="K412" s="143" t="n"/>
      <c r="L412" s="143" t="n"/>
      <c r="M412" s="143" t="n"/>
      <c r="N412" s="143" t="n"/>
      <c r="O412" s="143" t="n"/>
      <c r="P412" s="143" t="n"/>
      <c r="Q412" s="144" t="n"/>
    </row>
    <row r="413">
      <c r="A413" s="23" t="n">
        <v>362</v>
      </c>
      <c r="B413" s="24" t="inlineStr">
        <is>
          <t xml:space="preserve">        Panel LED 60x60 cm 48W 4000K Empotrable</t>
        </is>
      </c>
      <c r="C413" s="25" t="inlineStr">
        <is>
          <t>Residencial / Comercial / Ind</t>
        </is>
      </c>
      <c r="D413" s="23" t="inlineStr">
        <is>
          <t>Luminarias Interiores</t>
        </is>
      </c>
      <c r="E413" s="23" t="inlineStr">
        <is>
          <t>U</t>
        </is>
      </c>
      <c r="F413" s="26" t="n">
        <v>4</v>
      </c>
      <c r="G413" s="27" t="n">
        <v>24</v>
      </c>
      <c r="H413" s="27" t="n">
        <v>24.48</v>
      </c>
      <c r="I413" s="23" t="inlineStr">
        <is>
          <t>Megametales</t>
        </is>
      </c>
      <c r="J413" s="27" t="n">
        <v>26.16</v>
      </c>
      <c r="K413" s="23" t="inlineStr">
        <is>
          <t>Kywi / Megakywi</t>
        </is>
      </c>
      <c r="L413" s="28">
        <f>F413*G413</f>
        <v/>
      </c>
      <c r="M413" s="146" t="inlineStr">
        <is>
          <t>IE-D50-LUM-PAN-60X60-48W</t>
        </is>
      </c>
      <c r="N413" s="23" t="inlineStr">
        <is>
          <t>Instalaciones eléctricas</t>
        </is>
      </c>
      <c r="O413" s="23" t="inlineStr">
        <is>
          <t>Estimado DION · criterio de mercado Guayaquil 2026 (no verificado en tienda)</t>
        </is>
      </c>
      <c r="P413" s="23" t="inlineStr">
        <is>
          <t>oct-2026 (est.)</t>
        </is>
      </c>
      <c r="Q413" s="23" t="n"/>
    </row>
    <row r="414">
      <c r="A414" s="18" t="n">
        <v>363</v>
      </c>
      <c r="B414" s="19" t="inlineStr">
        <is>
          <t xml:space="preserve">        Panel LED 30x120 cm 40W 4000K</t>
        </is>
      </c>
      <c r="C414" s="20" t="inlineStr">
        <is>
          <t>Residencial / Comercial / Ind</t>
        </is>
      </c>
      <c r="D414" s="18" t="inlineStr">
        <is>
          <t>Luminarias Interiores</t>
        </is>
      </c>
      <c r="E414" s="18" t="inlineStr">
        <is>
          <t>U</t>
        </is>
      </c>
      <c r="F414" s="21" t="n">
        <v>4</v>
      </c>
      <c r="G414" s="22" t="n">
        <v>29</v>
      </c>
      <c r="H414" s="22" t="n">
        <v>30.45</v>
      </c>
      <c r="I414" s="18" t="inlineStr">
        <is>
          <t>Megametales</t>
        </is>
      </c>
      <c r="J414" s="22" t="n">
        <v>31.32</v>
      </c>
      <c r="K414" s="18" t="inlineStr">
        <is>
          <t>Ferrisariato</t>
        </is>
      </c>
      <c r="L414" s="8">
        <f>F414*G414</f>
        <v/>
      </c>
      <c r="M414" s="145" t="inlineStr">
        <is>
          <t>IE-D50-LUM-PAN-30X120-40W</t>
        </is>
      </c>
      <c r="N414" s="18" t="inlineStr">
        <is>
          <t>Instalaciones eléctricas</t>
        </is>
      </c>
      <c r="O414" s="18" t="inlineStr">
        <is>
          <t>Estimado DION · criterio de mercado Guayaquil 2026 (no verificado en tienda)</t>
        </is>
      </c>
      <c r="P414" s="18" t="inlineStr">
        <is>
          <t>oct-2026 (est.)</t>
        </is>
      </c>
      <c r="Q414" s="18" t="n"/>
    </row>
    <row r="415">
      <c r="A415" s="23" t="n">
        <v>364</v>
      </c>
      <c r="B415" s="24" t="inlineStr">
        <is>
          <t xml:space="preserve">        Panel LED 60x60 Antideslumbrante UGR&lt;19 (Oficinas/Aulas)</t>
        </is>
      </c>
      <c r="C415" s="25" t="inlineStr">
        <is>
          <t>Residencial / Comercial / Ind</t>
        </is>
      </c>
      <c r="D415" s="23" t="inlineStr">
        <is>
          <t>Luminarias Interiores</t>
        </is>
      </c>
      <c r="E415" s="23" t="inlineStr">
        <is>
          <t>U</t>
        </is>
      </c>
      <c r="F415" s="26" t="n">
        <v>4</v>
      </c>
      <c r="G415" s="27" t="n">
        <v>46</v>
      </c>
      <c r="H415" s="27" t="n">
        <v>47.84</v>
      </c>
      <c r="I415" s="23" t="inlineStr">
        <is>
          <t>Megametales</t>
        </is>
      </c>
      <c r="J415" s="27" t="n">
        <v>50.6</v>
      </c>
      <c r="K415" s="23" t="inlineStr">
        <is>
          <t>Kywi / Megakywi</t>
        </is>
      </c>
      <c r="L415" s="28">
        <f>F415*G415</f>
        <v/>
      </c>
      <c r="M415" s="146" t="inlineStr">
        <is>
          <t>IE-D50-LUM-PAN-60X60-UGR</t>
        </is>
      </c>
      <c r="N415" s="23" t="inlineStr">
        <is>
          <t>Instalaciones eléctricas</t>
        </is>
      </c>
      <c r="O415" s="23" t="inlineStr">
        <is>
          <t>Estimado DION · criterio de mercado Guayaquil 2026 (no verificado en tienda)</t>
        </is>
      </c>
      <c r="P415" s="23" t="inlineStr">
        <is>
          <t>oct-2026 (est.)</t>
        </is>
      </c>
      <c r="Q415" s="23" t="n"/>
    </row>
    <row r="416">
      <c r="A416" s="18" t="n">
        <v>365</v>
      </c>
      <c r="B416" s="19" t="inlineStr">
        <is>
          <t xml:space="preserve">        Panel LED 60x60 Hermético IP54 Grado Hospitalario/Sala Limpia</t>
        </is>
      </c>
      <c r="C416" s="20" t="inlineStr">
        <is>
          <t>Residencial / Comercial / Ind</t>
        </is>
      </c>
      <c r="D416" s="18" t="inlineStr">
        <is>
          <t>Luminarias Hospitalarias</t>
        </is>
      </c>
      <c r="E416" s="18" t="inlineStr">
        <is>
          <t>U</t>
        </is>
      </c>
      <c r="F416" s="21" t="n">
        <v>4</v>
      </c>
      <c r="G416" s="22" t="n">
        <v>88</v>
      </c>
      <c r="H416" s="22" t="n">
        <v>92.40000000000001</v>
      </c>
      <c r="I416" s="18" t="inlineStr">
        <is>
          <t>Megametales</t>
        </is>
      </c>
      <c r="J416" s="22" t="n">
        <v>95.04000000000001</v>
      </c>
      <c r="K416" s="18" t="inlineStr">
        <is>
          <t>Ferrisariato</t>
        </is>
      </c>
      <c r="L416" s="8">
        <f>F416*G416</f>
        <v/>
      </c>
      <c r="M416" s="145" t="inlineStr">
        <is>
          <t>IE-D50-LUM-PAN-60X60-HOS</t>
        </is>
      </c>
      <c r="N416" s="18" t="inlineStr">
        <is>
          <t>Instalaciones eléctricas</t>
        </is>
      </c>
      <c r="O416" s="18" t="inlineStr">
        <is>
          <t>Estimado DION · criterio de mercado Guayaquil 2026 (no verificado en tienda)</t>
        </is>
      </c>
      <c r="P416" s="18" t="inlineStr">
        <is>
          <t>oct-2026 (est.)</t>
        </is>
      </c>
      <c r="Q416" s="18" t="n"/>
    </row>
    <row r="417">
      <c r="A417" s="23" t="n">
        <v>366</v>
      </c>
      <c r="B417" s="24" t="inlineStr">
        <is>
          <t xml:space="preserve">        Downlight LED Empotrable 6" 12W</t>
        </is>
      </c>
      <c r="C417" s="25" t="inlineStr">
        <is>
          <t>Residencial / Comercial / Ind</t>
        </is>
      </c>
      <c r="D417" s="23" t="inlineStr">
        <is>
          <t>Downlights</t>
        </is>
      </c>
      <c r="E417" s="23" t="inlineStr">
        <is>
          <t>U</t>
        </is>
      </c>
      <c r="F417" s="26" t="n">
        <v>4</v>
      </c>
      <c r="G417" s="27" t="n">
        <v>7.8</v>
      </c>
      <c r="H417" s="27" t="n">
        <v>8.029999999999999</v>
      </c>
      <c r="I417" s="23" t="inlineStr">
        <is>
          <t>Megametales</t>
        </is>
      </c>
      <c r="J417" s="27" t="n">
        <v>8.42</v>
      </c>
      <c r="K417" s="23" t="inlineStr">
        <is>
          <t>Kywi / Megakywi</t>
        </is>
      </c>
      <c r="L417" s="28">
        <f>F417*G417</f>
        <v/>
      </c>
      <c r="M417" s="146" t="inlineStr">
        <is>
          <t>IE-D50-LUM-DWN-06-12W</t>
        </is>
      </c>
      <c r="N417" s="23" t="inlineStr">
        <is>
          <t>Instalaciones eléctricas</t>
        </is>
      </c>
      <c r="O417" s="23" t="inlineStr">
        <is>
          <t>Estimado DION · criterio de mercado Guayaquil 2026 (no verificado en tienda)</t>
        </is>
      </c>
      <c r="P417" s="23" t="inlineStr">
        <is>
          <t>oct-2026 (est.)</t>
        </is>
      </c>
      <c r="Q417" s="23" t="n"/>
    </row>
    <row r="418">
      <c r="A418" s="18" t="n">
        <v>367</v>
      </c>
      <c r="B418" s="19" t="inlineStr">
        <is>
          <t xml:space="preserve">        Downlight LED Empotrable 8" 18W</t>
        </is>
      </c>
      <c r="C418" s="20" t="inlineStr">
        <is>
          <t>Residencial / Comercial / Ind</t>
        </is>
      </c>
      <c r="D418" s="18" t="inlineStr">
        <is>
          <t>Downlights</t>
        </is>
      </c>
      <c r="E418" s="18" t="inlineStr">
        <is>
          <t>U</t>
        </is>
      </c>
      <c r="F418" s="21" t="n">
        <v>4</v>
      </c>
      <c r="G418" s="22" t="n">
        <v>12.5</v>
      </c>
      <c r="H418" s="22" t="n">
        <v>13</v>
      </c>
      <c r="I418" s="18" t="inlineStr">
        <is>
          <t>Megametales</t>
        </is>
      </c>
      <c r="J418" s="22" t="n">
        <v>13.75</v>
      </c>
      <c r="K418" s="18" t="inlineStr">
        <is>
          <t>Ferrisariato</t>
        </is>
      </c>
      <c r="L418" s="8">
        <f>F418*G418</f>
        <v/>
      </c>
      <c r="M418" s="145" t="inlineStr">
        <is>
          <t>IE-D50-LUM-DWN-08-18W</t>
        </is>
      </c>
      <c r="N418" s="18" t="inlineStr">
        <is>
          <t>Instalaciones eléctricas</t>
        </is>
      </c>
      <c r="O418" s="18" t="inlineStr">
        <is>
          <t>Estimado DION · criterio de mercado Guayaquil 2026 (no verificado en tienda)</t>
        </is>
      </c>
      <c r="P418" s="18" t="inlineStr">
        <is>
          <t>oct-2026 (est.)</t>
        </is>
      </c>
      <c r="Q418" s="18" t="n"/>
    </row>
    <row r="419">
      <c r="A419" s="23" t="n">
        <v>368</v>
      </c>
      <c r="B419" s="24" t="inlineStr">
        <is>
          <t xml:space="preserve">        Downlight LED Empotrable 8" 24W</t>
        </is>
      </c>
      <c r="C419" s="25" t="inlineStr">
        <is>
          <t>Residencial / Comercial / Ind</t>
        </is>
      </c>
      <c r="D419" s="23" t="inlineStr">
        <is>
          <t>Downlights</t>
        </is>
      </c>
      <c r="E419" s="23" t="inlineStr">
        <is>
          <t>U</t>
        </is>
      </c>
      <c r="F419" s="26" t="n">
        <v>4</v>
      </c>
      <c r="G419" s="27" t="n">
        <v>16.5</v>
      </c>
      <c r="H419" s="27" t="n">
        <v>16.83</v>
      </c>
      <c r="I419" s="23" t="inlineStr">
        <is>
          <t>Megametales</t>
        </is>
      </c>
      <c r="J419" s="27" t="n">
        <v>17.99</v>
      </c>
      <c r="K419" s="23" t="inlineStr">
        <is>
          <t>Kywi / Megakywi</t>
        </is>
      </c>
      <c r="L419" s="28">
        <f>F419*G419</f>
        <v/>
      </c>
      <c r="M419" s="146" t="inlineStr">
        <is>
          <t>IE-D50-LUM-DWN-08-24W</t>
        </is>
      </c>
      <c r="N419" s="23" t="inlineStr">
        <is>
          <t>Instalaciones eléctricas</t>
        </is>
      </c>
      <c r="O419" s="23" t="inlineStr">
        <is>
          <t>Estimado DION · criterio de mercado Guayaquil 2026 (no verificado en tienda)</t>
        </is>
      </c>
      <c r="P419" s="23" t="inlineStr">
        <is>
          <t>oct-2026 (est.)</t>
        </is>
      </c>
      <c r="Q419" s="23" t="n"/>
    </row>
    <row r="420">
      <c r="A420" s="18" t="n">
        <v>369</v>
      </c>
      <c r="B420" s="19" t="inlineStr">
        <is>
          <t xml:space="preserve">        Ojo de Buey Dirigible GU10 + Foco LED 5W</t>
        </is>
      </c>
      <c r="C420" s="20" t="inlineStr">
        <is>
          <t>Residencial / Comercial / Ind</t>
        </is>
      </c>
      <c r="D420" s="18" t="inlineStr">
        <is>
          <t>Spots LED</t>
        </is>
      </c>
      <c r="E420" s="18" t="inlineStr">
        <is>
          <t>U</t>
        </is>
      </c>
      <c r="F420" s="21" t="n">
        <v>4</v>
      </c>
      <c r="G420" s="22" t="n">
        <v>4.9</v>
      </c>
      <c r="H420" s="22" t="n">
        <v>5.1</v>
      </c>
      <c r="I420" s="18" t="inlineStr">
        <is>
          <t>Megametales</t>
        </is>
      </c>
      <c r="J420" s="22" t="n">
        <v>5.29</v>
      </c>
      <c r="K420" s="18" t="inlineStr">
        <is>
          <t>Ferrisariato</t>
        </is>
      </c>
      <c r="L420" s="8">
        <f>F420*G420</f>
        <v/>
      </c>
      <c r="M420" s="145" t="inlineStr">
        <is>
          <t>IE-D50-LUM-OJO-GU10-05W</t>
        </is>
      </c>
      <c r="N420" s="18" t="inlineStr">
        <is>
          <t>Instalaciones eléctricas</t>
        </is>
      </c>
      <c r="O420" s="18" t="inlineStr">
        <is>
          <t>Estimado DION · criterio de mercado Guayaquil 2026 (no verificado en tienda)</t>
        </is>
      </c>
      <c r="P420" s="18" t="inlineStr">
        <is>
          <t>oct-2026 (est.)</t>
        </is>
      </c>
      <c r="Q420" s="18" t="n"/>
    </row>
    <row r="421">
      <c r="A421" s="23" t="n">
        <v>370</v>
      </c>
      <c r="B421" s="24" t="inlineStr">
        <is>
          <t xml:space="preserve">        Regleta LED T8 2x18W 120 cm</t>
        </is>
      </c>
      <c r="C421" s="25" t="inlineStr">
        <is>
          <t>Residencial / Comercial / Ind</t>
        </is>
      </c>
      <c r="D421" s="23" t="inlineStr">
        <is>
          <t>Luminarias Lineales</t>
        </is>
      </c>
      <c r="E421" s="23" t="inlineStr">
        <is>
          <t>U</t>
        </is>
      </c>
      <c r="F421" s="26" t="n">
        <v>4</v>
      </c>
      <c r="G421" s="27" t="n">
        <v>14.5</v>
      </c>
      <c r="H421" s="27" t="n">
        <v>14.79</v>
      </c>
      <c r="I421" s="23" t="inlineStr">
        <is>
          <t>Megametales</t>
        </is>
      </c>
      <c r="J421" s="27" t="n">
        <v>16.1</v>
      </c>
      <c r="K421" s="23" t="inlineStr">
        <is>
          <t>Kywi / Megakywi</t>
        </is>
      </c>
      <c r="L421" s="28">
        <f>F421*G421</f>
        <v/>
      </c>
      <c r="M421" s="146" t="inlineStr">
        <is>
          <t>IE-D50-LUM-TUB-T8-2X18W</t>
        </is>
      </c>
      <c r="N421" s="23" t="inlineStr">
        <is>
          <t>Instalaciones eléctricas</t>
        </is>
      </c>
      <c r="O421" s="23" t="inlineStr">
        <is>
          <t>Estimado DION · criterio de mercado Guayaquil 2026 (no verificado en tienda)</t>
        </is>
      </c>
      <c r="P421" s="23" t="inlineStr">
        <is>
          <t>oct-2026 (est.)</t>
        </is>
      </c>
      <c r="Q421" s="23" t="n"/>
    </row>
    <row r="422">
      <c r="A422" s="18" t="n">
        <v>371</v>
      </c>
      <c r="B422" s="19" t="inlineStr">
        <is>
          <t xml:space="preserve">        Luminaria Hermética IP65 2x18W LED (Parqueos/Bodegas)</t>
        </is>
      </c>
      <c r="C422" s="20" t="inlineStr">
        <is>
          <t>Residencial / Comercial / Ind</t>
        </is>
      </c>
      <c r="D422" s="18" t="inlineStr">
        <is>
          <t>Luminarias Herméticas</t>
        </is>
      </c>
      <c r="E422" s="18" t="inlineStr">
        <is>
          <t>U</t>
        </is>
      </c>
      <c r="F422" s="21" t="n">
        <v>4</v>
      </c>
      <c r="G422" s="22" t="n">
        <v>23</v>
      </c>
      <c r="H422" s="22" t="n">
        <v>24.15</v>
      </c>
      <c r="I422" s="18" t="inlineStr">
        <is>
          <t>Megametales</t>
        </is>
      </c>
      <c r="J422" s="22" t="n">
        <v>24.61</v>
      </c>
      <c r="K422" s="18" t="inlineStr">
        <is>
          <t>Ferrisariato</t>
        </is>
      </c>
      <c r="L422" s="8">
        <f>F422*G422</f>
        <v/>
      </c>
      <c r="M422" s="145" t="inlineStr">
        <is>
          <t>IE-D50-LUM-HER-IP65-2X18W</t>
        </is>
      </c>
      <c r="N422" s="18" t="inlineStr">
        <is>
          <t>Instalaciones eléctricas</t>
        </is>
      </c>
      <c r="O422" s="18" t="inlineStr">
        <is>
          <t>Estimado DION · criterio de mercado Guayaquil 2026 (no verificado en tienda)</t>
        </is>
      </c>
      <c r="P422" s="18" t="inlineStr">
        <is>
          <t>oct-2026 (est.)</t>
        </is>
      </c>
      <c r="Q422" s="18" t="n"/>
    </row>
    <row r="423">
      <c r="A423" s="23" t="n">
        <v>372</v>
      </c>
      <c r="B423" s="24" t="inlineStr">
        <is>
          <t xml:space="preserve">        Luminaria Lineal Suspendida Aluminio 40W 120 cm</t>
        </is>
      </c>
      <c r="C423" s="25" t="inlineStr">
        <is>
          <t>Residencial / Comercial / Ind</t>
        </is>
      </c>
      <c r="D423" s="23" t="inlineStr">
        <is>
          <t>Luminarias Lineales</t>
        </is>
      </c>
      <c r="E423" s="23" t="inlineStr">
        <is>
          <t>U</t>
        </is>
      </c>
      <c r="F423" s="26" t="n">
        <v>4</v>
      </c>
      <c r="G423" s="27" t="n">
        <v>56</v>
      </c>
      <c r="H423" s="27" t="n">
        <v>58.8</v>
      </c>
      <c r="I423" s="23" t="inlineStr">
        <is>
          <t>Megametales</t>
        </is>
      </c>
      <c r="J423" s="27" t="n">
        <v>62.16</v>
      </c>
      <c r="K423" s="23" t="inlineStr">
        <is>
          <t>Kywi / Megakywi</t>
        </is>
      </c>
      <c r="L423" s="28">
        <f>F423*G423</f>
        <v/>
      </c>
      <c r="M423" s="146" t="inlineStr">
        <is>
          <t>IE-D50-LUM-LIN-SUS-40W</t>
        </is>
      </c>
      <c r="N423" s="23" t="inlineStr">
        <is>
          <t>Instalaciones eléctricas</t>
        </is>
      </c>
      <c r="O423" s="23" t="inlineStr">
        <is>
          <t>Estimado DION · criterio de mercado Guayaquil 2026 (no verificado en tienda)</t>
        </is>
      </c>
      <c r="P423" s="23" t="inlineStr">
        <is>
          <t>oct-2026 (est.)</t>
        </is>
      </c>
      <c r="Q423" s="23" t="n"/>
    </row>
    <row r="424">
      <c r="A424" s="18" t="n">
        <v>373</v>
      </c>
      <c r="B424" s="19" t="inlineStr">
        <is>
          <t xml:space="preserve">        Perfil Lineal Empotrable Aluminio + LED 20W/m</t>
        </is>
      </c>
      <c r="C424" s="20" t="inlineStr">
        <is>
          <t>Residencial / Comercial / Ind</t>
        </is>
      </c>
      <c r="D424" s="18" t="inlineStr">
        <is>
          <t>Luminarias Lineales</t>
        </is>
      </c>
      <c r="E424" s="18" t="inlineStr">
        <is>
          <t>U</t>
        </is>
      </c>
      <c r="F424" s="21" t="n">
        <v>4</v>
      </c>
      <c r="G424" s="22" t="n">
        <v>39</v>
      </c>
      <c r="H424" s="22" t="n">
        <v>40.56</v>
      </c>
      <c r="I424" s="18" t="inlineStr">
        <is>
          <t>Megametales</t>
        </is>
      </c>
      <c r="J424" s="22" t="n">
        <v>42.9</v>
      </c>
      <c r="K424" s="18" t="inlineStr">
        <is>
          <t>Ferrisariato</t>
        </is>
      </c>
      <c r="L424" s="8">
        <f>F424*G424</f>
        <v/>
      </c>
      <c r="M424" s="145" t="inlineStr">
        <is>
          <t>IE-D50-LUM-LIN-EMP-20W</t>
        </is>
      </c>
      <c r="N424" s="18" t="inlineStr">
        <is>
          <t>Instalaciones eléctricas</t>
        </is>
      </c>
      <c r="O424" s="18" t="inlineStr">
        <is>
          <t>Estimado DION · criterio de mercado Guayaquil 2026 (no verificado en tienda)</t>
        </is>
      </c>
      <c r="P424" s="18" t="inlineStr">
        <is>
          <t>oct-2026 (est.)</t>
        </is>
      </c>
      <c r="Q424" s="18" t="n"/>
    </row>
    <row r="425">
      <c r="A425" s="23" t="n">
        <v>374</v>
      </c>
      <c r="B425" s="24" t="inlineStr">
        <is>
          <t xml:space="preserve">        Campana LED UFO 100W Industrial</t>
        </is>
      </c>
      <c r="C425" s="25" t="inlineStr">
        <is>
          <t>Residencial / Comercial / Ind</t>
        </is>
      </c>
      <c r="D425" s="23" t="inlineStr">
        <is>
          <t>Campanas Industriales</t>
        </is>
      </c>
      <c r="E425" s="23" t="inlineStr">
        <is>
          <t>U</t>
        </is>
      </c>
      <c r="F425" s="26" t="n">
        <v>4</v>
      </c>
      <c r="G425" s="27" t="n">
        <v>66</v>
      </c>
      <c r="H425" s="27" t="n">
        <v>67.31999999999999</v>
      </c>
      <c r="I425" s="23" t="inlineStr">
        <is>
          <t>Megametales</t>
        </is>
      </c>
      <c r="J425" s="27" t="n">
        <v>70.62</v>
      </c>
      <c r="K425" s="23" t="inlineStr">
        <is>
          <t>Kywi / Megakywi</t>
        </is>
      </c>
      <c r="L425" s="28">
        <f>F425*G425</f>
        <v/>
      </c>
      <c r="M425" s="146" t="inlineStr">
        <is>
          <t>IE-D50-LUM-CAM-UFO-100W</t>
        </is>
      </c>
      <c r="N425" s="23" t="inlineStr">
        <is>
          <t>Instalaciones eléctricas</t>
        </is>
      </c>
      <c r="O425" s="23" t="inlineStr">
        <is>
          <t>Estimado DION · criterio de mercado Guayaquil 2026 (no verificado en tienda)</t>
        </is>
      </c>
      <c r="P425" s="23" t="inlineStr">
        <is>
          <t>oct-2026 (est.)</t>
        </is>
      </c>
      <c r="Q425" s="23" t="n"/>
    </row>
    <row r="426">
      <c r="A426" s="18" t="n">
        <v>375</v>
      </c>
      <c r="B426" s="19" t="inlineStr">
        <is>
          <t xml:space="preserve">        Campana LED UFO 150W Industrial</t>
        </is>
      </c>
      <c r="C426" s="20" t="inlineStr">
        <is>
          <t>Residencial / Comercial / Ind</t>
        </is>
      </c>
      <c r="D426" s="18" t="inlineStr">
        <is>
          <t>Campanas Industriales</t>
        </is>
      </c>
      <c r="E426" s="18" t="inlineStr">
        <is>
          <t>U</t>
        </is>
      </c>
      <c r="F426" s="21" t="n">
        <v>4</v>
      </c>
      <c r="G426" s="22" t="n">
        <v>92</v>
      </c>
      <c r="H426" s="22" t="n">
        <v>96.59999999999999</v>
      </c>
      <c r="I426" s="18" t="inlineStr">
        <is>
          <t>Megametales</t>
        </is>
      </c>
      <c r="J426" s="22" t="n">
        <v>98.44</v>
      </c>
      <c r="K426" s="18" t="inlineStr">
        <is>
          <t>Ferrisariato</t>
        </is>
      </c>
      <c r="L426" s="8">
        <f>F426*G426</f>
        <v/>
      </c>
      <c r="M426" s="145" t="inlineStr">
        <is>
          <t>IE-D50-LUM-CAM-UFO-150W</t>
        </is>
      </c>
      <c r="N426" s="18" t="inlineStr">
        <is>
          <t>Instalaciones eléctricas</t>
        </is>
      </c>
      <c r="O426" s="18" t="inlineStr">
        <is>
          <t>Estimado DION · criterio de mercado Guayaquil 2026 (no verificado en tienda)</t>
        </is>
      </c>
      <c r="P426" s="18" t="inlineStr">
        <is>
          <t>oct-2026 (est.)</t>
        </is>
      </c>
      <c r="Q426" s="18" t="n"/>
    </row>
    <row r="427">
      <c r="A427" s="23" t="n">
        <v>376</v>
      </c>
      <c r="B427" s="24" t="inlineStr">
        <is>
          <t xml:space="preserve">        Campana LED UFO 200W Industrial</t>
        </is>
      </c>
      <c r="C427" s="25" t="inlineStr">
        <is>
          <t>Residencial / Comercial / Ind</t>
        </is>
      </c>
      <c r="D427" s="23" t="inlineStr">
        <is>
          <t>Campanas Industriales</t>
        </is>
      </c>
      <c r="E427" s="23" t="inlineStr">
        <is>
          <t>U</t>
        </is>
      </c>
      <c r="F427" s="26" t="n">
        <v>4</v>
      </c>
      <c r="G427" s="27" t="n">
        <v>122</v>
      </c>
      <c r="H427" s="27" t="n">
        <v>124.44</v>
      </c>
      <c r="I427" s="23" t="inlineStr">
        <is>
          <t>Megametales</t>
        </is>
      </c>
      <c r="J427" s="27" t="n">
        <v>130.54</v>
      </c>
      <c r="K427" s="23" t="inlineStr">
        <is>
          <t>Kywi / Megakywi</t>
        </is>
      </c>
      <c r="L427" s="28">
        <f>F427*G427</f>
        <v/>
      </c>
      <c r="M427" s="146" t="inlineStr">
        <is>
          <t>IE-D50-LUM-CAM-UFO-200W</t>
        </is>
      </c>
      <c r="N427" s="23" t="inlineStr">
        <is>
          <t>Instalaciones eléctricas</t>
        </is>
      </c>
      <c r="O427" s="23" t="inlineStr">
        <is>
          <t>Estimado DION · criterio de mercado Guayaquil 2026 (no verificado en tienda)</t>
        </is>
      </c>
      <c r="P427" s="23" t="inlineStr">
        <is>
          <t>oct-2026 (est.)</t>
        </is>
      </c>
      <c r="Q427" s="23" t="n"/>
    </row>
    <row r="428">
      <c r="A428" s="18" t="n">
        <v>377</v>
      </c>
      <c r="B428" s="19" t="inlineStr">
        <is>
          <t xml:space="preserve">        Aplique de Pared LED Interior 10W</t>
        </is>
      </c>
      <c r="C428" s="20" t="inlineStr">
        <is>
          <t>Residencial / Comercial / Ind</t>
        </is>
      </c>
      <c r="D428" s="18" t="inlineStr">
        <is>
          <t>Apliques</t>
        </is>
      </c>
      <c r="E428" s="18" t="inlineStr">
        <is>
          <t>U</t>
        </is>
      </c>
      <c r="F428" s="21" t="n">
        <v>4</v>
      </c>
      <c r="G428" s="22" t="n">
        <v>18.5</v>
      </c>
      <c r="H428" s="22" t="n">
        <v>19.43</v>
      </c>
      <c r="I428" s="18" t="inlineStr">
        <is>
          <t>Megametales</t>
        </is>
      </c>
      <c r="J428" s="22" t="n">
        <v>19.8</v>
      </c>
      <c r="K428" s="18" t="inlineStr">
        <is>
          <t>Ferrisariato</t>
        </is>
      </c>
      <c r="L428" s="8">
        <f>F428*G428</f>
        <v/>
      </c>
      <c r="M428" s="145" t="inlineStr">
        <is>
          <t>IE-D50-LUM-APL-PAR-10W</t>
        </is>
      </c>
      <c r="N428" s="18" t="inlineStr">
        <is>
          <t>Instalaciones eléctricas</t>
        </is>
      </c>
      <c r="O428" s="18" t="inlineStr">
        <is>
          <t>Estimado DION · criterio de mercado Guayaquil 2026 (no verificado en tienda)</t>
        </is>
      </c>
      <c r="P428" s="18" t="inlineStr">
        <is>
          <t>oct-2026 (est.)</t>
        </is>
      </c>
      <c r="Q428" s="18" t="n"/>
    </row>
    <row r="429">
      <c r="A429" s="23" t="n">
        <v>378</v>
      </c>
      <c r="B429" s="24" t="inlineStr">
        <is>
          <t xml:space="preserve">        Aplique de Pared Exterior IP65 Up/Down 12W</t>
        </is>
      </c>
      <c r="C429" s="25" t="inlineStr">
        <is>
          <t>Residencial / Comercial / Ind</t>
        </is>
      </c>
      <c r="D429" s="23" t="inlineStr">
        <is>
          <t>Apliques</t>
        </is>
      </c>
      <c r="E429" s="23" t="inlineStr">
        <is>
          <t>U</t>
        </is>
      </c>
      <c r="F429" s="26" t="n">
        <v>4</v>
      </c>
      <c r="G429" s="27" t="n">
        <v>26</v>
      </c>
      <c r="H429" s="27" t="n">
        <v>26.52</v>
      </c>
      <c r="I429" s="23" t="inlineStr">
        <is>
          <t>Megametales</t>
        </is>
      </c>
      <c r="J429" s="27" t="n">
        <v>27.82</v>
      </c>
      <c r="K429" s="23" t="inlineStr">
        <is>
          <t>Kywi / Megakywi</t>
        </is>
      </c>
      <c r="L429" s="28">
        <f>F429*G429</f>
        <v/>
      </c>
      <c r="M429" s="146" t="inlineStr">
        <is>
          <t>IE-D50-LUM-APL-EXT-12W</t>
        </is>
      </c>
      <c r="N429" s="23" t="inlineStr">
        <is>
          <t>Instalaciones eléctricas</t>
        </is>
      </c>
      <c r="O429" s="23" t="inlineStr">
        <is>
          <t>Estimado DION · criterio de mercado Guayaquil 2026 (no verificado en tienda)</t>
        </is>
      </c>
      <c r="P429" s="23" t="inlineStr">
        <is>
          <t>oct-2026 (est.)</t>
        </is>
      </c>
      <c r="Q429" s="23" t="n"/>
    </row>
    <row r="430">
      <c r="A430" s="18" t="n">
        <v>379</v>
      </c>
      <c r="B430" s="19" t="inlineStr">
        <is>
          <t xml:space="preserve">        Lámpara Colgante Decorativa (Sin Foco)</t>
        </is>
      </c>
      <c r="C430" s="20" t="inlineStr">
        <is>
          <t>Residencial / Comercial / Ind</t>
        </is>
      </c>
      <c r="D430" s="18" t="inlineStr">
        <is>
          <t>Colgantes</t>
        </is>
      </c>
      <c r="E430" s="18" t="inlineStr">
        <is>
          <t>U</t>
        </is>
      </c>
      <c r="F430" s="21" t="n">
        <v>4</v>
      </c>
      <c r="G430" s="22" t="n">
        <v>45</v>
      </c>
      <c r="H430" s="22" t="n">
        <v>46.35</v>
      </c>
      <c r="I430" s="18" t="inlineStr">
        <is>
          <t>Megametales</t>
        </is>
      </c>
      <c r="J430" s="22" t="n">
        <v>48.15</v>
      </c>
      <c r="K430" s="18" t="inlineStr">
        <is>
          <t>Ferrisariato</t>
        </is>
      </c>
      <c r="L430" s="8">
        <f>F430*G430</f>
        <v/>
      </c>
      <c r="M430" s="145" t="inlineStr">
        <is>
          <t>IE-D50-LUM-COL-DEC</t>
        </is>
      </c>
      <c r="N430" s="18" t="inlineStr">
        <is>
          <t>Instalaciones eléctricas</t>
        </is>
      </c>
      <c r="O430" s="18" t="inlineStr">
        <is>
          <t>Estimado DION · criterio de mercado Guayaquil 2026 (no verificado en tienda)</t>
        </is>
      </c>
      <c r="P430" s="18" t="inlineStr">
        <is>
          <t>oct-2026 (est.)</t>
        </is>
      </c>
      <c r="Q430" s="18" t="n"/>
    </row>
    <row r="431">
      <c r="A431" s="23" t="n">
        <v>380</v>
      </c>
      <c r="B431" s="24" t="inlineStr">
        <is>
          <t xml:space="preserve">        Reflector LED 50W IP65</t>
        </is>
      </c>
      <c r="C431" s="25" t="inlineStr">
        <is>
          <t>Residencial / Comercial / Ind</t>
        </is>
      </c>
      <c r="D431" s="23" t="inlineStr">
        <is>
          <t>Reflectores</t>
        </is>
      </c>
      <c r="E431" s="23" t="inlineStr">
        <is>
          <t>U</t>
        </is>
      </c>
      <c r="F431" s="26" t="n">
        <v>4</v>
      </c>
      <c r="G431" s="27" t="n">
        <v>18.5</v>
      </c>
      <c r="H431" s="27" t="n">
        <v>19.43</v>
      </c>
      <c r="I431" s="23" t="inlineStr">
        <is>
          <t>Megametales</t>
        </is>
      </c>
      <c r="J431" s="27" t="n">
        <v>19.8</v>
      </c>
      <c r="K431" s="23" t="inlineStr">
        <is>
          <t>Kywi / Megakywi</t>
        </is>
      </c>
      <c r="L431" s="28">
        <f>F431*G431</f>
        <v/>
      </c>
      <c r="M431" s="146" t="inlineStr">
        <is>
          <t>IE-D50-LUM-REF-050W</t>
        </is>
      </c>
      <c r="N431" s="23" t="inlineStr">
        <is>
          <t>Instalaciones eléctricas</t>
        </is>
      </c>
      <c r="O431" s="23" t="inlineStr">
        <is>
          <t>Estimado DION · criterio de mercado Guayaquil 2026 (no verificado en tienda)</t>
        </is>
      </c>
      <c r="P431" s="23" t="inlineStr">
        <is>
          <t>oct-2026 (est.)</t>
        </is>
      </c>
      <c r="Q431" s="23" t="n"/>
    </row>
    <row r="432">
      <c r="A432" s="18" t="n">
        <v>381</v>
      </c>
      <c r="B432" s="19" t="inlineStr">
        <is>
          <t xml:space="preserve">        Reflector LED 200W IP65</t>
        </is>
      </c>
      <c r="C432" s="20" t="inlineStr">
        <is>
          <t>Residencial / Comercial / Ind</t>
        </is>
      </c>
      <c r="D432" s="18" t="inlineStr">
        <is>
          <t>Reflectores</t>
        </is>
      </c>
      <c r="E432" s="18" t="inlineStr">
        <is>
          <t>U</t>
        </is>
      </c>
      <c r="F432" s="21" t="n">
        <v>4</v>
      </c>
      <c r="G432" s="22" t="n">
        <v>66</v>
      </c>
      <c r="H432" s="22" t="n">
        <v>67.31999999999999</v>
      </c>
      <c r="I432" s="18" t="inlineStr">
        <is>
          <t>Megametales</t>
        </is>
      </c>
      <c r="J432" s="22" t="n">
        <v>70.62</v>
      </c>
      <c r="K432" s="18" t="inlineStr">
        <is>
          <t>Ferrisariato</t>
        </is>
      </c>
      <c r="L432" s="8">
        <f>F432*G432</f>
        <v/>
      </c>
      <c r="M432" s="145" t="inlineStr">
        <is>
          <t>IE-D50-LUM-REF-200W</t>
        </is>
      </c>
      <c r="N432" s="18" t="inlineStr">
        <is>
          <t>Instalaciones eléctricas</t>
        </is>
      </c>
      <c r="O432" s="18" t="inlineStr">
        <is>
          <t>Estimado DION · criterio de mercado Guayaquil 2026 (no verificado en tienda)</t>
        </is>
      </c>
      <c r="P432" s="18" t="inlineStr">
        <is>
          <t>oct-2026 (est.)</t>
        </is>
      </c>
      <c r="Q432" s="18" t="n"/>
    </row>
    <row r="433">
      <c r="A433" s="23" t="n">
        <v>382</v>
      </c>
      <c r="B433" s="24" t="inlineStr">
        <is>
          <t xml:space="preserve">        Bolardo LED Jardín 10W IP65 80 cm</t>
        </is>
      </c>
      <c r="C433" s="25" t="inlineStr">
        <is>
          <t>Residencial / Comercial / Ind</t>
        </is>
      </c>
      <c r="D433" s="23" t="inlineStr">
        <is>
          <t>Luminarias Exteriores</t>
        </is>
      </c>
      <c r="E433" s="23" t="inlineStr">
        <is>
          <t>U</t>
        </is>
      </c>
      <c r="F433" s="26" t="n">
        <v>4</v>
      </c>
      <c r="G433" s="27" t="n">
        <v>56</v>
      </c>
      <c r="H433" s="27" t="n">
        <v>57.12</v>
      </c>
      <c r="I433" s="23" t="inlineStr">
        <is>
          <t>Megametales</t>
        </is>
      </c>
      <c r="J433" s="27" t="n">
        <v>61.04</v>
      </c>
      <c r="K433" s="23" t="inlineStr">
        <is>
          <t>Kywi / Megakywi</t>
        </is>
      </c>
      <c r="L433" s="28">
        <f>F433*G433</f>
        <v/>
      </c>
      <c r="M433" s="146" t="inlineStr">
        <is>
          <t>IE-D50-LUM-BOL-JAR-10W</t>
        </is>
      </c>
      <c r="N433" s="23" t="inlineStr">
        <is>
          <t>Instalaciones eléctricas</t>
        </is>
      </c>
      <c r="O433" s="23" t="inlineStr">
        <is>
          <t>Estimado DION · criterio de mercado Guayaquil 2026 (no verificado en tienda)</t>
        </is>
      </c>
      <c r="P433" s="23" t="inlineStr">
        <is>
          <t>oct-2026 (est.)</t>
        </is>
      </c>
      <c r="Q433" s="23" t="n"/>
    </row>
    <row r="434">
      <c r="A434" s="18" t="n">
        <v>383</v>
      </c>
      <c r="B434" s="19" t="inlineStr">
        <is>
          <t xml:space="preserve">        Luminaria Empotrable de Piso LED 5W IP67</t>
        </is>
      </c>
      <c r="C434" s="20" t="inlineStr">
        <is>
          <t>Residencial / Comercial / Ind</t>
        </is>
      </c>
      <c r="D434" s="18" t="inlineStr">
        <is>
          <t>Luminarias Exteriores</t>
        </is>
      </c>
      <c r="E434" s="18" t="inlineStr">
        <is>
          <t>U</t>
        </is>
      </c>
      <c r="F434" s="21" t="n">
        <v>4</v>
      </c>
      <c r="G434" s="22" t="n">
        <v>36</v>
      </c>
      <c r="H434" s="22" t="n">
        <v>37.44</v>
      </c>
      <c r="I434" s="18" t="inlineStr">
        <is>
          <t>Megametales</t>
        </is>
      </c>
      <c r="J434" s="22" t="n">
        <v>38.88</v>
      </c>
      <c r="K434" s="18" t="inlineStr">
        <is>
          <t>Ferrisariato</t>
        </is>
      </c>
      <c r="L434" s="8">
        <f>F434*G434</f>
        <v/>
      </c>
      <c r="M434" s="145" t="inlineStr">
        <is>
          <t>IE-D50-LUM-EMP-PIS-05W</t>
        </is>
      </c>
      <c r="N434" s="18" t="inlineStr">
        <is>
          <t>Instalaciones eléctricas</t>
        </is>
      </c>
      <c r="O434" s="18" t="inlineStr">
        <is>
          <t>Estimado DION · criterio de mercado Guayaquil 2026 (no verificado en tienda)</t>
        </is>
      </c>
      <c r="P434" s="18" t="inlineStr">
        <is>
          <t>oct-2026 (est.)</t>
        </is>
      </c>
      <c r="Q434" s="18" t="n"/>
    </row>
    <row r="435">
      <c r="A435" s="23" t="n">
        <v>384</v>
      </c>
      <c r="B435" s="24" t="inlineStr">
        <is>
          <t xml:space="preserve">        Poste Metálico 4 m + Luminaria LED 30W Peatonal</t>
        </is>
      </c>
      <c r="C435" s="25" t="inlineStr">
        <is>
          <t>Residencial / Comercial / Ind</t>
        </is>
      </c>
      <c r="D435" s="23" t="inlineStr">
        <is>
          <t>Alumbrado Exterior</t>
        </is>
      </c>
      <c r="E435" s="23" t="inlineStr">
        <is>
          <t>U</t>
        </is>
      </c>
      <c r="F435" s="26" t="n">
        <v>4</v>
      </c>
      <c r="G435" s="27" t="n">
        <v>285</v>
      </c>
      <c r="H435" s="27" t="n">
        <v>296.4</v>
      </c>
      <c r="I435" s="23" t="inlineStr">
        <is>
          <t>Megametales</t>
        </is>
      </c>
      <c r="J435" s="27" t="n">
        <v>304.95</v>
      </c>
      <c r="K435" s="23" t="inlineStr">
        <is>
          <t>Kywi / Megakywi</t>
        </is>
      </c>
      <c r="L435" s="28">
        <f>F435*G435</f>
        <v/>
      </c>
      <c r="M435" s="146" t="inlineStr">
        <is>
          <t>IE-D50-LUM-POS-04M-30W</t>
        </is>
      </c>
      <c r="N435" s="23" t="inlineStr">
        <is>
          <t>Instalaciones eléctricas</t>
        </is>
      </c>
      <c r="O435" s="23" t="inlineStr">
        <is>
          <t>Estimado DION · criterio de mercado Guayaquil 2026 (no verificado en tienda)</t>
        </is>
      </c>
      <c r="P435" s="23" t="inlineStr">
        <is>
          <t>oct-2026 (est.)</t>
        </is>
      </c>
      <c r="Q435" s="23" t="n"/>
    </row>
    <row r="436">
      <c r="A436" s="18" t="n">
        <v>385</v>
      </c>
      <c r="B436" s="19" t="inlineStr">
        <is>
          <t xml:space="preserve">        Poste Metálico 6 m + Luminaria LED 60W</t>
        </is>
      </c>
      <c r="C436" s="20" t="inlineStr">
        <is>
          <t>Residencial / Comercial / Ind</t>
        </is>
      </c>
      <c r="D436" s="18" t="inlineStr">
        <is>
          <t>Alumbrado Exterior</t>
        </is>
      </c>
      <c r="E436" s="18" t="inlineStr">
        <is>
          <t>U</t>
        </is>
      </c>
      <c r="F436" s="21" t="n">
        <v>4</v>
      </c>
      <c r="G436" s="22" t="n">
        <v>485</v>
      </c>
      <c r="H436" s="22" t="n">
        <v>499.55</v>
      </c>
      <c r="I436" s="18" t="inlineStr">
        <is>
          <t>Megametales</t>
        </is>
      </c>
      <c r="J436" s="22" t="n">
        <v>528.65</v>
      </c>
      <c r="K436" s="18" t="inlineStr">
        <is>
          <t>Ferrisariato</t>
        </is>
      </c>
      <c r="L436" s="8">
        <f>F436*G436</f>
        <v/>
      </c>
      <c r="M436" s="145" t="inlineStr">
        <is>
          <t>IE-D50-LUM-POS-06M-60W</t>
        </is>
      </c>
      <c r="N436" s="18" t="inlineStr">
        <is>
          <t>Instalaciones eléctricas</t>
        </is>
      </c>
      <c r="O436" s="18" t="inlineStr">
        <is>
          <t>Estimado DION · criterio de mercado Guayaquil 2026 (no verificado en tienda)</t>
        </is>
      </c>
      <c r="P436" s="18" t="inlineStr">
        <is>
          <t>oct-2026 (est.)</t>
        </is>
      </c>
      <c r="Q436" s="18" t="n"/>
    </row>
    <row r="437">
      <c r="A437" s="23" t="n">
        <v>386</v>
      </c>
      <c r="B437" s="24" t="inlineStr">
        <is>
          <t xml:space="preserve">        Poste Metálico 8 m + Luminaria LED 100W Vial</t>
        </is>
      </c>
      <c r="C437" s="25" t="inlineStr">
        <is>
          <t>Residencial / Comercial / Ind</t>
        </is>
      </c>
      <c r="D437" s="23" t="inlineStr">
        <is>
          <t>Alumbrado Exterior</t>
        </is>
      </c>
      <c r="E437" s="23" t="inlineStr">
        <is>
          <t>U</t>
        </is>
      </c>
      <c r="F437" s="26" t="n">
        <v>0</v>
      </c>
      <c r="G437" s="27" t="n">
        <v>760</v>
      </c>
      <c r="H437" s="27" t="n">
        <v>782.8</v>
      </c>
      <c r="I437" s="23" t="inlineStr">
        <is>
          <t>Megametales</t>
        </is>
      </c>
      <c r="J437" s="27" t="n">
        <v>828.4</v>
      </c>
      <c r="K437" s="23" t="inlineStr">
        <is>
          <t>Kywi / Megakywi</t>
        </is>
      </c>
      <c r="L437" s="28">
        <f>F437*G437</f>
        <v/>
      </c>
      <c r="M437" s="146" t="inlineStr">
        <is>
          <t>IE-D50-LUM-POS-08M-100W</t>
        </is>
      </c>
      <c r="N437" s="23" t="inlineStr">
        <is>
          <t>Instalaciones eléctricas</t>
        </is>
      </c>
      <c r="O437" s="23" t="inlineStr">
        <is>
          <t>Estimado DION · criterio de mercado Guayaquil 2026 (no verificado en tienda)</t>
        </is>
      </c>
      <c r="P437" s="23" t="inlineStr">
        <is>
          <t>oct-2026 (est.)</t>
        </is>
      </c>
      <c r="Q437" s="23" t="n"/>
    </row>
    <row r="438">
      <c r="A438" s="18" t="n">
        <v>387</v>
      </c>
      <c r="B438" s="19" t="inlineStr">
        <is>
          <t xml:space="preserve">        Poste Metálico 10 m + Luminaria LED 150W Vial</t>
        </is>
      </c>
      <c r="C438" s="20" t="inlineStr">
        <is>
          <t>Residencial / Comercial / Ind</t>
        </is>
      </c>
      <c r="D438" s="18" t="inlineStr">
        <is>
          <t>Alumbrado Exterior</t>
        </is>
      </c>
      <c r="E438" s="18" t="inlineStr">
        <is>
          <t>U</t>
        </is>
      </c>
      <c r="F438" s="21" t="n">
        <v>0</v>
      </c>
      <c r="G438" s="22" t="n">
        <v>1120</v>
      </c>
      <c r="H438" s="22" t="n">
        <v>1164.8</v>
      </c>
      <c r="I438" s="18" t="inlineStr">
        <is>
          <t>Megametales</t>
        </is>
      </c>
      <c r="J438" s="22" t="n">
        <v>1243.2</v>
      </c>
      <c r="K438" s="18" t="inlineStr">
        <is>
          <t>Ferrisariato</t>
        </is>
      </c>
      <c r="L438" s="8">
        <f>F438*G438</f>
        <v/>
      </c>
      <c r="M438" s="145" t="inlineStr">
        <is>
          <t>IE-D50-LUM-POS-10M-150W</t>
        </is>
      </c>
      <c r="N438" s="18" t="inlineStr">
        <is>
          <t>Instalaciones eléctricas</t>
        </is>
      </c>
      <c r="O438" s="18" t="inlineStr">
        <is>
          <t>Estimado DION · criterio de mercado Guayaquil 2026 (no verificado en tienda)</t>
        </is>
      </c>
      <c r="P438" s="18" t="inlineStr">
        <is>
          <t>oct-2026 (est.)</t>
        </is>
      </c>
      <c r="Q438" s="18" t="n"/>
    </row>
    <row r="439">
      <c r="A439" s="23" t="n">
        <v>388</v>
      </c>
      <c r="B439" s="24" t="inlineStr">
        <is>
          <t xml:space="preserve">        Luminaria de Emergencia 2 Faros LED Autonomía 90 min</t>
        </is>
      </c>
      <c r="C439" s="25" t="inlineStr">
        <is>
          <t>Residencial / Comercial / Ind</t>
        </is>
      </c>
      <c r="D439" s="23" t="inlineStr">
        <is>
          <t>Iluminación Emergencia</t>
        </is>
      </c>
      <c r="E439" s="23" t="inlineStr">
        <is>
          <t>U</t>
        </is>
      </c>
      <c r="F439" s="26" t="n">
        <v>4</v>
      </c>
      <c r="G439" s="27" t="n">
        <v>28</v>
      </c>
      <c r="H439" s="27" t="n">
        <v>29.4</v>
      </c>
      <c r="I439" s="23" t="inlineStr">
        <is>
          <t>Megametales</t>
        </is>
      </c>
      <c r="J439" s="27" t="n">
        <v>30.8</v>
      </c>
      <c r="K439" s="23" t="inlineStr">
        <is>
          <t>Kywi / Megakywi</t>
        </is>
      </c>
      <c r="L439" s="28">
        <f>F439*G439</f>
        <v/>
      </c>
      <c r="M439" s="146" t="inlineStr">
        <is>
          <t>IE-D50-LUM-EME-2F</t>
        </is>
      </c>
      <c r="N439" s="23" t="inlineStr">
        <is>
          <t>Instalaciones eléctricas</t>
        </is>
      </c>
      <c r="O439" s="23" t="inlineStr">
        <is>
          <t>Estimado DION · criterio de mercado Guayaquil 2026 (no verificado en tienda)</t>
        </is>
      </c>
      <c r="P439" s="23" t="inlineStr">
        <is>
          <t>oct-2026 (est.)</t>
        </is>
      </c>
      <c r="Q439" s="23" t="n"/>
    </row>
    <row r="440">
      <c r="A440" s="18" t="n">
        <v>389</v>
      </c>
      <c r="B440" s="19" t="inlineStr">
        <is>
          <t xml:space="preserve">        Kit de Emergencia para Panel LED (Batería 90 min)</t>
        </is>
      </c>
      <c r="C440" s="20" t="inlineStr">
        <is>
          <t>Residencial / Comercial / Ind</t>
        </is>
      </c>
      <c r="D440" s="18" t="inlineStr">
        <is>
          <t>Iluminación Emergencia</t>
        </is>
      </c>
      <c r="E440" s="18" t="inlineStr">
        <is>
          <t>U</t>
        </is>
      </c>
      <c r="F440" s="21" t="n">
        <v>4</v>
      </c>
      <c r="G440" s="22" t="n">
        <v>46</v>
      </c>
      <c r="H440" s="22" t="n">
        <v>47.38</v>
      </c>
      <c r="I440" s="18" t="inlineStr">
        <is>
          <t>Megametales</t>
        </is>
      </c>
      <c r="J440" s="22" t="n">
        <v>49.22</v>
      </c>
      <c r="K440" s="18" t="inlineStr">
        <is>
          <t>Ferrisariato</t>
        </is>
      </c>
      <c r="L440" s="8">
        <f>F440*G440</f>
        <v/>
      </c>
      <c r="M440" s="145" t="inlineStr">
        <is>
          <t>IE-D50-LUM-EME-LED-PAN</t>
        </is>
      </c>
      <c r="N440" s="18" t="inlineStr">
        <is>
          <t>Instalaciones eléctricas</t>
        </is>
      </c>
      <c r="O440" s="18" t="inlineStr">
        <is>
          <t>Estimado DION · criterio de mercado Guayaquil 2026 (no verificado en tienda)</t>
        </is>
      </c>
      <c r="P440" s="18" t="inlineStr">
        <is>
          <t>oct-2026 (est.)</t>
        </is>
      </c>
      <c r="Q440" s="18" t="n"/>
    </row>
    <row r="441">
      <c r="A441" s="23" t="n">
        <v>390</v>
      </c>
      <c r="B441" s="24" t="inlineStr">
        <is>
          <t xml:space="preserve">        Letrero de Salida LED con Batería (Exit)</t>
        </is>
      </c>
      <c r="C441" s="25" t="inlineStr">
        <is>
          <t>Residencial / Comercial / Ind</t>
        </is>
      </c>
      <c r="D441" s="23" t="inlineStr">
        <is>
          <t>Señalización Evacuación</t>
        </is>
      </c>
      <c r="E441" s="23" t="inlineStr">
        <is>
          <t>U</t>
        </is>
      </c>
      <c r="F441" s="26" t="n">
        <v>4</v>
      </c>
      <c r="G441" s="27" t="n">
        <v>26</v>
      </c>
      <c r="H441" s="27" t="n">
        <v>27.04</v>
      </c>
      <c r="I441" s="23" t="inlineStr">
        <is>
          <t>Megametales</t>
        </is>
      </c>
      <c r="J441" s="27" t="n">
        <v>28.6</v>
      </c>
      <c r="K441" s="23" t="inlineStr">
        <is>
          <t>Kywi / Megakywi</t>
        </is>
      </c>
      <c r="L441" s="28">
        <f>F441*G441</f>
        <v/>
      </c>
      <c r="M441" s="146" t="inlineStr">
        <is>
          <t>IE-D50-LUM-SAL-LED</t>
        </is>
      </c>
      <c r="N441" s="23" t="inlineStr">
        <is>
          <t>Instalaciones eléctricas</t>
        </is>
      </c>
      <c r="O441" s="23" t="inlineStr">
        <is>
          <t>Estimado DION · criterio de mercado Guayaquil 2026 (no verificado en tienda)</t>
        </is>
      </c>
      <c r="P441" s="23" t="inlineStr">
        <is>
          <t>oct-2026 (est.)</t>
        </is>
      </c>
      <c r="Q441" s="23" t="n"/>
    </row>
    <row r="442">
      <c r="A442" s="18" t="n">
        <v>391</v>
      </c>
      <c r="B442" s="19" t="inlineStr">
        <is>
          <t xml:space="preserve">        Lámpara de Examen Médico LED Pedestal</t>
        </is>
      </c>
      <c r="C442" s="20" t="inlineStr">
        <is>
          <t>Residencial / Comercial / Ind</t>
        </is>
      </c>
      <c r="D442" s="18" t="inlineStr">
        <is>
          <t>Luminarias Hospitalarias</t>
        </is>
      </c>
      <c r="E442" s="18" t="inlineStr">
        <is>
          <t>U</t>
        </is>
      </c>
      <c r="F442" s="21" t="n">
        <v>4</v>
      </c>
      <c r="G442" s="22" t="n">
        <v>185</v>
      </c>
      <c r="H442" s="22" t="n">
        <v>190.55</v>
      </c>
      <c r="I442" s="18" t="inlineStr">
        <is>
          <t>Megametales</t>
        </is>
      </c>
      <c r="J442" s="22" t="n">
        <v>201.65</v>
      </c>
      <c r="K442" s="18" t="inlineStr">
        <is>
          <t>Ferrisariato</t>
        </is>
      </c>
      <c r="L442" s="8">
        <f>F442*G442</f>
        <v/>
      </c>
      <c r="M442" s="145" t="inlineStr">
        <is>
          <t>IE-D50-LUM-EXA-LED</t>
        </is>
      </c>
      <c r="N442" s="18" t="inlineStr">
        <is>
          <t>Instalaciones eléctricas</t>
        </is>
      </c>
      <c r="O442" s="18" t="inlineStr">
        <is>
          <t>Estimado DION · criterio de mercado Guayaquil 2026 (no verificado en tienda)</t>
        </is>
      </c>
      <c r="P442" s="18" t="inlineStr">
        <is>
          <t>oct-2026 (est.)</t>
        </is>
      </c>
      <c r="Q442" s="18" t="n"/>
    </row>
    <row r="443">
      <c r="A443" s="16" t="inlineStr">
        <is>
          <t xml:space="preserve">  ► CATEGORÍA: ENERGÍA, RESPALDO, AUTOMATIZACIÓN, TIERRAS Y SEGURIDAD</t>
        </is>
      </c>
      <c r="B443" s="143" t="n"/>
      <c r="C443" s="143" t="n"/>
      <c r="D443" s="143" t="n"/>
      <c r="E443" s="143" t="n"/>
      <c r="F443" s="143" t="n"/>
      <c r="G443" s="143" t="n"/>
      <c r="H443" s="143" t="n"/>
      <c r="I443" s="143" t="n"/>
      <c r="J443" s="143" t="n"/>
      <c r="K443" s="143" t="n"/>
      <c r="L443" s="143" t="n"/>
      <c r="M443" s="143" t="n"/>
      <c r="N443" s="143" t="n"/>
      <c r="O443" s="143" t="n"/>
      <c r="P443" s="143" t="n"/>
      <c r="Q443" s="144" t="n"/>
    </row>
    <row r="444">
      <c r="A444" s="17" t="inlineStr">
        <is>
          <t xml:space="preserve">      • Subcategoría Especificada: Generadores, UPS, Solares, PLC, Pararrayos y CCTV</t>
        </is>
      </c>
      <c r="B444" s="143" t="n"/>
      <c r="C444" s="143" t="n"/>
      <c r="D444" s="143" t="n"/>
      <c r="E444" s="143" t="n"/>
      <c r="F444" s="143" t="n"/>
      <c r="G444" s="143" t="n"/>
      <c r="H444" s="143" t="n"/>
      <c r="I444" s="143" t="n"/>
      <c r="J444" s="143" t="n"/>
      <c r="K444" s="143" t="n"/>
      <c r="L444" s="143" t="n"/>
      <c r="M444" s="143" t="n"/>
      <c r="N444" s="143" t="n"/>
      <c r="O444" s="143" t="n"/>
      <c r="P444" s="143" t="n"/>
      <c r="Q444" s="144" t="n"/>
    </row>
    <row r="445">
      <c r="A445" s="23" t="n">
        <v>392</v>
      </c>
      <c r="B445" s="24" t="inlineStr">
        <is>
          <t xml:space="preserve">        Generador Eléctrico Portátil 3.5kW / Diesel 20kVA</t>
        </is>
      </c>
      <c r="C445" s="25" t="inlineStr">
        <is>
          <t>Residencial / Comercial / Ind</t>
        </is>
      </c>
      <c r="D445" s="23" t="inlineStr">
        <is>
          <t>Generadores Respaldo</t>
        </is>
      </c>
      <c r="E445" s="23" t="inlineStr">
        <is>
          <t>U</t>
        </is>
      </c>
      <c r="F445" s="26" t="n">
        <v>1</v>
      </c>
      <c r="G445" s="27" t="n">
        <v>480</v>
      </c>
      <c r="H445" s="27" t="n">
        <v>495</v>
      </c>
      <c r="I445" s="23" t="inlineStr">
        <is>
          <t>Megametales</t>
        </is>
      </c>
      <c r="J445" s="27" t="n">
        <v>520</v>
      </c>
      <c r="K445" s="23" t="inlineStr">
        <is>
          <t>Ferrisariato</t>
        </is>
      </c>
      <c r="L445" s="28">
        <f>F445*G445</f>
        <v/>
      </c>
      <c r="M445" s="146" t="inlineStr">
        <is>
          <t>IE-D50-GEN-DSL-020KW</t>
        </is>
      </c>
      <c r="N445" s="23" t="inlineStr">
        <is>
          <t>Instalaciones eléctricas</t>
        </is>
      </c>
      <c r="O445" s="23" t="inlineStr">
        <is>
          <t>Estimado · base original del usuario (sin cotización verificada)</t>
        </is>
      </c>
      <c r="P445" s="23" t="inlineStr">
        <is>
          <t>oct-2026 (est.)</t>
        </is>
      </c>
      <c r="Q445" s="23" t="n"/>
    </row>
    <row r="446">
      <c r="A446" s="18" t="n">
        <v>393</v>
      </c>
      <c r="B446" s="19" t="inlineStr">
        <is>
          <t xml:space="preserve">        UPS Interactivo 1000VA / UPS Online Doble Conversión 10kVA</t>
        </is>
      </c>
      <c r="C446" s="20" t="inlineStr">
        <is>
          <t>Comercial / Industrial</t>
        </is>
      </c>
      <c r="D446" s="18" t="inlineStr">
        <is>
          <t>Sistemas UPS</t>
        </is>
      </c>
      <c r="E446" s="18" t="inlineStr">
        <is>
          <t>U</t>
        </is>
      </c>
      <c r="F446" s="21" t="n">
        <v>1</v>
      </c>
      <c r="G446" s="22" t="n">
        <v>1850</v>
      </c>
      <c r="H446" s="22" t="n">
        <v>1910</v>
      </c>
      <c r="I446" s="18" t="inlineStr">
        <is>
          <t>Megametales</t>
        </is>
      </c>
      <c r="J446" s="22" t="n">
        <v>2020</v>
      </c>
      <c r="K446" s="18" t="inlineStr">
        <is>
          <t>Kywi / Megakywi</t>
        </is>
      </c>
      <c r="L446" s="8">
        <f>F446*G446</f>
        <v/>
      </c>
      <c r="M446" s="145" t="inlineStr">
        <is>
          <t>IE-D50-UPS-ONL-10KVA</t>
        </is>
      </c>
      <c r="N446" s="18" t="inlineStr">
        <is>
          <t>Instalaciones eléctricas</t>
        </is>
      </c>
      <c r="O446" s="18" t="inlineStr">
        <is>
          <t>Estimado · base original del usuario (sin cotización verificada)</t>
        </is>
      </c>
      <c r="P446" s="18" t="inlineStr">
        <is>
          <t>oct-2026 (est.)</t>
        </is>
      </c>
      <c r="Q446" s="18" t="n"/>
    </row>
    <row r="447">
      <c r="A447" s="23" t="n">
        <v>394</v>
      </c>
      <c r="B447" s="24" t="inlineStr">
        <is>
          <t xml:space="preserve">        Panel Solar PERC 550W + Inversor Híbrido 5kW + Batería Litio</t>
        </is>
      </c>
      <c r="C447" s="25" t="inlineStr">
        <is>
          <t>Residencial / Comercial / Ind</t>
        </is>
      </c>
      <c r="D447" s="23" t="inlineStr">
        <is>
          <t>Sistemas Solares</t>
        </is>
      </c>
      <c r="E447" s="23" t="inlineStr">
        <is>
          <t>Juego</t>
        </is>
      </c>
      <c r="F447" s="26" t="n">
        <v>1</v>
      </c>
      <c r="G447" s="27" t="n">
        <v>2445</v>
      </c>
      <c r="H447" s="27" t="n">
        <v>2530</v>
      </c>
      <c r="I447" s="23" t="inlineStr">
        <is>
          <t>Megametales</t>
        </is>
      </c>
      <c r="J447" s="27" t="n">
        <v>2670</v>
      </c>
      <c r="K447" s="23" t="inlineStr">
        <is>
          <t>Ferrisariato</t>
        </is>
      </c>
      <c r="L447" s="28">
        <f>F447*G447</f>
        <v/>
      </c>
      <c r="M447" s="146" t="inlineStr">
        <is>
          <t>ER-D50-FV-HIB-5KW</t>
        </is>
      </c>
      <c r="N447" s="23" t="inlineStr">
        <is>
          <t>Energías renovables</t>
        </is>
      </c>
      <c r="O447" s="23" t="inlineStr">
        <is>
          <t>Estimado · base original del usuario (sin cotización verificada)</t>
        </is>
      </c>
      <c r="P447" s="23" t="inlineStr">
        <is>
          <t>oct-2026 (est.)</t>
        </is>
      </c>
      <c r="Q447" s="23" t="n"/>
    </row>
    <row r="448">
      <c r="A448" s="18" t="n">
        <v>395</v>
      </c>
      <c r="B448" s="19" t="inlineStr">
        <is>
          <t xml:space="preserve">        PLC Modular 14 I/O + Contactor AC3 + Variador VFD 5.5HP</t>
        </is>
      </c>
      <c r="C448" s="20" t="inlineStr">
        <is>
          <t>Industrial / Automatización</t>
        </is>
      </c>
      <c r="D448" s="18" t="inlineStr">
        <is>
          <t>PLCs y VFDs</t>
        </is>
      </c>
      <c r="E448" s="18" t="inlineStr">
        <is>
          <t>Juego</t>
        </is>
      </c>
      <c r="F448" s="21" t="n">
        <v>1</v>
      </c>
      <c r="G448" s="22" t="n">
        <v>618.5</v>
      </c>
      <c r="H448" s="22" t="n">
        <v>642.2</v>
      </c>
      <c r="I448" s="18" t="inlineStr">
        <is>
          <t>Megametales</t>
        </is>
      </c>
      <c r="J448" s="22" t="n">
        <v>677.8</v>
      </c>
      <c r="K448" s="18" t="inlineStr">
        <is>
          <t>Kywi / Megakywi</t>
        </is>
      </c>
      <c r="L448" s="8">
        <f>F448*G448</f>
        <v/>
      </c>
      <c r="M448" s="145" t="inlineStr">
        <is>
          <t>AUT-D30-BMS-VFD</t>
        </is>
      </c>
      <c r="N448" s="18" t="inlineStr">
        <is>
          <t>Automatización, BMS y domótica</t>
        </is>
      </c>
      <c r="O448" s="18" t="inlineStr">
        <is>
          <t>Estimado · base original del usuario (sin cotización verificada)</t>
        </is>
      </c>
      <c r="P448" s="18" t="inlineStr">
        <is>
          <t>oct-2026 (est.)</t>
        </is>
      </c>
      <c r="Q448" s="18" t="n"/>
    </row>
    <row r="449">
      <c r="A449" s="23" t="n">
        <v>396</v>
      </c>
      <c r="B449" s="24" t="inlineStr">
        <is>
          <t xml:space="preserve">        Puesta a Tierra Varilla Copperweld 5/8" + Pararrayos Franklin</t>
        </is>
      </c>
      <c r="C449" s="25" t="inlineStr">
        <is>
          <t>Residencial / Comercial / Ind</t>
        </is>
      </c>
      <c r="D449" s="23" t="inlineStr">
        <is>
          <t>Pararrayos y Tierras</t>
        </is>
      </c>
      <c r="E449" s="23" t="inlineStr">
        <is>
          <t>Juego</t>
        </is>
      </c>
      <c r="F449" s="26" t="n">
        <v>1</v>
      </c>
      <c r="G449" s="27" t="n">
        <v>106.5</v>
      </c>
      <c r="H449" s="27" t="n">
        <v>110.15</v>
      </c>
      <c r="I449" s="23" t="inlineStr">
        <is>
          <t>Megametales</t>
        </is>
      </c>
      <c r="J449" s="27" t="n">
        <v>117.75</v>
      </c>
      <c r="K449" s="23" t="inlineStr">
        <is>
          <t>Ferrisariato</t>
        </is>
      </c>
      <c r="L449" s="28">
        <f>F449*G449</f>
        <v/>
      </c>
      <c r="M449" s="146" t="inlineStr">
        <is>
          <t>IE-D50-SPT-VAR-58-180</t>
        </is>
      </c>
      <c r="N449" s="23" t="inlineStr">
        <is>
          <t>Instalaciones eléctricas</t>
        </is>
      </c>
      <c r="O449" s="23" t="inlineStr">
        <is>
          <t>Estimado · base original del usuario (sin cotización verificada)</t>
        </is>
      </c>
      <c r="P449" s="23" t="inlineStr">
        <is>
          <t>oct-2026 (est.)</t>
        </is>
      </c>
      <c r="Q449" s="23" t="n"/>
    </row>
    <row r="450">
      <c r="A450" s="18" t="n">
        <v>397</v>
      </c>
      <c r="B450" s="19" t="inlineStr">
        <is>
          <t xml:space="preserve">        Cámara IP Bullet 4MP PoE + NVR 8CH 4K 2TB + Rack 9U</t>
        </is>
      </c>
      <c r="C450" s="20" t="inlineStr">
        <is>
          <t>Residencial / Comercial / Ind</t>
        </is>
      </c>
      <c r="D450" s="18" t="inlineStr">
        <is>
          <t>CCTV y Seguridad</t>
        </is>
      </c>
      <c r="E450" s="18" t="inlineStr">
        <is>
          <t>Juego</t>
        </is>
      </c>
      <c r="F450" s="21" t="n">
        <v>1</v>
      </c>
      <c r="G450" s="22" t="n">
        <v>370</v>
      </c>
      <c r="H450" s="22" t="n">
        <v>382.8</v>
      </c>
      <c r="I450" s="18" t="inlineStr">
        <is>
          <t>Megametales</t>
        </is>
      </c>
      <c r="J450" s="22" t="n">
        <v>405.5</v>
      </c>
      <c r="K450" s="18" t="inlineStr">
        <is>
          <t>Ferrisariato</t>
        </is>
      </c>
      <c r="L450" s="8">
        <f>F450*G450</f>
        <v/>
      </c>
      <c r="M450" s="145" t="inlineStr">
        <is>
          <t>SEG-D50-CAM-BAL-4MP</t>
        </is>
      </c>
      <c r="N450" s="18" t="inlineStr">
        <is>
          <t>Seguridad electrónica (CCTV, accesos, intrusión)</t>
        </is>
      </c>
      <c r="O450" s="18" t="inlineStr">
        <is>
          <t>Estimado · base original del usuario (sin cotización verificada)</t>
        </is>
      </c>
      <c r="P450" s="18" t="inlineStr">
        <is>
          <t>oct-2026 (est.)</t>
        </is>
      </c>
      <c r="Q450" s="18" t="n"/>
    </row>
    <row r="451">
      <c r="A451" s="17" t="inlineStr">
        <is>
          <t xml:space="preserve">      • Subcategoría Especificada: Generadores y ATS por Potencia, UPS, Puesta a Tierra, Pararrayos y Fotovoltaico</t>
        </is>
      </c>
      <c r="B451" s="143" t="n"/>
      <c r="C451" s="143" t="n"/>
      <c r="D451" s="143" t="n"/>
      <c r="E451" s="143" t="n"/>
      <c r="F451" s="143" t="n"/>
      <c r="G451" s="143" t="n"/>
      <c r="H451" s="143" t="n"/>
      <c r="I451" s="143" t="n"/>
      <c r="J451" s="143" t="n"/>
      <c r="K451" s="143" t="n"/>
      <c r="L451" s="143" t="n"/>
      <c r="M451" s="143" t="n"/>
      <c r="N451" s="143" t="n"/>
      <c r="O451" s="143" t="n"/>
      <c r="P451" s="143" t="n"/>
      <c r="Q451" s="144" t="n"/>
    </row>
    <row r="452">
      <c r="A452" s="23" t="n">
        <v>398</v>
      </c>
      <c r="B452" s="24" t="inlineStr">
        <is>
          <t xml:space="preserve">        Grupo Electrógeno Diésel 30 kW Insonorizado + Tablero de Control</t>
        </is>
      </c>
      <c r="C452" s="25" t="inlineStr">
        <is>
          <t>Comercial / Industrial / Hosp</t>
        </is>
      </c>
      <c r="D452" s="23" t="inlineStr">
        <is>
          <t>Generadores Respaldo</t>
        </is>
      </c>
      <c r="E452" s="23" t="inlineStr">
        <is>
          <t>U</t>
        </is>
      </c>
      <c r="F452" s="26" t="n">
        <v>0</v>
      </c>
      <c r="G452" s="27" t="n">
        <v>12800</v>
      </c>
      <c r="H452" s="27" t="n">
        <v>13440</v>
      </c>
      <c r="I452" s="23" t="inlineStr">
        <is>
          <t>Megametales</t>
        </is>
      </c>
      <c r="J452" s="27" t="n">
        <v>14208</v>
      </c>
      <c r="K452" s="23" t="inlineStr">
        <is>
          <t>Kywi / Megakywi</t>
        </is>
      </c>
      <c r="L452" s="28">
        <f>F452*G452</f>
        <v/>
      </c>
      <c r="M452" s="146" t="inlineStr">
        <is>
          <t>IE-D50-GEN-DSL-030KW</t>
        </is>
      </c>
      <c r="N452" s="23" t="inlineStr">
        <is>
          <t>Instalaciones eléctricas</t>
        </is>
      </c>
      <c r="O452" s="23" t="inlineStr">
        <is>
          <t>Estimado DION · criterio de mercado Guayaquil 2026 (no verificado en tienda)</t>
        </is>
      </c>
      <c r="P452" s="23" t="inlineStr">
        <is>
          <t>oct-2026 (est.)</t>
        </is>
      </c>
      <c r="Q452" s="23" t="n"/>
    </row>
    <row r="453">
      <c r="A453" s="18" t="n">
        <v>399</v>
      </c>
      <c r="B453" s="19" t="inlineStr">
        <is>
          <t xml:space="preserve">        Grupo Electrógeno Diésel 50 kW Insonorizado + Tablero de Control</t>
        </is>
      </c>
      <c r="C453" s="20" t="inlineStr">
        <is>
          <t>Comercial / Industrial / Hosp</t>
        </is>
      </c>
      <c r="D453" s="18" t="inlineStr">
        <is>
          <t>Generadores Respaldo</t>
        </is>
      </c>
      <c r="E453" s="18" t="inlineStr">
        <is>
          <t>U</t>
        </is>
      </c>
      <c r="F453" s="21" t="n">
        <v>0</v>
      </c>
      <c r="G453" s="22" t="n">
        <v>17800</v>
      </c>
      <c r="H453" s="22" t="n">
        <v>18690</v>
      </c>
      <c r="I453" s="18" t="inlineStr">
        <is>
          <t>Megametales</t>
        </is>
      </c>
      <c r="J453" s="22" t="n">
        <v>19402</v>
      </c>
      <c r="K453" s="18" t="inlineStr">
        <is>
          <t>Ferrisariato</t>
        </is>
      </c>
      <c r="L453" s="8">
        <f>F453*G453</f>
        <v/>
      </c>
      <c r="M453" s="145" t="inlineStr">
        <is>
          <t>IE-D50-GEN-DSL-050KW</t>
        </is>
      </c>
      <c r="N453" s="18" t="inlineStr">
        <is>
          <t>Instalaciones eléctricas</t>
        </is>
      </c>
      <c r="O453" s="18" t="inlineStr">
        <is>
          <t>Estimado DION · criterio de mercado Guayaquil 2026 (no verificado en tienda)</t>
        </is>
      </c>
      <c r="P453" s="18" t="inlineStr">
        <is>
          <t>oct-2026 (est.)</t>
        </is>
      </c>
      <c r="Q453" s="18" t="n"/>
    </row>
    <row r="454">
      <c r="A454" s="23" t="n">
        <v>400</v>
      </c>
      <c r="B454" s="24" t="inlineStr">
        <is>
          <t xml:space="preserve">        Grupo Electrógeno Diésel 80 kW Insonorizado + Tablero de Control</t>
        </is>
      </c>
      <c r="C454" s="25" t="inlineStr">
        <is>
          <t>Comercial / Industrial / Hosp</t>
        </is>
      </c>
      <c r="D454" s="23" t="inlineStr">
        <is>
          <t>Generadores Respaldo</t>
        </is>
      </c>
      <c r="E454" s="23" t="inlineStr">
        <is>
          <t>U</t>
        </is>
      </c>
      <c r="F454" s="26" t="n">
        <v>0</v>
      </c>
      <c r="G454" s="27" t="n">
        <v>24500</v>
      </c>
      <c r="H454" s="27" t="n">
        <v>25235</v>
      </c>
      <c r="I454" s="23" t="inlineStr">
        <is>
          <t>Megametales</t>
        </is>
      </c>
      <c r="J454" s="27" t="n">
        <v>26215</v>
      </c>
      <c r="K454" s="23" t="inlineStr">
        <is>
          <t>Kywi / Megakywi</t>
        </is>
      </c>
      <c r="L454" s="28">
        <f>F454*G454</f>
        <v/>
      </c>
      <c r="M454" s="146" t="inlineStr">
        <is>
          <t>IE-D50-GEN-DSL-080KW</t>
        </is>
      </c>
      <c r="N454" s="23" t="inlineStr">
        <is>
          <t>Instalaciones eléctricas</t>
        </is>
      </c>
      <c r="O454" s="23" t="inlineStr">
        <is>
          <t>Estimado DION · criterio de mercado Guayaquil 2026 (no verificado en tienda)</t>
        </is>
      </c>
      <c r="P454" s="23" t="inlineStr">
        <is>
          <t>oct-2026 (est.)</t>
        </is>
      </c>
      <c r="Q454" s="23" t="n"/>
    </row>
    <row r="455">
      <c r="A455" s="18" t="n">
        <v>401</v>
      </c>
      <c r="B455" s="19" t="inlineStr">
        <is>
          <t xml:space="preserve">        Grupo Electrógeno Diésel 100 kW Insonorizado + Tablero de Control</t>
        </is>
      </c>
      <c r="C455" s="20" t="inlineStr">
        <is>
          <t>Comercial / Industrial / Hosp</t>
        </is>
      </c>
      <c r="D455" s="18" t="inlineStr">
        <is>
          <t>Generadores Respaldo</t>
        </is>
      </c>
      <c r="E455" s="18" t="inlineStr">
        <is>
          <t>U</t>
        </is>
      </c>
      <c r="F455" s="21" t="n">
        <v>0</v>
      </c>
      <c r="G455" s="22" t="n">
        <v>28500</v>
      </c>
      <c r="H455" s="22" t="n">
        <v>29925</v>
      </c>
      <c r="I455" s="18" t="inlineStr">
        <is>
          <t>Megametales</t>
        </is>
      </c>
      <c r="J455" s="22" t="n">
        <v>31065</v>
      </c>
      <c r="K455" s="18" t="inlineStr">
        <is>
          <t>Ferrisariato</t>
        </is>
      </c>
      <c r="L455" s="8">
        <f>F455*G455</f>
        <v/>
      </c>
      <c r="M455" s="145" t="inlineStr">
        <is>
          <t>IE-D50-GEN-DSL-100KW</t>
        </is>
      </c>
      <c r="N455" s="18" t="inlineStr">
        <is>
          <t>Instalaciones eléctricas</t>
        </is>
      </c>
      <c r="O455" s="18" t="inlineStr">
        <is>
          <t>Estimado DION · criterio de mercado Guayaquil 2026 (no verificado en tienda)</t>
        </is>
      </c>
      <c r="P455" s="18" t="inlineStr">
        <is>
          <t>oct-2026 (est.)</t>
        </is>
      </c>
      <c r="Q455" s="18" t="n"/>
    </row>
    <row r="456">
      <c r="A456" s="23" t="n">
        <v>402</v>
      </c>
      <c r="B456" s="24" t="inlineStr">
        <is>
          <t xml:space="preserve">        Grupo Electrógeno Diésel 150 kW Insonorizado + Tablero de Control</t>
        </is>
      </c>
      <c r="C456" s="25" t="inlineStr">
        <is>
          <t>Comercial / Industrial / Hosp</t>
        </is>
      </c>
      <c r="D456" s="23" t="inlineStr">
        <is>
          <t>Generadores Respaldo</t>
        </is>
      </c>
      <c r="E456" s="23" t="inlineStr">
        <is>
          <t>U</t>
        </is>
      </c>
      <c r="F456" s="26" t="n">
        <v>0</v>
      </c>
      <c r="G456" s="27" t="n">
        <v>38500</v>
      </c>
      <c r="H456" s="27" t="n">
        <v>39655</v>
      </c>
      <c r="I456" s="23" t="inlineStr">
        <is>
          <t>Megametales</t>
        </is>
      </c>
      <c r="J456" s="27" t="n">
        <v>41965</v>
      </c>
      <c r="K456" s="23" t="inlineStr">
        <is>
          <t>Kywi / Megakywi</t>
        </is>
      </c>
      <c r="L456" s="28">
        <f>F456*G456</f>
        <v/>
      </c>
      <c r="M456" s="146" t="inlineStr">
        <is>
          <t>IE-D50-GEN-DSL-150KW</t>
        </is>
      </c>
      <c r="N456" s="23" t="inlineStr">
        <is>
          <t>Instalaciones eléctricas</t>
        </is>
      </c>
      <c r="O456" s="23" t="inlineStr">
        <is>
          <t>Estimado DION · criterio de mercado Guayaquil 2026 (no verificado en tienda)</t>
        </is>
      </c>
      <c r="P456" s="23" t="inlineStr">
        <is>
          <t>oct-2026 (est.)</t>
        </is>
      </c>
      <c r="Q456" s="23" t="n"/>
    </row>
    <row r="457">
      <c r="A457" s="18" t="n">
        <v>403</v>
      </c>
      <c r="B457" s="19" t="inlineStr">
        <is>
          <t xml:space="preserve">        Grupo Electrógeno Diésel 200 kW Insonorizado + Tablero de Control</t>
        </is>
      </c>
      <c r="C457" s="20" t="inlineStr">
        <is>
          <t>Comercial / Industrial / Hosp</t>
        </is>
      </c>
      <c r="D457" s="18" t="inlineStr">
        <is>
          <t>Generadores Respaldo</t>
        </is>
      </c>
      <c r="E457" s="18" t="inlineStr">
        <is>
          <t>U</t>
        </is>
      </c>
      <c r="F457" s="21" t="n">
        <v>0</v>
      </c>
      <c r="G457" s="22" t="n">
        <v>46500</v>
      </c>
      <c r="H457" s="22" t="n">
        <v>48360</v>
      </c>
      <c r="I457" s="18" t="inlineStr">
        <is>
          <t>Megametales</t>
        </is>
      </c>
      <c r="J457" s="22" t="n">
        <v>51615</v>
      </c>
      <c r="K457" s="18" t="inlineStr">
        <is>
          <t>Ferrisariato</t>
        </is>
      </c>
      <c r="L457" s="8">
        <f>F457*G457</f>
        <v/>
      </c>
      <c r="M457" s="145" t="inlineStr">
        <is>
          <t>IE-D50-GEN-DSL-200KW</t>
        </is>
      </c>
      <c r="N457" s="18" t="inlineStr">
        <is>
          <t>Instalaciones eléctricas</t>
        </is>
      </c>
      <c r="O457" s="18" t="inlineStr">
        <is>
          <t>Estimado DION · criterio de mercado Guayaquil 2026 (no verificado en tienda)</t>
        </is>
      </c>
      <c r="P457" s="18" t="inlineStr">
        <is>
          <t>oct-2026 (est.)</t>
        </is>
      </c>
      <c r="Q457" s="18" t="n"/>
    </row>
    <row r="458">
      <c r="A458" s="23" t="n">
        <v>404</v>
      </c>
      <c r="B458" s="24" t="inlineStr">
        <is>
          <t xml:space="preserve">        Grupo Electrógeno Diésel 300 kW Insonorizado + Tablero de Control</t>
        </is>
      </c>
      <c r="C458" s="25" t="inlineStr">
        <is>
          <t>Comercial / Industrial / Hosp</t>
        </is>
      </c>
      <c r="D458" s="23" t="inlineStr">
        <is>
          <t>Generadores Respaldo</t>
        </is>
      </c>
      <c r="E458" s="23" t="inlineStr">
        <is>
          <t>U</t>
        </is>
      </c>
      <c r="F458" s="26" t="n">
        <v>0</v>
      </c>
      <c r="G458" s="27" t="n">
        <v>63000</v>
      </c>
      <c r="H458" s="27" t="n">
        <v>64890</v>
      </c>
      <c r="I458" s="23" t="inlineStr">
        <is>
          <t>Megametales</t>
        </is>
      </c>
      <c r="J458" s="27" t="n">
        <v>68670</v>
      </c>
      <c r="K458" s="23" t="inlineStr">
        <is>
          <t>Kywi / Megakywi</t>
        </is>
      </c>
      <c r="L458" s="28">
        <f>F458*G458</f>
        <v/>
      </c>
      <c r="M458" s="146" t="inlineStr">
        <is>
          <t>IE-D50-GEN-DSL-300KW</t>
        </is>
      </c>
      <c r="N458" s="23" t="inlineStr">
        <is>
          <t>Instalaciones eléctricas</t>
        </is>
      </c>
      <c r="O458" s="23" t="inlineStr">
        <is>
          <t>Estimado DION · criterio de mercado Guayaquil 2026 (no verificado en tienda)</t>
        </is>
      </c>
      <c r="P458" s="23" t="inlineStr">
        <is>
          <t>oct-2026 (est.)</t>
        </is>
      </c>
      <c r="Q458" s="23" t="n"/>
    </row>
    <row r="459">
      <c r="A459" s="18" t="n">
        <v>405</v>
      </c>
      <c r="B459" s="19" t="inlineStr">
        <is>
          <t xml:space="preserve">        Grupo Electrógeno Diésel 500 kW Insonorizado + Tablero de Control</t>
        </is>
      </c>
      <c r="C459" s="20" t="inlineStr">
        <is>
          <t>Comercial / Industrial / Hosp</t>
        </is>
      </c>
      <c r="D459" s="18" t="inlineStr">
        <is>
          <t>Generadores Respaldo</t>
        </is>
      </c>
      <c r="E459" s="18" t="inlineStr">
        <is>
          <t>U</t>
        </is>
      </c>
      <c r="F459" s="21" t="n">
        <v>0</v>
      </c>
      <c r="G459" s="22" t="n">
        <v>96000</v>
      </c>
      <c r="H459" s="22" t="n">
        <v>100800</v>
      </c>
      <c r="I459" s="18" t="inlineStr">
        <is>
          <t>Megametales</t>
        </is>
      </c>
      <c r="J459" s="22" t="n">
        <v>106560</v>
      </c>
      <c r="K459" s="18" t="inlineStr">
        <is>
          <t>Ferrisariato</t>
        </is>
      </c>
      <c r="L459" s="8">
        <f>F459*G459</f>
        <v/>
      </c>
      <c r="M459" s="145" t="inlineStr">
        <is>
          <t>IE-D50-GEN-DSL-500KW</t>
        </is>
      </c>
      <c r="N459" s="18" t="inlineStr">
        <is>
          <t>Instalaciones eléctricas</t>
        </is>
      </c>
      <c r="O459" s="18" t="inlineStr">
        <is>
          <t>Estimado DION · criterio de mercado Guayaquil 2026 (no verificado en tienda)</t>
        </is>
      </c>
      <c r="P459" s="18" t="inlineStr">
        <is>
          <t>oct-2026 (est.)</t>
        </is>
      </c>
      <c r="Q459" s="18" t="n"/>
    </row>
    <row r="460">
      <c r="A460" s="23" t="n">
        <v>406</v>
      </c>
      <c r="B460" s="24" t="inlineStr">
        <is>
          <t xml:space="preserve">        Tablero de Transferencia Automática ATS 100A</t>
        </is>
      </c>
      <c r="C460" s="25" t="inlineStr">
        <is>
          <t>Comercial / Industrial / Hosp</t>
        </is>
      </c>
      <c r="D460" s="23" t="inlineStr">
        <is>
          <t>Paneles ATS</t>
        </is>
      </c>
      <c r="E460" s="23" t="inlineStr">
        <is>
          <t>U</t>
        </is>
      </c>
      <c r="F460" s="26" t="n">
        <v>0</v>
      </c>
      <c r="G460" s="27" t="n">
        <v>2850</v>
      </c>
      <c r="H460" s="27" t="n">
        <v>2907</v>
      </c>
      <c r="I460" s="23" t="inlineStr">
        <is>
          <t>Megametales</t>
        </is>
      </c>
      <c r="J460" s="27" t="n">
        <v>3078</v>
      </c>
      <c r="K460" s="23" t="inlineStr">
        <is>
          <t>Kywi / Megakywi</t>
        </is>
      </c>
      <c r="L460" s="28">
        <f>F460*G460</f>
        <v/>
      </c>
      <c r="M460" s="146" t="inlineStr">
        <is>
          <t>IE-D50-GEN-ATS-0100A</t>
        </is>
      </c>
      <c r="N460" s="23" t="inlineStr">
        <is>
          <t>Instalaciones eléctricas</t>
        </is>
      </c>
      <c r="O460" s="23" t="inlineStr">
        <is>
          <t>Estimado DION · criterio de mercado Guayaquil 2026 (no verificado en tienda)</t>
        </is>
      </c>
      <c r="P460" s="23" t="inlineStr">
        <is>
          <t>oct-2026 (est.)</t>
        </is>
      </c>
      <c r="Q460" s="23" t="n"/>
    </row>
    <row r="461">
      <c r="A461" s="18" t="n">
        <v>407</v>
      </c>
      <c r="B461" s="19" t="inlineStr">
        <is>
          <t xml:space="preserve">        Tablero de Transferencia Automática ATS 400A</t>
        </is>
      </c>
      <c r="C461" s="20" t="inlineStr">
        <is>
          <t>Comercial / Industrial / Hosp</t>
        </is>
      </c>
      <c r="D461" s="18" t="inlineStr">
        <is>
          <t>Paneles ATS</t>
        </is>
      </c>
      <c r="E461" s="18" t="inlineStr">
        <is>
          <t>U</t>
        </is>
      </c>
      <c r="F461" s="21" t="n">
        <v>0</v>
      </c>
      <c r="G461" s="22" t="n">
        <v>6900</v>
      </c>
      <c r="H461" s="22" t="n">
        <v>7176</v>
      </c>
      <c r="I461" s="18" t="inlineStr">
        <is>
          <t>Megametales</t>
        </is>
      </c>
      <c r="J461" s="22" t="n">
        <v>7659</v>
      </c>
      <c r="K461" s="18" t="inlineStr">
        <is>
          <t>Ferrisariato</t>
        </is>
      </c>
      <c r="L461" s="8">
        <f>F461*G461</f>
        <v/>
      </c>
      <c r="M461" s="145" t="inlineStr">
        <is>
          <t>IE-D50-GEN-ATS-0400A</t>
        </is>
      </c>
      <c r="N461" s="18" t="inlineStr">
        <is>
          <t>Instalaciones eléctricas</t>
        </is>
      </c>
      <c r="O461" s="18" t="inlineStr">
        <is>
          <t>Estimado DION · criterio de mercado Guayaquil 2026 (no verificado en tienda)</t>
        </is>
      </c>
      <c r="P461" s="18" t="inlineStr">
        <is>
          <t>oct-2026 (est.)</t>
        </is>
      </c>
      <c r="Q461" s="18" t="n"/>
    </row>
    <row r="462">
      <c r="A462" s="23" t="n">
        <v>408</v>
      </c>
      <c r="B462" s="24" t="inlineStr">
        <is>
          <t xml:space="preserve">        Tablero de Transferencia Automática ATS 600A</t>
        </is>
      </c>
      <c r="C462" s="25" t="inlineStr">
        <is>
          <t>Comercial / Industrial / Hosp</t>
        </is>
      </c>
      <c r="D462" s="23" t="inlineStr">
        <is>
          <t>Paneles ATS</t>
        </is>
      </c>
      <c r="E462" s="23" t="inlineStr">
        <is>
          <t>U</t>
        </is>
      </c>
      <c r="F462" s="26" t="n">
        <v>0</v>
      </c>
      <c r="G462" s="27" t="n">
        <v>9600</v>
      </c>
      <c r="H462" s="27" t="n">
        <v>9984</v>
      </c>
      <c r="I462" s="23" t="inlineStr">
        <is>
          <t>Megametales</t>
        </is>
      </c>
      <c r="J462" s="27" t="n">
        <v>10464</v>
      </c>
      <c r="K462" s="23" t="inlineStr">
        <is>
          <t>Kywi / Megakywi</t>
        </is>
      </c>
      <c r="L462" s="28">
        <f>F462*G462</f>
        <v/>
      </c>
      <c r="M462" s="146" t="inlineStr">
        <is>
          <t>IE-D50-GEN-ATS-0600A</t>
        </is>
      </c>
      <c r="N462" s="23" t="inlineStr">
        <is>
          <t>Instalaciones eléctricas</t>
        </is>
      </c>
      <c r="O462" s="23" t="inlineStr">
        <is>
          <t>Estimado DION · criterio de mercado Guayaquil 2026 (no verificado en tienda)</t>
        </is>
      </c>
      <c r="P462" s="23" t="inlineStr">
        <is>
          <t>oct-2026 (est.)</t>
        </is>
      </c>
      <c r="Q462" s="23" t="n"/>
    </row>
    <row r="463">
      <c r="A463" s="18" t="n">
        <v>409</v>
      </c>
      <c r="B463" s="19" t="inlineStr">
        <is>
          <t xml:space="preserve">        Tablero de Transferencia Automática ATS 800A</t>
        </is>
      </c>
      <c r="C463" s="20" t="inlineStr">
        <is>
          <t>Comercial / Industrial / Hosp</t>
        </is>
      </c>
      <c r="D463" s="18" t="inlineStr">
        <is>
          <t>Paneles ATS</t>
        </is>
      </c>
      <c r="E463" s="18" t="inlineStr">
        <is>
          <t>U</t>
        </is>
      </c>
      <c r="F463" s="21" t="n">
        <v>0</v>
      </c>
      <c r="G463" s="22" t="n">
        <v>12600</v>
      </c>
      <c r="H463" s="22" t="n">
        <v>13230</v>
      </c>
      <c r="I463" s="18" t="inlineStr">
        <is>
          <t>Megametales</t>
        </is>
      </c>
      <c r="J463" s="22" t="n">
        <v>13482</v>
      </c>
      <c r="K463" s="18" t="inlineStr">
        <is>
          <t>Ferrisariato</t>
        </is>
      </c>
      <c r="L463" s="8">
        <f>F463*G463</f>
        <v/>
      </c>
      <c r="M463" s="145" t="inlineStr">
        <is>
          <t>IE-D50-GEN-ATS-0800A</t>
        </is>
      </c>
      <c r="N463" s="18" t="inlineStr">
        <is>
          <t>Instalaciones eléctricas</t>
        </is>
      </c>
      <c r="O463" s="18" t="inlineStr">
        <is>
          <t>Estimado DION · criterio de mercado Guayaquil 2026 (no verificado en tienda)</t>
        </is>
      </c>
      <c r="P463" s="18" t="inlineStr">
        <is>
          <t>oct-2026 (est.)</t>
        </is>
      </c>
      <c r="Q463" s="18" t="n"/>
    </row>
    <row r="464">
      <c r="A464" s="23" t="n">
        <v>410</v>
      </c>
      <c r="B464" s="24" t="inlineStr">
        <is>
          <t xml:space="preserve">        Tablero de Transferencia Automática ATS 1200A</t>
        </is>
      </c>
      <c r="C464" s="25" t="inlineStr">
        <is>
          <t>Comercial / Industrial / Hosp</t>
        </is>
      </c>
      <c r="D464" s="23" t="inlineStr">
        <is>
          <t>Paneles ATS</t>
        </is>
      </c>
      <c r="E464" s="23" t="inlineStr">
        <is>
          <t>U</t>
        </is>
      </c>
      <c r="F464" s="26" t="n">
        <v>0</v>
      </c>
      <c r="G464" s="27" t="n">
        <v>18200</v>
      </c>
      <c r="H464" s="27" t="n">
        <v>18928</v>
      </c>
      <c r="I464" s="23" t="inlineStr">
        <is>
          <t>Megametales</t>
        </is>
      </c>
      <c r="J464" s="27" t="n">
        <v>19656</v>
      </c>
      <c r="K464" s="23" t="inlineStr">
        <is>
          <t>Kywi / Megakywi</t>
        </is>
      </c>
      <c r="L464" s="28">
        <f>F464*G464</f>
        <v/>
      </c>
      <c r="M464" s="146" t="inlineStr">
        <is>
          <t>IE-D50-GEN-ATS-1200A</t>
        </is>
      </c>
      <c r="N464" s="23" t="inlineStr">
        <is>
          <t>Instalaciones eléctricas</t>
        </is>
      </c>
      <c r="O464" s="23" t="inlineStr">
        <is>
          <t>Estimado DION · criterio de mercado Guayaquil 2026 (no verificado en tienda)</t>
        </is>
      </c>
      <c r="P464" s="23" t="inlineStr">
        <is>
          <t>oct-2026 (est.)</t>
        </is>
      </c>
      <c r="Q464" s="23" t="n"/>
    </row>
    <row r="465">
      <c r="A465" s="18" t="n">
        <v>411</v>
      </c>
      <c r="B465" s="19" t="inlineStr">
        <is>
          <t xml:space="preserve">        Tanque Diario de Combustible 200 gal con Dique</t>
        </is>
      </c>
      <c r="C465" s="20" t="inlineStr">
        <is>
          <t>Comercial / Industrial</t>
        </is>
      </c>
      <c r="D465" s="18" t="inlineStr">
        <is>
          <t>Tanques Combustible</t>
        </is>
      </c>
      <c r="E465" s="18" t="inlineStr">
        <is>
          <t>U</t>
        </is>
      </c>
      <c r="F465" s="21" t="n">
        <v>0</v>
      </c>
      <c r="G465" s="22" t="n">
        <v>1850</v>
      </c>
      <c r="H465" s="22" t="n">
        <v>1887</v>
      </c>
      <c r="I465" s="18" t="inlineStr">
        <is>
          <t>Megametales</t>
        </is>
      </c>
      <c r="J465" s="22" t="n">
        <v>1998</v>
      </c>
      <c r="K465" s="18" t="inlineStr">
        <is>
          <t>Ferrisariato</t>
        </is>
      </c>
      <c r="L465" s="8">
        <f>F465*G465</f>
        <v/>
      </c>
      <c r="M465" s="145" t="inlineStr">
        <is>
          <t>IE-D50-GEN-TAN-DIA</t>
        </is>
      </c>
      <c r="N465" s="18" t="inlineStr">
        <is>
          <t>Instalaciones eléctricas</t>
        </is>
      </c>
      <c r="O465" s="18" t="inlineStr">
        <is>
          <t>Estimado DION · criterio de mercado Guayaquil 2026 (no verificado en tienda)</t>
        </is>
      </c>
      <c r="P465" s="18" t="inlineStr">
        <is>
          <t>oct-2026 (est.)</t>
        </is>
      </c>
      <c r="Q465" s="18" t="n"/>
    </row>
    <row r="466">
      <c r="A466" s="23" t="n">
        <v>412</v>
      </c>
      <c r="B466" s="24" t="inlineStr">
        <is>
          <t xml:space="preserve">        UPS Online Doble Conversión 1 kVA</t>
        </is>
      </c>
      <c r="C466" s="25" t="inlineStr">
        <is>
          <t>Comercial / Industrial / Hosp</t>
        </is>
      </c>
      <c r="D466" s="23" t="inlineStr">
        <is>
          <t>Sistemas UPS</t>
        </is>
      </c>
      <c r="E466" s="23" t="inlineStr">
        <is>
          <t>U</t>
        </is>
      </c>
      <c r="F466" s="26" t="n">
        <v>1</v>
      </c>
      <c r="G466" s="27" t="n">
        <v>285</v>
      </c>
      <c r="H466" s="27" t="n">
        <v>296.4</v>
      </c>
      <c r="I466" s="23" t="inlineStr">
        <is>
          <t>Megametales</t>
        </is>
      </c>
      <c r="J466" s="27" t="n">
        <v>310.65</v>
      </c>
      <c r="K466" s="23" t="inlineStr">
        <is>
          <t>Kywi / Megakywi</t>
        </is>
      </c>
      <c r="L466" s="28">
        <f>F466*G466</f>
        <v/>
      </c>
      <c r="M466" s="146" t="inlineStr">
        <is>
          <t>IE-D50-UPS-ONL-1KVA</t>
        </is>
      </c>
      <c r="N466" s="23" t="inlineStr">
        <is>
          <t>Instalaciones eléctricas</t>
        </is>
      </c>
      <c r="O466" s="23" t="inlineStr">
        <is>
          <t>Estimado DION · criterio de mercado Guayaquil 2026 (no verificado en tienda)</t>
        </is>
      </c>
      <c r="P466" s="23" t="inlineStr">
        <is>
          <t>oct-2026 (est.)</t>
        </is>
      </c>
      <c r="Q466" s="23" t="n"/>
    </row>
    <row r="467">
      <c r="A467" s="18" t="n">
        <v>413</v>
      </c>
      <c r="B467" s="19" t="inlineStr">
        <is>
          <t xml:space="preserve">        UPS Online Doble Conversión 3 kVA</t>
        </is>
      </c>
      <c r="C467" s="20" t="inlineStr">
        <is>
          <t>Comercial / Industrial / Hosp</t>
        </is>
      </c>
      <c r="D467" s="18" t="inlineStr">
        <is>
          <t>Sistemas UPS</t>
        </is>
      </c>
      <c r="E467" s="18" t="inlineStr">
        <is>
          <t>U</t>
        </is>
      </c>
      <c r="F467" s="21" t="n">
        <v>0</v>
      </c>
      <c r="G467" s="22" t="n">
        <v>860</v>
      </c>
      <c r="H467" s="22" t="n">
        <v>903</v>
      </c>
      <c r="I467" s="18" t="inlineStr">
        <is>
          <t>Megametales</t>
        </is>
      </c>
      <c r="J467" s="22" t="n">
        <v>928.8</v>
      </c>
      <c r="K467" s="18" t="inlineStr">
        <is>
          <t>Ferrisariato</t>
        </is>
      </c>
      <c r="L467" s="8">
        <f>F467*G467</f>
        <v/>
      </c>
      <c r="M467" s="145" t="inlineStr">
        <is>
          <t>IE-D50-UPS-ONL-3KVA</t>
        </is>
      </c>
      <c r="N467" s="18" t="inlineStr">
        <is>
          <t>Instalaciones eléctricas</t>
        </is>
      </c>
      <c r="O467" s="18" t="inlineStr">
        <is>
          <t>Estimado DION · criterio de mercado Guayaquil 2026 (no verificado en tienda)</t>
        </is>
      </c>
      <c r="P467" s="18" t="inlineStr">
        <is>
          <t>oct-2026 (est.)</t>
        </is>
      </c>
      <c r="Q467" s="18" t="n"/>
    </row>
    <row r="468">
      <c r="A468" s="23" t="n">
        <v>414</v>
      </c>
      <c r="B468" s="24" t="inlineStr">
        <is>
          <t xml:space="preserve">        UPS Online Doble Conversión 6 kVA</t>
        </is>
      </c>
      <c r="C468" s="25" t="inlineStr">
        <is>
          <t>Comercial / Industrial / Hosp</t>
        </is>
      </c>
      <c r="D468" s="23" t="inlineStr">
        <is>
          <t>Sistemas UPS</t>
        </is>
      </c>
      <c r="E468" s="23" t="inlineStr">
        <is>
          <t>U</t>
        </is>
      </c>
      <c r="F468" s="26" t="n">
        <v>0</v>
      </c>
      <c r="G468" s="27" t="n">
        <v>1920</v>
      </c>
      <c r="H468" s="27" t="n">
        <v>1996.8</v>
      </c>
      <c r="I468" s="23" t="inlineStr">
        <is>
          <t>Megametales</t>
        </is>
      </c>
      <c r="J468" s="27" t="n">
        <v>2131.2</v>
      </c>
      <c r="K468" s="23" t="inlineStr">
        <is>
          <t>Kywi / Megakywi</t>
        </is>
      </c>
      <c r="L468" s="28">
        <f>F468*G468</f>
        <v/>
      </c>
      <c r="M468" s="146" t="inlineStr">
        <is>
          <t>IE-D50-UPS-ONL-6KVA</t>
        </is>
      </c>
      <c r="N468" s="23" t="inlineStr">
        <is>
          <t>Instalaciones eléctricas</t>
        </is>
      </c>
      <c r="O468" s="23" t="inlineStr">
        <is>
          <t>Estimado DION · criterio de mercado Guayaquil 2026 (no verificado en tienda)</t>
        </is>
      </c>
      <c r="P468" s="23" t="inlineStr">
        <is>
          <t>oct-2026 (est.)</t>
        </is>
      </c>
      <c r="Q468" s="23" t="n"/>
    </row>
    <row r="469">
      <c r="A469" s="18" t="n">
        <v>415</v>
      </c>
      <c r="B469" s="19" t="inlineStr">
        <is>
          <t xml:space="preserve">        UPS Online Doble Conversión 20 kVA</t>
        </is>
      </c>
      <c r="C469" s="20" t="inlineStr">
        <is>
          <t>Comercial / Industrial / Hosp</t>
        </is>
      </c>
      <c r="D469" s="18" t="inlineStr">
        <is>
          <t>Sistemas UPS</t>
        </is>
      </c>
      <c r="E469" s="18" t="inlineStr">
        <is>
          <t>U</t>
        </is>
      </c>
      <c r="F469" s="21" t="n">
        <v>0</v>
      </c>
      <c r="G469" s="22" t="n">
        <v>6600</v>
      </c>
      <c r="H469" s="22" t="n">
        <v>6864</v>
      </c>
      <c r="I469" s="18" t="inlineStr">
        <is>
          <t>Megametales</t>
        </is>
      </c>
      <c r="J469" s="22" t="n">
        <v>7194</v>
      </c>
      <c r="K469" s="18" t="inlineStr">
        <is>
          <t>Ferrisariato</t>
        </is>
      </c>
      <c r="L469" s="8">
        <f>F469*G469</f>
        <v/>
      </c>
      <c r="M469" s="145" t="inlineStr">
        <is>
          <t>IE-D50-UPS-ONL-20KVA</t>
        </is>
      </c>
      <c r="N469" s="18" t="inlineStr">
        <is>
          <t>Instalaciones eléctricas</t>
        </is>
      </c>
      <c r="O469" s="18" t="inlineStr">
        <is>
          <t>Estimado DION · criterio de mercado Guayaquil 2026 (no verificado en tienda)</t>
        </is>
      </c>
      <c r="P469" s="18" t="inlineStr">
        <is>
          <t>oct-2026 (est.)</t>
        </is>
      </c>
      <c r="Q469" s="18" t="n"/>
    </row>
    <row r="470">
      <c r="A470" s="23" t="n">
        <v>416</v>
      </c>
      <c r="B470" s="24" t="inlineStr">
        <is>
          <t xml:space="preserve">        UPS Online Doble Conversión 40 kVA</t>
        </is>
      </c>
      <c r="C470" s="25" t="inlineStr">
        <is>
          <t>Comercial / Industrial / Hosp</t>
        </is>
      </c>
      <c r="D470" s="23" t="inlineStr">
        <is>
          <t>Sistemas UPS</t>
        </is>
      </c>
      <c r="E470" s="23" t="inlineStr">
        <is>
          <t>U</t>
        </is>
      </c>
      <c r="F470" s="26" t="n">
        <v>0</v>
      </c>
      <c r="G470" s="27" t="n">
        <v>12600</v>
      </c>
      <c r="H470" s="27" t="n">
        <v>13230</v>
      </c>
      <c r="I470" s="23" t="inlineStr">
        <is>
          <t>Megametales</t>
        </is>
      </c>
      <c r="J470" s="27" t="n">
        <v>13482</v>
      </c>
      <c r="K470" s="23" t="inlineStr">
        <is>
          <t>Kywi / Megakywi</t>
        </is>
      </c>
      <c r="L470" s="28">
        <f>F470*G470</f>
        <v/>
      </c>
      <c r="M470" s="146" t="inlineStr">
        <is>
          <t>IE-D50-UPS-ONL-40KVA</t>
        </is>
      </c>
      <c r="N470" s="23" t="inlineStr">
        <is>
          <t>Instalaciones eléctricas</t>
        </is>
      </c>
      <c r="O470" s="23" t="inlineStr">
        <is>
          <t>Estimado DION · criterio de mercado Guayaquil 2026 (no verificado en tienda)</t>
        </is>
      </c>
      <c r="P470" s="23" t="inlineStr">
        <is>
          <t>oct-2026 (est.)</t>
        </is>
      </c>
      <c r="Q470" s="23" t="n"/>
    </row>
    <row r="471">
      <c r="A471" s="18" t="n">
        <v>417</v>
      </c>
      <c r="B471" s="19" t="inlineStr">
        <is>
          <t xml:space="preserve">        UPS Online Doble Conversión 80 kVA</t>
        </is>
      </c>
      <c r="C471" s="20" t="inlineStr">
        <is>
          <t>Comercial / Industrial / Hosp</t>
        </is>
      </c>
      <c r="D471" s="18" t="inlineStr">
        <is>
          <t>Sistemas UPS</t>
        </is>
      </c>
      <c r="E471" s="18" t="inlineStr">
        <is>
          <t>U</t>
        </is>
      </c>
      <c r="F471" s="21" t="n">
        <v>0</v>
      </c>
      <c r="G471" s="22" t="n">
        <v>23500</v>
      </c>
      <c r="H471" s="22" t="n">
        <v>23970</v>
      </c>
      <c r="I471" s="18" t="inlineStr">
        <is>
          <t>Megametales</t>
        </is>
      </c>
      <c r="J471" s="22" t="n">
        <v>25850</v>
      </c>
      <c r="K471" s="18" t="inlineStr">
        <is>
          <t>Ferrisariato</t>
        </is>
      </c>
      <c r="L471" s="8">
        <f>F471*G471</f>
        <v/>
      </c>
      <c r="M471" s="145" t="inlineStr">
        <is>
          <t>IE-D50-UPS-ONL-80KVA</t>
        </is>
      </c>
      <c r="N471" s="18" t="inlineStr">
        <is>
          <t>Instalaciones eléctricas</t>
        </is>
      </c>
      <c r="O471" s="18" t="inlineStr">
        <is>
          <t>Estimado DION · criterio de mercado Guayaquil 2026 (no verificado en tienda)</t>
        </is>
      </c>
      <c r="P471" s="18" t="inlineStr">
        <is>
          <t>oct-2026 (est.)</t>
        </is>
      </c>
      <c r="Q471" s="18" t="n"/>
    </row>
    <row r="472">
      <c r="A472" s="23" t="n">
        <v>418</v>
      </c>
      <c r="B472" s="24" t="inlineStr">
        <is>
          <t xml:space="preserve">        Regulador de Voltaje Ferrorresonante 10 kVA</t>
        </is>
      </c>
      <c r="C472" s="25" t="inlineStr">
        <is>
          <t>Comercial</t>
        </is>
      </c>
      <c r="D472" s="23" t="inlineStr">
        <is>
          <t>Reguladores</t>
        </is>
      </c>
      <c r="E472" s="23" t="inlineStr">
        <is>
          <t>U</t>
        </is>
      </c>
      <c r="F472" s="26" t="n">
        <v>0</v>
      </c>
      <c r="G472" s="27" t="n">
        <v>660</v>
      </c>
      <c r="H472" s="27" t="n">
        <v>693</v>
      </c>
      <c r="I472" s="23" t="inlineStr">
        <is>
          <t>Megametales</t>
        </is>
      </c>
      <c r="J472" s="27" t="n">
        <v>712.8</v>
      </c>
      <c r="K472" s="23" t="inlineStr">
        <is>
          <t>Kywi / Megakywi</t>
        </is>
      </c>
      <c r="L472" s="28">
        <f>F472*G472</f>
        <v/>
      </c>
      <c r="M472" s="146" t="inlineStr">
        <is>
          <t>IE-D50-UPS-REG-10KVA</t>
        </is>
      </c>
      <c r="N472" s="23" t="inlineStr">
        <is>
          <t>Instalaciones eléctricas</t>
        </is>
      </c>
      <c r="O472" s="23" t="inlineStr">
        <is>
          <t>Estimado DION · criterio de mercado Guayaquil 2026 (no verificado en tienda)</t>
        </is>
      </c>
      <c r="P472" s="23" t="inlineStr">
        <is>
          <t>oct-2026 (est.)</t>
        </is>
      </c>
      <c r="Q472" s="23" t="n"/>
    </row>
    <row r="473">
      <c r="A473" s="18" t="n">
        <v>419</v>
      </c>
      <c r="B473" s="19" t="inlineStr">
        <is>
          <t xml:space="preserve">        Varilla Copperweld 5/8" x 2.40 m</t>
        </is>
      </c>
      <c r="C473" s="20" t="inlineStr">
        <is>
          <t>Residencial / Comercial / Ind</t>
        </is>
      </c>
      <c r="D473" s="18" t="inlineStr">
        <is>
          <t>Pararrayos y Tierras</t>
        </is>
      </c>
      <c r="E473" s="18" t="inlineStr">
        <is>
          <t>U</t>
        </is>
      </c>
      <c r="F473" s="21" t="n">
        <v>1</v>
      </c>
      <c r="G473" s="22" t="n">
        <v>18.5</v>
      </c>
      <c r="H473" s="22" t="n">
        <v>19.43</v>
      </c>
      <c r="I473" s="18" t="inlineStr">
        <is>
          <t>Megametales</t>
        </is>
      </c>
      <c r="J473" s="22" t="n">
        <v>20.17</v>
      </c>
      <c r="K473" s="18" t="inlineStr">
        <is>
          <t>Ferrisariato</t>
        </is>
      </c>
      <c r="L473" s="8">
        <f>F473*G473</f>
        <v/>
      </c>
      <c r="M473" s="145" t="inlineStr">
        <is>
          <t>IE-D50-SPT-VAR-58-240</t>
        </is>
      </c>
      <c r="N473" s="18" t="inlineStr">
        <is>
          <t>Instalaciones eléctricas</t>
        </is>
      </c>
      <c r="O473" s="18" t="inlineStr">
        <is>
          <t>Estimado DION · criterio de mercado Guayaquil 2026 (no verificado en tienda)</t>
        </is>
      </c>
      <c r="P473" s="18" t="inlineStr">
        <is>
          <t>oct-2026 (est.)</t>
        </is>
      </c>
      <c r="Q473" s="18" t="n"/>
    </row>
    <row r="474">
      <c r="A474" s="23" t="n">
        <v>420</v>
      </c>
      <c r="B474" s="24" t="inlineStr">
        <is>
          <t xml:space="preserve">        Varilla Copperweld 3/4" x 3.00 m</t>
        </is>
      </c>
      <c r="C474" s="25" t="inlineStr">
        <is>
          <t>Residencial / Comercial / Ind</t>
        </is>
      </c>
      <c r="D474" s="23" t="inlineStr">
        <is>
          <t>Pararrayos y Tierras</t>
        </is>
      </c>
      <c r="E474" s="23" t="inlineStr">
        <is>
          <t>U</t>
        </is>
      </c>
      <c r="F474" s="26" t="n">
        <v>1</v>
      </c>
      <c r="G474" s="27" t="n">
        <v>33</v>
      </c>
      <c r="H474" s="27" t="n">
        <v>33.66</v>
      </c>
      <c r="I474" s="23" t="inlineStr">
        <is>
          <t>Megametales</t>
        </is>
      </c>
      <c r="J474" s="27" t="n">
        <v>35.97</v>
      </c>
      <c r="K474" s="23" t="inlineStr">
        <is>
          <t>Kywi / Megakywi</t>
        </is>
      </c>
      <c r="L474" s="28">
        <f>F474*G474</f>
        <v/>
      </c>
      <c r="M474" s="146" t="inlineStr">
        <is>
          <t>IE-D50-SPT-VAR-34-300</t>
        </is>
      </c>
      <c r="N474" s="23" t="inlineStr">
        <is>
          <t>Instalaciones eléctricas</t>
        </is>
      </c>
      <c r="O474" s="23" t="inlineStr">
        <is>
          <t>Estimado DION · criterio de mercado Guayaquil 2026 (no verificado en tienda)</t>
        </is>
      </c>
      <c r="P474" s="23" t="inlineStr">
        <is>
          <t>oct-2026 (est.)</t>
        </is>
      </c>
      <c r="Q474" s="23" t="n"/>
    </row>
    <row r="475">
      <c r="A475" s="18" t="n">
        <v>421</v>
      </c>
      <c r="B475" s="19" t="inlineStr">
        <is>
          <t xml:space="preserve">        Caja de Registro de Tierra con Tapa</t>
        </is>
      </c>
      <c r="C475" s="20" t="inlineStr">
        <is>
          <t>Residencial / Comercial / Ind</t>
        </is>
      </c>
      <c r="D475" s="18" t="inlineStr">
        <is>
          <t>Pararrayos y Tierras</t>
        </is>
      </c>
      <c r="E475" s="18" t="inlineStr">
        <is>
          <t>U</t>
        </is>
      </c>
      <c r="F475" s="21" t="n">
        <v>1</v>
      </c>
      <c r="G475" s="22" t="n">
        <v>26</v>
      </c>
      <c r="H475" s="22" t="n">
        <v>27.04</v>
      </c>
      <c r="I475" s="18" t="inlineStr">
        <is>
          <t>Megametales</t>
        </is>
      </c>
      <c r="J475" s="22" t="n">
        <v>28.08</v>
      </c>
      <c r="K475" s="18" t="inlineStr">
        <is>
          <t>Ferrisariato</t>
        </is>
      </c>
      <c r="L475" s="8">
        <f>F475*G475</f>
        <v/>
      </c>
      <c r="M475" s="145" t="inlineStr">
        <is>
          <t>IE-D50-SPT-CAJ-REG</t>
        </is>
      </c>
      <c r="N475" s="18" t="inlineStr">
        <is>
          <t>Instalaciones eléctricas</t>
        </is>
      </c>
      <c r="O475" s="18" t="inlineStr">
        <is>
          <t>Estimado DION · criterio de mercado Guayaquil 2026 (no verificado en tienda)</t>
        </is>
      </c>
      <c r="P475" s="18" t="inlineStr">
        <is>
          <t>oct-2026 (est.)</t>
        </is>
      </c>
      <c r="Q475" s="18" t="n"/>
    </row>
    <row r="476">
      <c r="A476" s="23" t="n">
        <v>422</v>
      </c>
      <c r="B476" s="24" t="inlineStr">
        <is>
          <t xml:space="preserve">        Soldadura Exotérmica Carga 90 g + Molde (por Punto)</t>
        </is>
      </c>
      <c r="C476" s="25" t="inlineStr">
        <is>
          <t>Residencial / Comercial / Ind</t>
        </is>
      </c>
      <c r="D476" s="23" t="inlineStr">
        <is>
          <t>Pararrayos y Tierras</t>
        </is>
      </c>
      <c r="E476" s="23" t="inlineStr">
        <is>
          <t>U</t>
        </is>
      </c>
      <c r="F476" s="26" t="n">
        <v>1</v>
      </c>
      <c r="G476" s="27" t="n">
        <v>14.5</v>
      </c>
      <c r="H476" s="27" t="n">
        <v>14.79</v>
      </c>
      <c r="I476" s="23" t="inlineStr">
        <is>
          <t>Megametales</t>
        </is>
      </c>
      <c r="J476" s="27" t="n">
        <v>15.95</v>
      </c>
      <c r="K476" s="23" t="inlineStr">
        <is>
          <t>Kywi / Megakywi</t>
        </is>
      </c>
      <c r="L476" s="28">
        <f>F476*G476</f>
        <v/>
      </c>
      <c r="M476" s="146" t="inlineStr">
        <is>
          <t>IE-D50-SPT-SOL-EXO</t>
        </is>
      </c>
      <c r="N476" s="23" t="inlineStr">
        <is>
          <t>Instalaciones eléctricas</t>
        </is>
      </c>
      <c r="O476" s="23" t="inlineStr">
        <is>
          <t>Estimado DION · criterio de mercado Guayaquil 2026 (no verificado en tienda)</t>
        </is>
      </c>
      <c r="P476" s="23" t="inlineStr">
        <is>
          <t>oct-2026 (est.)</t>
        </is>
      </c>
      <c r="Q476" s="23" t="n"/>
    </row>
    <row r="477">
      <c r="A477" s="18" t="n">
        <v>423</v>
      </c>
      <c r="B477" s="19" t="inlineStr">
        <is>
          <t xml:space="preserve">        Barra Equipotencial de Cobre 10 Puntos</t>
        </is>
      </c>
      <c r="C477" s="20" t="inlineStr">
        <is>
          <t>Residencial / Comercial / Ind</t>
        </is>
      </c>
      <c r="D477" s="18" t="inlineStr">
        <is>
          <t>Pararrayos y Tierras</t>
        </is>
      </c>
      <c r="E477" s="18" t="inlineStr">
        <is>
          <t>U</t>
        </is>
      </c>
      <c r="F477" s="21" t="n">
        <v>1</v>
      </c>
      <c r="G477" s="22" t="n">
        <v>46</v>
      </c>
      <c r="H477" s="22" t="n">
        <v>48.3</v>
      </c>
      <c r="I477" s="18" t="inlineStr">
        <is>
          <t>Megametales</t>
        </is>
      </c>
      <c r="J477" s="22" t="n">
        <v>49.22</v>
      </c>
      <c r="K477" s="18" t="inlineStr">
        <is>
          <t>Ferrisariato</t>
        </is>
      </c>
      <c r="L477" s="8">
        <f>F477*G477</f>
        <v/>
      </c>
      <c r="M477" s="145" t="inlineStr">
        <is>
          <t>IE-D50-SPT-BAR-EQU</t>
        </is>
      </c>
      <c r="N477" s="18" t="inlineStr">
        <is>
          <t>Instalaciones eléctricas</t>
        </is>
      </c>
      <c r="O477" s="18" t="inlineStr">
        <is>
          <t>Estimado DION · criterio de mercado Guayaquil 2026 (no verificado en tienda)</t>
        </is>
      </c>
      <c r="P477" s="18" t="inlineStr">
        <is>
          <t>oct-2026 (est.)</t>
        </is>
      </c>
      <c r="Q477" s="18" t="n"/>
    </row>
    <row r="478">
      <c r="A478" s="23" t="n">
        <v>424</v>
      </c>
      <c r="B478" s="24" t="inlineStr">
        <is>
          <t xml:space="preserve">        Barra Principal de Tierra TGB Cobre</t>
        </is>
      </c>
      <c r="C478" s="25" t="inlineStr">
        <is>
          <t>Residencial / Comercial / Ind</t>
        </is>
      </c>
      <c r="D478" s="23" t="inlineStr">
        <is>
          <t>Pararrayos y Tierras</t>
        </is>
      </c>
      <c r="E478" s="23" t="inlineStr">
        <is>
          <t>U</t>
        </is>
      </c>
      <c r="F478" s="26" t="n">
        <v>1</v>
      </c>
      <c r="G478" s="27" t="n">
        <v>88</v>
      </c>
      <c r="H478" s="27" t="n">
        <v>92.40000000000001</v>
      </c>
      <c r="I478" s="23" t="inlineStr">
        <is>
          <t>Megametales</t>
        </is>
      </c>
      <c r="J478" s="27" t="n">
        <v>95.92</v>
      </c>
      <c r="K478" s="23" t="inlineStr">
        <is>
          <t>Kywi / Megakywi</t>
        </is>
      </c>
      <c r="L478" s="28">
        <f>F478*G478</f>
        <v/>
      </c>
      <c r="M478" s="146" t="inlineStr">
        <is>
          <t>IE-D50-SPT-BAR-TGB</t>
        </is>
      </c>
      <c r="N478" s="23" t="inlineStr">
        <is>
          <t>Instalaciones eléctricas</t>
        </is>
      </c>
      <c r="O478" s="23" t="inlineStr">
        <is>
          <t>Estimado DION · criterio de mercado Guayaquil 2026 (no verificado en tienda)</t>
        </is>
      </c>
      <c r="P478" s="23" t="inlineStr">
        <is>
          <t>oct-2026 (est.)</t>
        </is>
      </c>
      <c r="Q478" s="23" t="n"/>
    </row>
    <row r="479">
      <c r="A479" s="18" t="n">
        <v>425</v>
      </c>
      <c r="B479" s="19" t="inlineStr">
        <is>
          <t xml:space="preserve">        Gel / Cemento Conductivo Mejorador de Tierra (Saco 11 kg)</t>
        </is>
      </c>
      <c r="C479" s="20" t="inlineStr">
        <is>
          <t>Residencial / Comercial / Ind</t>
        </is>
      </c>
      <c r="D479" s="18" t="inlineStr">
        <is>
          <t>Pararrayos y Tierras</t>
        </is>
      </c>
      <c r="E479" s="18" t="inlineStr">
        <is>
          <t>Saco</t>
        </is>
      </c>
      <c r="F479" s="21" t="n">
        <v>1</v>
      </c>
      <c r="G479" s="22" t="n">
        <v>28</v>
      </c>
      <c r="H479" s="22" t="n">
        <v>29.12</v>
      </c>
      <c r="I479" s="18" t="inlineStr">
        <is>
          <t>Megametales</t>
        </is>
      </c>
      <c r="J479" s="22" t="n">
        <v>30.24</v>
      </c>
      <c r="K479" s="18" t="inlineStr">
        <is>
          <t>Ferrisariato</t>
        </is>
      </c>
      <c r="L479" s="8">
        <f>F479*G479</f>
        <v/>
      </c>
      <c r="M479" s="145" t="inlineStr">
        <is>
          <t>IE-D50-SPT-GEL-MEJ</t>
        </is>
      </c>
      <c r="N479" s="18" t="inlineStr">
        <is>
          <t>Instalaciones eléctricas</t>
        </is>
      </c>
      <c r="O479" s="18" t="inlineStr">
        <is>
          <t>Estimado DION · criterio de mercado Guayaquil 2026 (no verificado en tienda)</t>
        </is>
      </c>
      <c r="P479" s="18" t="inlineStr">
        <is>
          <t>oct-2026 (est.)</t>
        </is>
      </c>
      <c r="Q479" s="18" t="n"/>
    </row>
    <row r="480">
      <c r="A480" s="23" t="n">
        <v>426</v>
      </c>
      <c r="B480" s="24" t="inlineStr">
        <is>
          <t xml:space="preserve">        Electrodo Químico Activo 3 m</t>
        </is>
      </c>
      <c r="C480" s="25" t="inlineStr">
        <is>
          <t>Residencial / Comercial / Ind</t>
        </is>
      </c>
      <c r="D480" s="23" t="inlineStr">
        <is>
          <t>Pararrayos y Tierras</t>
        </is>
      </c>
      <c r="E480" s="23" t="inlineStr">
        <is>
          <t>U</t>
        </is>
      </c>
      <c r="F480" s="26" t="n">
        <v>0</v>
      </c>
      <c r="G480" s="27" t="n">
        <v>680</v>
      </c>
      <c r="H480" s="27" t="n">
        <v>700.4</v>
      </c>
      <c r="I480" s="23" t="inlineStr">
        <is>
          <t>Megametales</t>
        </is>
      </c>
      <c r="J480" s="27" t="n">
        <v>734.4</v>
      </c>
      <c r="K480" s="23" t="inlineStr">
        <is>
          <t>Kywi / Megakywi</t>
        </is>
      </c>
      <c r="L480" s="28">
        <f>F480*G480</f>
        <v/>
      </c>
      <c r="M480" s="146" t="inlineStr">
        <is>
          <t>IE-D50-SPT-ELE-QUI</t>
        </is>
      </c>
      <c r="N480" s="23" t="inlineStr">
        <is>
          <t>Instalaciones eléctricas</t>
        </is>
      </c>
      <c r="O480" s="23" t="inlineStr">
        <is>
          <t>Estimado DION · criterio de mercado Guayaquil 2026 (no verificado en tienda)</t>
        </is>
      </c>
      <c r="P480" s="23" t="inlineStr">
        <is>
          <t>oct-2026 (est.)</t>
        </is>
      </c>
      <c r="Q480" s="23" t="n"/>
    </row>
    <row r="481">
      <c r="A481" s="18" t="n">
        <v>427</v>
      </c>
      <c r="B481" s="19" t="inlineStr">
        <is>
          <t xml:space="preserve">        Malla de Puesta a Tierra Completa (≤5 Ω, Edificio)</t>
        </is>
      </c>
      <c r="C481" s="20" t="inlineStr">
        <is>
          <t>Residencial / Comercial / Ind</t>
        </is>
      </c>
      <c r="D481" s="18" t="inlineStr">
        <is>
          <t>Pararrayos y Tierras</t>
        </is>
      </c>
      <c r="E481" s="18" t="inlineStr">
        <is>
          <t>Glb</t>
        </is>
      </c>
      <c r="F481" s="21" t="n">
        <v>0</v>
      </c>
      <c r="G481" s="22" t="n">
        <v>1850</v>
      </c>
      <c r="H481" s="22" t="n">
        <v>1887</v>
      </c>
      <c r="I481" s="18" t="inlineStr">
        <is>
          <t>Megametales</t>
        </is>
      </c>
      <c r="J481" s="22" t="n">
        <v>2035</v>
      </c>
      <c r="K481" s="18" t="inlineStr">
        <is>
          <t>Ferrisariato</t>
        </is>
      </c>
      <c r="L481" s="8">
        <f>F481*G481</f>
        <v/>
      </c>
      <c r="M481" s="145" t="inlineStr">
        <is>
          <t>IE-D50-SPT-MAL-TIE</t>
        </is>
      </c>
      <c r="N481" s="18" t="inlineStr">
        <is>
          <t>Instalaciones eléctricas</t>
        </is>
      </c>
      <c r="O481" s="18" t="inlineStr">
        <is>
          <t>Estimado DION · criterio de mercado Guayaquil 2026 (no verificado en tienda)</t>
        </is>
      </c>
      <c r="P481" s="18" t="inlineStr">
        <is>
          <t>oct-2026 (est.)</t>
        </is>
      </c>
      <c r="Q481" s="18" t="n"/>
    </row>
    <row r="482">
      <c r="A482" s="23" t="n">
        <v>428</v>
      </c>
      <c r="B482" s="24" t="inlineStr">
        <is>
          <t xml:space="preserve">        Pararrayos PDC Radio 30 m (NFC 17-102)</t>
        </is>
      </c>
      <c r="C482" s="25" t="inlineStr">
        <is>
          <t>Residencial / Comercial / Ind</t>
        </is>
      </c>
      <c r="D482" s="23" t="inlineStr">
        <is>
          <t>Pararrayos y Tierras</t>
        </is>
      </c>
      <c r="E482" s="23" t="inlineStr">
        <is>
          <t>U</t>
        </is>
      </c>
      <c r="F482" s="26" t="n">
        <v>0</v>
      </c>
      <c r="G482" s="27" t="n">
        <v>960</v>
      </c>
      <c r="H482" s="27" t="n">
        <v>1008</v>
      </c>
      <c r="I482" s="23" t="inlineStr">
        <is>
          <t>Megametales</t>
        </is>
      </c>
      <c r="J482" s="27" t="n">
        <v>1065.6</v>
      </c>
      <c r="K482" s="23" t="inlineStr">
        <is>
          <t>Kywi / Megakywi</t>
        </is>
      </c>
      <c r="L482" s="28">
        <f>F482*G482</f>
        <v/>
      </c>
      <c r="M482" s="146" t="inlineStr">
        <is>
          <t>IE-D50-PRR-PDC-R030</t>
        </is>
      </c>
      <c r="N482" s="23" t="inlineStr">
        <is>
          <t>Instalaciones eléctricas</t>
        </is>
      </c>
      <c r="O482" s="23" t="inlineStr">
        <is>
          <t>Estimado DION · criterio de mercado Guayaquil 2026 (no verificado en tienda)</t>
        </is>
      </c>
      <c r="P482" s="23" t="inlineStr">
        <is>
          <t>oct-2026 (est.)</t>
        </is>
      </c>
      <c r="Q482" s="23" t="n"/>
    </row>
    <row r="483">
      <c r="A483" s="18" t="n">
        <v>429</v>
      </c>
      <c r="B483" s="19" t="inlineStr">
        <is>
          <t xml:space="preserve">        Pararrayos PDC Radio 60 m</t>
        </is>
      </c>
      <c r="C483" s="20" t="inlineStr">
        <is>
          <t>Residencial / Comercial / Ind</t>
        </is>
      </c>
      <c r="D483" s="18" t="inlineStr">
        <is>
          <t>Pararrayos y Tierras</t>
        </is>
      </c>
      <c r="E483" s="18" t="inlineStr">
        <is>
          <t>U</t>
        </is>
      </c>
      <c r="F483" s="21" t="n">
        <v>0</v>
      </c>
      <c r="G483" s="22" t="n">
        <v>1560</v>
      </c>
      <c r="H483" s="22" t="n">
        <v>1591.2</v>
      </c>
      <c r="I483" s="18" t="inlineStr">
        <is>
          <t>Megametales</t>
        </is>
      </c>
      <c r="J483" s="22" t="n">
        <v>1716</v>
      </c>
      <c r="K483" s="18" t="inlineStr">
        <is>
          <t>Ferrisariato</t>
        </is>
      </c>
      <c r="L483" s="8">
        <f>F483*G483</f>
        <v/>
      </c>
      <c r="M483" s="145" t="inlineStr">
        <is>
          <t>IE-D50-PRR-PDC-R060</t>
        </is>
      </c>
      <c r="N483" s="18" t="inlineStr">
        <is>
          <t>Instalaciones eléctricas</t>
        </is>
      </c>
      <c r="O483" s="18" t="inlineStr">
        <is>
          <t>Estimado DION · criterio de mercado Guayaquil 2026 (no verificado en tienda)</t>
        </is>
      </c>
      <c r="P483" s="18" t="inlineStr">
        <is>
          <t>oct-2026 (est.)</t>
        </is>
      </c>
      <c r="Q483" s="18" t="n"/>
    </row>
    <row r="484">
      <c r="A484" s="23" t="n">
        <v>430</v>
      </c>
      <c r="B484" s="24" t="inlineStr">
        <is>
          <t xml:space="preserve">        Pararrayos PDC Radio 79 m</t>
        </is>
      </c>
      <c r="C484" s="25" t="inlineStr">
        <is>
          <t>Residencial / Comercial / Ind</t>
        </is>
      </c>
      <c r="D484" s="23" t="inlineStr">
        <is>
          <t>Pararrayos y Tierras</t>
        </is>
      </c>
      <c r="E484" s="23" t="inlineStr">
        <is>
          <t>U</t>
        </is>
      </c>
      <c r="F484" s="26" t="n">
        <v>0</v>
      </c>
      <c r="G484" s="27" t="n">
        <v>1920</v>
      </c>
      <c r="H484" s="27" t="n">
        <v>1958.4</v>
      </c>
      <c r="I484" s="23" t="inlineStr">
        <is>
          <t>Megametales</t>
        </is>
      </c>
      <c r="J484" s="27" t="n">
        <v>2092.8</v>
      </c>
      <c r="K484" s="23" t="inlineStr">
        <is>
          <t>Kywi / Megakywi</t>
        </is>
      </c>
      <c r="L484" s="28">
        <f>F484*G484</f>
        <v/>
      </c>
      <c r="M484" s="146" t="inlineStr">
        <is>
          <t>IE-D50-PRR-PDC-R079</t>
        </is>
      </c>
      <c r="N484" s="23" t="inlineStr">
        <is>
          <t>Instalaciones eléctricas</t>
        </is>
      </c>
      <c r="O484" s="23" t="inlineStr">
        <is>
          <t>Estimado DION · criterio de mercado Guayaquil 2026 (no verificado en tienda)</t>
        </is>
      </c>
      <c r="P484" s="23" t="inlineStr">
        <is>
          <t>oct-2026 (est.)</t>
        </is>
      </c>
      <c r="Q484" s="23" t="n"/>
    </row>
    <row r="485">
      <c r="A485" s="18" t="n">
        <v>431</v>
      </c>
      <c r="B485" s="19" t="inlineStr">
        <is>
          <t xml:space="preserve">        Punta Franklin Cobre 60 cm</t>
        </is>
      </c>
      <c r="C485" s="20" t="inlineStr">
        <is>
          <t>Residencial / Comercial / Ind</t>
        </is>
      </c>
      <c r="D485" s="18" t="inlineStr">
        <is>
          <t>Pararrayos y Tierras</t>
        </is>
      </c>
      <c r="E485" s="18" t="inlineStr">
        <is>
          <t>U</t>
        </is>
      </c>
      <c r="F485" s="21" t="n">
        <v>1</v>
      </c>
      <c r="G485" s="22" t="n">
        <v>45</v>
      </c>
      <c r="H485" s="22" t="n">
        <v>45.9</v>
      </c>
      <c r="I485" s="18" t="inlineStr">
        <is>
          <t>Megametales</t>
        </is>
      </c>
      <c r="J485" s="22" t="n">
        <v>48.6</v>
      </c>
      <c r="K485" s="18" t="inlineStr">
        <is>
          <t>Ferrisariato</t>
        </is>
      </c>
      <c r="L485" s="8">
        <f>F485*G485</f>
        <v/>
      </c>
      <c r="M485" s="145" t="inlineStr">
        <is>
          <t>IE-D50-PRR-FRA-060</t>
        </is>
      </c>
      <c r="N485" s="18" t="inlineStr">
        <is>
          <t>Instalaciones eléctricas</t>
        </is>
      </c>
      <c r="O485" s="18" t="inlineStr">
        <is>
          <t>Estimado DION · criterio de mercado Guayaquil 2026 (no verificado en tienda)</t>
        </is>
      </c>
      <c r="P485" s="18" t="inlineStr">
        <is>
          <t>oct-2026 (est.)</t>
        </is>
      </c>
      <c r="Q485" s="18" t="n"/>
    </row>
    <row r="486">
      <c r="A486" s="23" t="n">
        <v>432</v>
      </c>
      <c r="B486" s="24" t="inlineStr">
        <is>
          <t xml:space="preserve">        Mástil Galvanizado 6 m con Tensores</t>
        </is>
      </c>
      <c r="C486" s="25" t="inlineStr">
        <is>
          <t>Residencial / Comercial / Ind</t>
        </is>
      </c>
      <c r="D486" s="23" t="inlineStr">
        <is>
          <t>Pararrayos y Tierras</t>
        </is>
      </c>
      <c r="E486" s="23" t="inlineStr">
        <is>
          <t>U</t>
        </is>
      </c>
      <c r="F486" s="26" t="n">
        <v>1</v>
      </c>
      <c r="G486" s="27" t="n">
        <v>125</v>
      </c>
      <c r="H486" s="27" t="n">
        <v>128.75</v>
      </c>
      <c r="I486" s="23" t="inlineStr">
        <is>
          <t>Megametales</t>
        </is>
      </c>
      <c r="J486" s="27" t="n">
        <v>133.75</v>
      </c>
      <c r="K486" s="23" t="inlineStr">
        <is>
          <t>Kywi / Megakywi</t>
        </is>
      </c>
      <c r="L486" s="28">
        <f>F486*G486</f>
        <v/>
      </c>
      <c r="M486" s="146" t="inlineStr">
        <is>
          <t>IE-D50-PRR-MAS-6M</t>
        </is>
      </c>
      <c r="N486" s="23" t="inlineStr">
        <is>
          <t>Instalaciones eléctricas</t>
        </is>
      </c>
      <c r="O486" s="23" t="inlineStr">
        <is>
          <t>Estimado DION · criterio de mercado Guayaquil 2026 (no verificado en tienda)</t>
        </is>
      </c>
      <c r="P486" s="23" t="inlineStr">
        <is>
          <t>oct-2026 (est.)</t>
        </is>
      </c>
      <c r="Q486" s="23" t="n"/>
    </row>
    <row r="487">
      <c r="A487" s="18" t="n">
        <v>433</v>
      </c>
      <c r="B487" s="19" t="inlineStr">
        <is>
          <t xml:space="preserve">        Bajante de Cobre Desnudo 2/0 para Pararrayos (m)</t>
        </is>
      </c>
      <c r="C487" s="20" t="inlineStr">
        <is>
          <t>Residencial / Comercial / Ind</t>
        </is>
      </c>
      <c r="D487" s="18" t="inlineStr">
        <is>
          <t>Pararrayos y Tierras</t>
        </is>
      </c>
      <c r="E487" s="18" t="inlineStr">
        <is>
          <t>m</t>
        </is>
      </c>
      <c r="F487" s="21" t="n">
        <v>1</v>
      </c>
      <c r="G487" s="22" t="n">
        <v>10.8</v>
      </c>
      <c r="H487" s="22" t="n">
        <v>11.34</v>
      </c>
      <c r="I487" s="18" t="inlineStr">
        <is>
          <t>Megametales</t>
        </is>
      </c>
      <c r="J487" s="22" t="n">
        <v>11.66</v>
      </c>
      <c r="K487" s="18" t="inlineStr">
        <is>
          <t>Ferrisariato</t>
        </is>
      </c>
      <c r="L487" s="8">
        <f>F487*G487</f>
        <v/>
      </c>
      <c r="M487" s="145" t="inlineStr">
        <is>
          <t>IE-D50-PRR-BAJ-CU</t>
        </is>
      </c>
      <c r="N487" s="18" t="inlineStr">
        <is>
          <t>Instalaciones eléctricas</t>
        </is>
      </c>
      <c r="O487" s="18" t="inlineStr">
        <is>
          <t>Estimado DION · criterio de mercado Guayaquil 2026 (no verificado en tienda)</t>
        </is>
      </c>
      <c r="P487" s="18" t="inlineStr">
        <is>
          <t>oct-2026 (est.)</t>
        </is>
      </c>
      <c r="Q487" s="18" t="n"/>
    </row>
    <row r="488">
      <c r="A488" s="23" t="n">
        <v>434</v>
      </c>
      <c r="B488" s="24" t="inlineStr">
        <is>
          <t xml:space="preserve">        Contador de Descargas Atmosféricas</t>
        </is>
      </c>
      <c r="C488" s="25" t="inlineStr">
        <is>
          <t>Residencial / Comercial / Ind</t>
        </is>
      </c>
      <c r="D488" s="23" t="inlineStr">
        <is>
          <t>Pararrayos y Tierras</t>
        </is>
      </c>
      <c r="E488" s="23" t="inlineStr">
        <is>
          <t>U</t>
        </is>
      </c>
      <c r="F488" s="26" t="n">
        <v>1</v>
      </c>
      <c r="G488" s="27" t="n">
        <v>285</v>
      </c>
      <c r="H488" s="27" t="n">
        <v>296.4</v>
      </c>
      <c r="I488" s="23" t="inlineStr">
        <is>
          <t>Megametales</t>
        </is>
      </c>
      <c r="J488" s="27" t="n">
        <v>313.5</v>
      </c>
      <c r="K488" s="23" t="inlineStr">
        <is>
          <t>Kywi / Megakywi</t>
        </is>
      </c>
      <c r="L488" s="28">
        <f>F488*G488</f>
        <v/>
      </c>
      <c r="M488" s="146" t="inlineStr">
        <is>
          <t>IE-D50-PRR-CON-DES</t>
        </is>
      </c>
      <c r="N488" s="23" t="inlineStr">
        <is>
          <t>Instalaciones eléctricas</t>
        </is>
      </c>
      <c r="O488" s="23" t="inlineStr">
        <is>
          <t>Estimado DION · criterio de mercado Guayaquil 2026 (no verificado en tienda)</t>
        </is>
      </c>
      <c r="P488" s="23" t="inlineStr">
        <is>
          <t>oct-2026 (est.)</t>
        </is>
      </c>
      <c r="Q488" s="23" t="n"/>
    </row>
    <row r="489">
      <c r="A489" s="18" t="n">
        <v>435</v>
      </c>
      <c r="B489" s="19" t="inlineStr">
        <is>
          <t xml:space="preserve">        Jaula de Faraday: Conductor + Soportes (m)</t>
        </is>
      </c>
      <c r="C489" s="20" t="inlineStr">
        <is>
          <t>Residencial / Comercial / Ind</t>
        </is>
      </c>
      <c r="D489" s="18" t="inlineStr">
        <is>
          <t>Pararrayos y Tierras</t>
        </is>
      </c>
      <c r="E489" s="18" t="inlineStr">
        <is>
          <t>m</t>
        </is>
      </c>
      <c r="F489" s="21" t="n">
        <v>1</v>
      </c>
      <c r="G489" s="22" t="n">
        <v>6.8</v>
      </c>
      <c r="H489" s="22" t="n">
        <v>6.94</v>
      </c>
      <c r="I489" s="18" t="inlineStr">
        <is>
          <t>Megametales</t>
        </is>
      </c>
      <c r="J489" s="22" t="n">
        <v>7.41</v>
      </c>
      <c r="K489" s="18" t="inlineStr">
        <is>
          <t>Ferrisariato</t>
        </is>
      </c>
      <c r="L489" s="8">
        <f>F489*G489</f>
        <v/>
      </c>
      <c r="M489" s="145" t="inlineStr">
        <is>
          <t>IE-D50-PRR-JAU-FAR</t>
        </is>
      </c>
      <c r="N489" s="18" t="inlineStr">
        <is>
          <t>Instalaciones eléctricas</t>
        </is>
      </c>
      <c r="O489" s="18" t="inlineStr">
        <is>
          <t>Estimado DION · criterio de mercado Guayaquil 2026 (no verificado en tienda)</t>
        </is>
      </c>
      <c r="P489" s="18" t="inlineStr">
        <is>
          <t>oct-2026 (est.)</t>
        </is>
      </c>
      <c r="Q489" s="18" t="n"/>
    </row>
    <row r="490">
      <c r="A490" s="23" t="n">
        <v>436</v>
      </c>
      <c r="B490" s="24" t="inlineStr">
        <is>
          <t xml:space="preserve">        Panel Solar Monocristalino 450 Wp</t>
        </is>
      </c>
      <c r="C490" s="25" t="inlineStr">
        <is>
          <t>Residencial / Comercial / Ind</t>
        </is>
      </c>
      <c r="D490" s="23" t="inlineStr">
        <is>
          <t>Sistemas Solares</t>
        </is>
      </c>
      <c r="E490" s="23" t="inlineStr">
        <is>
          <t>U</t>
        </is>
      </c>
      <c r="F490" s="26" t="n">
        <v>1</v>
      </c>
      <c r="G490" s="27" t="n">
        <v>122</v>
      </c>
      <c r="H490" s="27" t="n">
        <v>128.1</v>
      </c>
      <c r="I490" s="23" t="inlineStr">
        <is>
          <t>Megametales</t>
        </is>
      </c>
      <c r="J490" s="27" t="n">
        <v>134.2</v>
      </c>
      <c r="K490" s="23" t="inlineStr">
        <is>
          <t>Kywi / Megakywi</t>
        </is>
      </c>
      <c r="L490" s="28">
        <f>F490*G490</f>
        <v/>
      </c>
      <c r="M490" s="146" t="inlineStr">
        <is>
          <t>ER-D50-FV-PAN-450WP</t>
        </is>
      </c>
      <c r="N490" s="23" t="inlineStr">
        <is>
          <t>Energías renovables</t>
        </is>
      </c>
      <c r="O490" s="23" t="inlineStr">
        <is>
          <t>Estimado DION · criterio de mercado Guayaquil 2026 (no verificado en tienda)</t>
        </is>
      </c>
      <c r="P490" s="23" t="inlineStr">
        <is>
          <t>oct-2026 (est.)</t>
        </is>
      </c>
      <c r="Q490" s="23" t="n"/>
    </row>
    <row r="491">
      <c r="A491" s="18" t="n">
        <v>437</v>
      </c>
      <c r="B491" s="19" t="inlineStr">
        <is>
          <t xml:space="preserve">        Panel Solar Monocristalino PERC 550 Wp</t>
        </is>
      </c>
      <c r="C491" s="20" t="inlineStr">
        <is>
          <t>Residencial / Comercial / Ind</t>
        </is>
      </c>
      <c r="D491" s="18" t="inlineStr">
        <is>
          <t>Sistemas Solares</t>
        </is>
      </c>
      <c r="E491" s="18" t="inlineStr">
        <is>
          <t>U</t>
        </is>
      </c>
      <c r="F491" s="21" t="n">
        <v>1</v>
      </c>
      <c r="G491" s="22" t="n">
        <v>138</v>
      </c>
      <c r="H491" s="22" t="n">
        <v>143.52</v>
      </c>
      <c r="I491" s="18" t="inlineStr">
        <is>
          <t>Megametales</t>
        </is>
      </c>
      <c r="J491" s="22" t="n">
        <v>147.66</v>
      </c>
      <c r="K491" s="18" t="inlineStr">
        <is>
          <t>Ferrisariato</t>
        </is>
      </c>
      <c r="L491" s="8">
        <f>F491*G491</f>
        <v/>
      </c>
      <c r="M491" s="145" t="inlineStr">
        <is>
          <t>ER-D50-FV-PAN-550WP</t>
        </is>
      </c>
      <c r="N491" s="18" t="inlineStr">
        <is>
          <t>Energías renovables</t>
        </is>
      </c>
      <c r="O491" s="18" t="inlineStr">
        <is>
          <t>Estimado DION · criterio de mercado Guayaquil 2026 (no verificado en tienda)</t>
        </is>
      </c>
      <c r="P491" s="18" t="inlineStr">
        <is>
          <t>oct-2026 (est.)</t>
        </is>
      </c>
      <c r="Q491" s="18" t="n"/>
    </row>
    <row r="492">
      <c r="A492" s="23" t="n">
        <v>438</v>
      </c>
      <c r="B492" s="24" t="inlineStr">
        <is>
          <t xml:space="preserve">        Panel Solar Bifacial 650 Wp</t>
        </is>
      </c>
      <c r="C492" s="25" t="inlineStr">
        <is>
          <t>Residencial / Comercial / Ind</t>
        </is>
      </c>
      <c r="D492" s="23" t="inlineStr">
        <is>
          <t>Sistemas Solares</t>
        </is>
      </c>
      <c r="E492" s="23" t="inlineStr">
        <is>
          <t>U</t>
        </is>
      </c>
      <c r="F492" s="26" t="n">
        <v>1</v>
      </c>
      <c r="G492" s="27" t="n">
        <v>178</v>
      </c>
      <c r="H492" s="27" t="n">
        <v>183.34</v>
      </c>
      <c r="I492" s="23" t="inlineStr">
        <is>
          <t>Megametales</t>
        </is>
      </c>
      <c r="J492" s="27" t="n">
        <v>197.58</v>
      </c>
      <c r="K492" s="23" t="inlineStr">
        <is>
          <t>Kywi / Megakywi</t>
        </is>
      </c>
      <c r="L492" s="28">
        <f>F492*G492</f>
        <v/>
      </c>
      <c r="M492" s="146" t="inlineStr">
        <is>
          <t>ER-D50-FV-PAN-650WP</t>
        </is>
      </c>
      <c r="N492" s="23" t="inlineStr">
        <is>
          <t>Energías renovables</t>
        </is>
      </c>
      <c r="O492" s="23" t="inlineStr">
        <is>
          <t>Estimado DION · criterio de mercado Guayaquil 2026 (no verificado en tienda)</t>
        </is>
      </c>
      <c r="P492" s="23" t="inlineStr">
        <is>
          <t>oct-2026 (est.)</t>
        </is>
      </c>
      <c r="Q492" s="23" t="n"/>
    </row>
    <row r="493">
      <c r="A493" s="18" t="n">
        <v>439</v>
      </c>
      <c r="B493" s="19" t="inlineStr">
        <is>
          <t xml:space="preserve">        Inversor On-Grid 3 kW</t>
        </is>
      </c>
      <c r="C493" s="20" t="inlineStr">
        <is>
          <t>Residencial / Comercial / Ind</t>
        </is>
      </c>
      <c r="D493" s="18" t="inlineStr">
        <is>
          <t>Sistemas Solares</t>
        </is>
      </c>
      <c r="E493" s="18" t="inlineStr">
        <is>
          <t>U</t>
        </is>
      </c>
      <c r="F493" s="21" t="n">
        <v>0</v>
      </c>
      <c r="G493" s="22" t="n">
        <v>660</v>
      </c>
      <c r="H493" s="22" t="n">
        <v>679.8</v>
      </c>
      <c r="I493" s="18" t="inlineStr">
        <is>
          <t>Megametales</t>
        </is>
      </c>
      <c r="J493" s="22" t="n">
        <v>712.8</v>
      </c>
      <c r="K493" s="18" t="inlineStr">
        <is>
          <t>Ferrisariato</t>
        </is>
      </c>
      <c r="L493" s="8">
        <f>F493*G493</f>
        <v/>
      </c>
      <c r="M493" s="145" t="inlineStr">
        <is>
          <t>ER-D50-FV-INV-3KW</t>
        </is>
      </c>
      <c r="N493" s="18" t="inlineStr">
        <is>
          <t>Energías renovables</t>
        </is>
      </c>
      <c r="O493" s="18" t="inlineStr">
        <is>
          <t>Estimado DION · criterio de mercado Guayaquil 2026 (no verificado en tienda)</t>
        </is>
      </c>
      <c r="P493" s="18" t="inlineStr">
        <is>
          <t>oct-2026 (est.)</t>
        </is>
      </c>
      <c r="Q493" s="18" t="n"/>
    </row>
    <row r="494">
      <c r="A494" s="23" t="n">
        <v>440</v>
      </c>
      <c r="B494" s="24" t="inlineStr">
        <is>
          <t xml:space="preserve">        Inversor On-Grid 5 kW</t>
        </is>
      </c>
      <c r="C494" s="25" t="inlineStr">
        <is>
          <t>Residencial / Comercial / Ind</t>
        </is>
      </c>
      <c r="D494" s="23" t="inlineStr">
        <is>
          <t>Sistemas Solares</t>
        </is>
      </c>
      <c r="E494" s="23" t="inlineStr">
        <is>
          <t>U</t>
        </is>
      </c>
      <c r="F494" s="26" t="n">
        <v>0</v>
      </c>
      <c r="G494" s="27" t="n">
        <v>960</v>
      </c>
      <c r="H494" s="27" t="n">
        <v>988.8</v>
      </c>
      <c r="I494" s="23" t="inlineStr">
        <is>
          <t>Megametales</t>
        </is>
      </c>
      <c r="J494" s="27" t="n">
        <v>1027.2</v>
      </c>
      <c r="K494" s="23" t="inlineStr">
        <is>
          <t>Kywi / Megakywi</t>
        </is>
      </c>
      <c r="L494" s="28">
        <f>F494*G494</f>
        <v/>
      </c>
      <c r="M494" s="146" t="inlineStr">
        <is>
          <t>ER-D50-FV-INV-5KW</t>
        </is>
      </c>
      <c r="N494" s="23" t="inlineStr">
        <is>
          <t>Energías renovables</t>
        </is>
      </c>
      <c r="O494" s="23" t="inlineStr">
        <is>
          <t>Estimado DION · criterio de mercado Guayaquil 2026 (no verificado en tienda)</t>
        </is>
      </c>
      <c r="P494" s="23" t="inlineStr">
        <is>
          <t>oct-2026 (est.)</t>
        </is>
      </c>
      <c r="Q494" s="23" t="n"/>
    </row>
    <row r="495">
      <c r="A495" s="18" t="n">
        <v>441</v>
      </c>
      <c r="B495" s="19" t="inlineStr">
        <is>
          <t xml:space="preserve">        Inversor On-Grid Trifásico 10 kW</t>
        </is>
      </c>
      <c r="C495" s="20" t="inlineStr">
        <is>
          <t>Residencial / Comercial / Ind</t>
        </is>
      </c>
      <c r="D495" s="18" t="inlineStr">
        <is>
          <t>Sistemas Solares</t>
        </is>
      </c>
      <c r="E495" s="18" t="inlineStr">
        <is>
          <t>U</t>
        </is>
      </c>
      <c r="F495" s="21" t="n">
        <v>0</v>
      </c>
      <c r="G495" s="22" t="n">
        <v>1680</v>
      </c>
      <c r="H495" s="22" t="n">
        <v>1713.6</v>
      </c>
      <c r="I495" s="18" t="inlineStr">
        <is>
          <t>Megametales</t>
        </is>
      </c>
      <c r="J495" s="22" t="n">
        <v>1831.2</v>
      </c>
      <c r="K495" s="18" t="inlineStr">
        <is>
          <t>Ferrisariato</t>
        </is>
      </c>
      <c r="L495" s="8">
        <f>F495*G495</f>
        <v/>
      </c>
      <c r="M495" s="145" t="inlineStr">
        <is>
          <t>ER-D50-FV-INV-10KW</t>
        </is>
      </c>
      <c r="N495" s="18" t="inlineStr">
        <is>
          <t>Energías renovables</t>
        </is>
      </c>
      <c r="O495" s="18" t="inlineStr">
        <is>
          <t>Estimado DION · criterio de mercado Guayaquil 2026 (no verificado en tienda)</t>
        </is>
      </c>
      <c r="P495" s="18" t="inlineStr">
        <is>
          <t>oct-2026 (est.)</t>
        </is>
      </c>
      <c r="Q495" s="18" t="n"/>
    </row>
    <row r="496">
      <c r="A496" s="23" t="n">
        <v>442</v>
      </c>
      <c r="B496" s="24" t="inlineStr">
        <is>
          <t xml:space="preserve">        Inversor On-Grid Trifásico 30 kW</t>
        </is>
      </c>
      <c r="C496" s="25" t="inlineStr">
        <is>
          <t>Residencial / Comercial / Ind</t>
        </is>
      </c>
      <c r="D496" s="23" t="inlineStr">
        <is>
          <t>Sistemas Solares</t>
        </is>
      </c>
      <c r="E496" s="23" t="inlineStr">
        <is>
          <t>U</t>
        </is>
      </c>
      <c r="F496" s="26" t="n">
        <v>0</v>
      </c>
      <c r="G496" s="27" t="n">
        <v>3950</v>
      </c>
      <c r="H496" s="27" t="n">
        <v>4147.5</v>
      </c>
      <c r="I496" s="23" t="inlineStr">
        <is>
          <t>Megametales</t>
        </is>
      </c>
      <c r="J496" s="27" t="n">
        <v>4305.5</v>
      </c>
      <c r="K496" s="23" t="inlineStr">
        <is>
          <t>Kywi / Megakywi</t>
        </is>
      </c>
      <c r="L496" s="28">
        <f>F496*G496</f>
        <v/>
      </c>
      <c r="M496" s="146" t="inlineStr">
        <is>
          <t>ER-D50-FV-INV-30KW</t>
        </is>
      </c>
      <c r="N496" s="23" t="inlineStr">
        <is>
          <t>Energías renovables</t>
        </is>
      </c>
      <c r="O496" s="23" t="inlineStr">
        <is>
          <t>Estimado DION · criterio de mercado Guayaquil 2026 (no verificado en tienda)</t>
        </is>
      </c>
      <c r="P496" s="23" t="inlineStr">
        <is>
          <t>oct-2026 (est.)</t>
        </is>
      </c>
      <c r="Q496" s="23" t="n"/>
    </row>
    <row r="497">
      <c r="A497" s="18" t="n">
        <v>443</v>
      </c>
      <c r="B497" s="19" t="inlineStr">
        <is>
          <t xml:space="preserve">        Inversor Híbrido 10 kW</t>
        </is>
      </c>
      <c r="C497" s="20" t="inlineStr">
        <is>
          <t>Residencial / Comercial / Ind</t>
        </is>
      </c>
      <c r="D497" s="18" t="inlineStr">
        <is>
          <t>Sistemas Solares</t>
        </is>
      </c>
      <c r="E497" s="18" t="inlineStr">
        <is>
          <t>U</t>
        </is>
      </c>
      <c r="F497" s="21" t="n">
        <v>0</v>
      </c>
      <c r="G497" s="22" t="n">
        <v>2450</v>
      </c>
      <c r="H497" s="22" t="n">
        <v>2499</v>
      </c>
      <c r="I497" s="18" t="inlineStr">
        <is>
          <t>Megametales</t>
        </is>
      </c>
      <c r="J497" s="22" t="n">
        <v>2719.5</v>
      </c>
      <c r="K497" s="18" t="inlineStr">
        <is>
          <t>Ferrisariato</t>
        </is>
      </c>
      <c r="L497" s="8">
        <f>F497*G497</f>
        <v/>
      </c>
      <c r="M497" s="145" t="inlineStr">
        <is>
          <t>ER-D50-FV-HIB-10KW</t>
        </is>
      </c>
      <c r="N497" s="18" t="inlineStr">
        <is>
          <t>Energías renovables</t>
        </is>
      </c>
      <c r="O497" s="18" t="inlineStr">
        <is>
          <t>Estimado DION · criterio de mercado Guayaquil 2026 (no verificado en tienda)</t>
        </is>
      </c>
      <c r="P497" s="18" t="inlineStr">
        <is>
          <t>oct-2026 (est.)</t>
        </is>
      </c>
      <c r="Q497" s="18" t="n"/>
    </row>
    <row r="498">
      <c r="A498" s="23" t="n">
        <v>444</v>
      </c>
      <c r="B498" s="24" t="inlineStr">
        <is>
          <t xml:space="preserve">        Batería Litio LiFePO4 5 kWh</t>
        </is>
      </c>
      <c r="C498" s="25" t="inlineStr">
        <is>
          <t>Residencial / Comercial / Ind</t>
        </is>
      </c>
      <c r="D498" s="23" t="inlineStr">
        <is>
          <t>Sistemas Solares</t>
        </is>
      </c>
      <c r="E498" s="23" t="inlineStr">
        <is>
          <t>U</t>
        </is>
      </c>
      <c r="F498" s="26" t="n">
        <v>0</v>
      </c>
      <c r="G498" s="27" t="n">
        <v>1480</v>
      </c>
      <c r="H498" s="27" t="n">
        <v>1524.4</v>
      </c>
      <c r="I498" s="23" t="inlineStr">
        <is>
          <t>Megametales</t>
        </is>
      </c>
      <c r="J498" s="27" t="n">
        <v>1628</v>
      </c>
      <c r="K498" s="23" t="inlineStr">
        <is>
          <t>Kywi / Megakywi</t>
        </is>
      </c>
      <c r="L498" s="28">
        <f>F498*G498</f>
        <v/>
      </c>
      <c r="M498" s="146" t="inlineStr">
        <is>
          <t>ER-D50-FV-BAT-5KWH</t>
        </is>
      </c>
      <c r="N498" s="23" t="inlineStr">
        <is>
          <t>Energías renovables</t>
        </is>
      </c>
      <c r="O498" s="23" t="inlineStr">
        <is>
          <t>Estimado DION · criterio de mercado Guayaquil 2026 (no verificado en tienda)</t>
        </is>
      </c>
      <c r="P498" s="23" t="inlineStr">
        <is>
          <t>oct-2026 (est.)</t>
        </is>
      </c>
      <c r="Q498" s="23" t="n"/>
    </row>
    <row r="499">
      <c r="A499" s="18" t="n">
        <v>445</v>
      </c>
      <c r="B499" s="19" t="inlineStr">
        <is>
          <t xml:space="preserve">        Batería Litio LiFePO4 10 kWh</t>
        </is>
      </c>
      <c r="C499" s="20" t="inlineStr">
        <is>
          <t>Residencial / Comercial / Ind</t>
        </is>
      </c>
      <c r="D499" s="18" t="inlineStr">
        <is>
          <t>Sistemas Solares</t>
        </is>
      </c>
      <c r="E499" s="18" t="inlineStr">
        <is>
          <t>U</t>
        </is>
      </c>
      <c r="F499" s="21" t="n">
        <v>0</v>
      </c>
      <c r="G499" s="22" t="n">
        <v>2750</v>
      </c>
      <c r="H499" s="22" t="n">
        <v>2860</v>
      </c>
      <c r="I499" s="18" t="inlineStr">
        <is>
          <t>Megametales</t>
        </is>
      </c>
      <c r="J499" s="22" t="n">
        <v>3025</v>
      </c>
      <c r="K499" s="18" t="inlineStr">
        <is>
          <t>Ferrisariato</t>
        </is>
      </c>
      <c r="L499" s="8">
        <f>F499*G499</f>
        <v/>
      </c>
      <c r="M499" s="145" t="inlineStr">
        <is>
          <t>ER-D50-FV-BAT-10KWH</t>
        </is>
      </c>
      <c r="N499" s="18" t="inlineStr">
        <is>
          <t>Energías renovables</t>
        </is>
      </c>
      <c r="O499" s="18" t="inlineStr">
        <is>
          <t>Estimado DION · criterio de mercado Guayaquil 2026 (no verificado en tienda)</t>
        </is>
      </c>
      <c r="P499" s="18" t="inlineStr">
        <is>
          <t>oct-2026 (est.)</t>
        </is>
      </c>
      <c r="Q499" s="18" t="n"/>
    </row>
    <row r="500">
      <c r="A500" s="23" t="n">
        <v>446</v>
      </c>
      <c r="B500" s="24" t="inlineStr">
        <is>
          <t xml:space="preserve">        Estructura de Aluminio Coplanar por Panel</t>
        </is>
      </c>
      <c r="C500" s="25" t="inlineStr">
        <is>
          <t>Residencial / Comercial / Ind</t>
        </is>
      </c>
      <c r="D500" s="23" t="inlineStr">
        <is>
          <t>Sistemas Solares</t>
        </is>
      </c>
      <c r="E500" s="23" t="inlineStr">
        <is>
          <t>U</t>
        </is>
      </c>
      <c r="F500" s="26" t="n">
        <v>1</v>
      </c>
      <c r="G500" s="27" t="n">
        <v>29</v>
      </c>
      <c r="H500" s="27" t="n">
        <v>29.87</v>
      </c>
      <c r="I500" s="23" t="inlineStr">
        <is>
          <t>Megametales</t>
        </is>
      </c>
      <c r="J500" s="27" t="n">
        <v>31.03</v>
      </c>
      <c r="K500" s="23" t="inlineStr">
        <is>
          <t>Kywi / Megakywi</t>
        </is>
      </c>
      <c r="L500" s="28">
        <f>F500*G500</f>
        <v/>
      </c>
      <c r="M500" s="146" t="inlineStr">
        <is>
          <t>ER-D50-FV-EST-COP</t>
        </is>
      </c>
      <c r="N500" s="23" t="inlineStr">
        <is>
          <t>Energías renovables</t>
        </is>
      </c>
      <c r="O500" s="23" t="inlineStr">
        <is>
          <t>Estimado DION · criterio de mercado Guayaquil 2026 (no verificado en tienda)</t>
        </is>
      </c>
      <c r="P500" s="23" t="inlineStr">
        <is>
          <t>oct-2026 (est.)</t>
        </is>
      </c>
      <c r="Q500" s="23" t="n"/>
    </row>
    <row r="501">
      <c r="A501" s="18" t="n">
        <v>447</v>
      </c>
      <c r="B501" s="19" t="inlineStr">
        <is>
          <t xml:space="preserve">        Estructura en Suelo por Panel</t>
        </is>
      </c>
      <c r="C501" s="20" t="inlineStr">
        <is>
          <t>Residencial / Comercial / Ind</t>
        </is>
      </c>
      <c r="D501" s="18" t="inlineStr">
        <is>
          <t>Sistemas Solares</t>
        </is>
      </c>
      <c r="E501" s="18" t="inlineStr">
        <is>
          <t>U</t>
        </is>
      </c>
      <c r="F501" s="21" t="n">
        <v>1</v>
      </c>
      <c r="G501" s="22" t="n">
        <v>46</v>
      </c>
      <c r="H501" s="22" t="n">
        <v>47.84</v>
      </c>
      <c r="I501" s="18" t="inlineStr">
        <is>
          <t>Megametales</t>
        </is>
      </c>
      <c r="J501" s="22" t="n">
        <v>51.06</v>
      </c>
      <c r="K501" s="18" t="inlineStr">
        <is>
          <t>Ferrisariato</t>
        </is>
      </c>
      <c r="L501" s="8">
        <f>F501*G501</f>
        <v/>
      </c>
      <c r="M501" s="145" t="inlineStr">
        <is>
          <t>ER-D50-FV-EST-SUE</t>
        </is>
      </c>
      <c r="N501" s="18" t="inlineStr">
        <is>
          <t>Energías renovables</t>
        </is>
      </c>
      <c r="O501" s="18" t="inlineStr">
        <is>
          <t>Estimado DION · criterio de mercado Guayaquil 2026 (no verificado en tienda)</t>
        </is>
      </c>
      <c r="P501" s="18" t="inlineStr">
        <is>
          <t>oct-2026 (est.)</t>
        </is>
      </c>
      <c r="Q501" s="18" t="n"/>
    </row>
    <row r="502">
      <c r="A502" s="23" t="n">
        <v>448</v>
      </c>
      <c r="B502" s="24" t="inlineStr">
        <is>
          <t xml:space="preserve">        Microinversor 800 W (2 Paneles)</t>
        </is>
      </c>
      <c r="C502" s="25" t="inlineStr">
        <is>
          <t>Residencial / Comercial / Ind</t>
        </is>
      </c>
      <c r="D502" s="23" t="inlineStr">
        <is>
          <t>Sistemas Solares</t>
        </is>
      </c>
      <c r="E502" s="23" t="inlineStr">
        <is>
          <t>U</t>
        </is>
      </c>
      <c r="F502" s="26" t="n">
        <v>1</v>
      </c>
      <c r="G502" s="27" t="n">
        <v>168</v>
      </c>
      <c r="H502" s="27" t="n">
        <v>173.04</v>
      </c>
      <c r="I502" s="23" t="inlineStr">
        <is>
          <t>Megametales</t>
        </is>
      </c>
      <c r="J502" s="27" t="n">
        <v>181.44</v>
      </c>
      <c r="K502" s="23" t="inlineStr">
        <is>
          <t>Kywi / Megakywi</t>
        </is>
      </c>
      <c r="L502" s="28">
        <f>F502*G502</f>
        <v/>
      </c>
      <c r="M502" s="146" t="inlineStr">
        <is>
          <t>ER-D50-FV-MIC-INV</t>
        </is>
      </c>
      <c r="N502" s="23" t="inlineStr">
        <is>
          <t>Energías renovables</t>
        </is>
      </c>
      <c r="O502" s="23" t="inlineStr">
        <is>
          <t>Estimado DION · criterio de mercado Guayaquil 2026 (no verificado en tienda)</t>
        </is>
      </c>
      <c r="P502" s="23" t="inlineStr">
        <is>
          <t>oct-2026 (est.)</t>
        </is>
      </c>
      <c r="Q502" s="23" t="n"/>
    </row>
    <row r="503">
      <c r="A503" s="18" t="n">
        <v>449</v>
      </c>
      <c r="B503" s="19" t="inlineStr">
        <is>
          <t xml:space="preserve">        Caja Combinadora DC con Fusibles y SPD</t>
        </is>
      </c>
      <c r="C503" s="20" t="inlineStr">
        <is>
          <t>Residencial / Comercial / Ind</t>
        </is>
      </c>
      <c r="D503" s="18" t="inlineStr">
        <is>
          <t>Sistemas Solares</t>
        </is>
      </c>
      <c r="E503" s="18" t="inlineStr">
        <is>
          <t>U</t>
        </is>
      </c>
      <c r="F503" s="21" t="n">
        <v>1</v>
      </c>
      <c r="G503" s="22" t="n">
        <v>125</v>
      </c>
      <c r="H503" s="22" t="n">
        <v>130</v>
      </c>
      <c r="I503" s="18" t="inlineStr">
        <is>
          <t>Megametales</t>
        </is>
      </c>
      <c r="J503" s="22" t="n">
        <v>138.75</v>
      </c>
      <c r="K503" s="18" t="inlineStr">
        <is>
          <t>Ferrisariato</t>
        </is>
      </c>
      <c r="L503" s="8">
        <f>F503*G503</f>
        <v/>
      </c>
      <c r="M503" s="145" t="inlineStr">
        <is>
          <t>ER-D50-FV-CAJ-DC</t>
        </is>
      </c>
      <c r="N503" s="18" t="inlineStr">
        <is>
          <t>Energías renovables</t>
        </is>
      </c>
      <c r="O503" s="18" t="inlineStr">
        <is>
          <t>Estimado DION · criterio de mercado Guayaquil 2026 (no verificado en tienda)</t>
        </is>
      </c>
      <c r="P503" s="18" t="inlineStr">
        <is>
          <t>oct-2026 (est.)</t>
        </is>
      </c>
      <c r="Q503" s="18" t="n"/>
    </row>
    <row r="504">
      <c r="A504" s="23" t="n">
        <v>450</v>
      </c>
      <c r="B504" s="24" t="inlineStr">
        <is>
          <t xml:space="preserve">        Medidor Bidireccional (Trámite Generación Distribuida)</t>
        </is>
      </c>
      <c r="C504" s="25" t="inlineStr">
        <is>
          <t>Residencial / Comercial / Ind</t>
        </is>
      </c>
      <c r="D504" s="23" t="inlineStr">
        <is>
          <t>Sistemas Solares</t>
        </is>
      </c>
      <c r="E504" s="23" t="inlineStr">
        <is>
          <t>U</t>
        </is>
      </c>
      <c r="F504" s="26" t="n">
        <v>1</v>
      </c>
      <c r="G504" s="27" t="n">
        <v>255</v>
      </c>
      <c r="H504" s="27" t="n">
        <v>260.1</v>
      </c>
      <c r="I504" s="23" t="inlineStr">
        <is>
          <t>Megametales</t>
        </is>
      </c>
      <c r="J504" s="27" t="n">
        <v>277.95</v>
      </c>
      <c r="K504" s="23" t="inlineStr">
        <is>
          <t>Kywi / Megakywi</t>
        </is>
      </c>
      <c r="L504" s="28">
        <f>F504*G504</f>
        <v/>
      </c>
      <c r="M504" s="146" t="inlineStr">
        <is>
          <t>ER-D50-FV-MED-BID</t>
        </is>
      </c>
      <c r="N504" s="23" t="inlineStr">
        <is>
          <t>Energías renovables</t>
        </is>
      </c>
      <c r="O504" s="23" t="inlineStr">
        <is>
          <t>Estimado DION · criterio de mercado Guayaquil 2026 (no verificado en tienda)</t>
        </is>
      </c>
      <c r="P504" s="23" t="inlineStr">
        <is>
          <t>oct-2026 (est.)</t>
        </is>
      </c>
      <c r="Q504" s="23" t="n"/>
    </row>
    <row r="505">
      <c r="A505" s="18" t="n">
        <v>451</v>
      </c>
      <c r="B505" s="19" t="inlineStr">
        <is>
          <t xml:space="preserve">        Calentador Solar Tubos al Vacío 200 L</t>
        </is>
      </c>
      <c r="C505" s="20" t="inlineStr">
        <is>
          <t>Residencial / Comercial / Ind</t>
        </is>
      </c>
      <c r="D505" s="18" t="inlineStr">
        <is>
          <t>Sistemas Solares</t>
        </is>
      </c>
      <c r="E505" s="18" t="inlineStr">
        <is>
          <t>U</t>
        </is>
      </c>
      <c r="F505" s="21" t="n">
        <v>0</v>
      </c>
      <c r="G505" s="22" t="n">
        <v>660</v>
      </c>
      <c r="H505" s="22" t="n">
        <v>679.8</v>
      </c>
      <c r="I505" s="18" t="inlineStr">
        <is>
          <t>Megametales</t>
        </is>
      </c>
      <c r="J505" s="22" t="n">
        <v>732.6</v>
      </c>
      <c r="K505" s="18" t="inlineStr">
        <is>
          <t>Ferrisariato</t>
        </is>
      </c>
      <c r="L505" s="8">
        <f>F505*G505</f>
        <v/>
      </c>
      <c r="M505" s="145" t="inlineStr">
        <is>
          <t>ER-D50-FV-TUB-VAC</t>
        </is>
      </c>
      <c r="N505" s="18" t="inlineStr">
        <is>
          <t>Energías renovables</t>
        </is>
      </c>
      <c r="O505" s="18" t="inlineStr">
        <is>
          <t>Estimado DION · criterio de mercado Guayaquil 2026 (no verificado en tienda)</t>
        </is>
      </c>
      <c r="P505" s="18" t="inlineStr">
        <is>
          <t>oct-2026 (est.)</t>
        </is>
      </c>
      <c r="Q505" s="18" t="n"/>
    </row>
    <row r="506">
      <c r="A506" s="10" t="n"/>
      <c r="B506" s="147" t="inlineStr">
        <is>
          <t>TOTAL BASE DE DATOS INSTALACIONES ELÉCTRICAS (ESTIMADO)</t>
        </is>
      </c>
      <c r="C506" s="148" t="n"/>
      <c r="D506" s="148" t="n"/>
      <c r="E506" s="148" t="n"/>
      <c r="F506" s="148" t="n"/>
      <c r="G506" s="148" t="n"/>
      <c r="H506" s="148" t="n"/>
      <c r="I506" s="148" t="n"/>
      <c r="J506" s="148" t="n"/>
      <c r="K506" s="148" t="n"/>
      <c r="L506" s="30">
        <f>SUM(L6:L505)</f>
        <v/>
      </c>
      <c r="M506" s="30" t="n"/>
      <c r="N506" s="30" t="n"/>
      <c r="O506" s="30" t="n"/>
      <c r="P506" s="30" t="n"/>
      <c r="Q506" s="30" t="n"/>
    </row>
  </sheetData>
  <mergeCells count="50">
    <mergeCell ref="A391:Q391"/>
    <mergeCell ref="B506:K506"/>
    <mergeCell ref="A245:Q245"/>
    <mergeCell ref="A320:Q320"/>
    <mergeCell ref="A403:Q403"/>
    <mergeCell ref="A412:Q412"/>
    <mergeCell ref="A201:Q201"/>
    <mergeCell ref="A15:Q15"/>
    <mergeCell ref="A284:Q284"/>
    <mergeCell ref="A142:Q142"/>
    <mergeCell ref="A138:Q138"/>
    <mergeCell ref="A45:Q45"/>
    <mergeCell ref="A94:Q94"/>
    <mergeCell ref="A325:Q325"/>
    <mergeCell ref="A61:Q61"/>
    <mergeCell ref="A6:Q6"/>
    <mergeCell ref="A399:Q399"/>
    <mergeCell ref="A162:Q162"/>
    <mergeCell ref="A7:Q7"/>
    <mergeCell ref="A398:Q398"/>
    <mergeCell ref="A268:Q268"/>
    <mergeCell ref="A283:Q283"/>
    <mergeCell ref="A164:Q164"/>
    <mergeCell ref="A46:Q46"/>
    <mergeCell ref="A397:Q397"/>
    <mergeCell ref="A410:Q410"/>
    <mergeCell ref="A444:Q444"/>
    <mergeCell ref="A282:Q282"/>
    <mergeCell ref="A27:Q27"/>
    <mergeCell ref="A139:Q139"/>
    <mergeCell ref="A267:Q267"/>
    <mergeCell ref="A443:Q443"/>
    <mergeCell ref="A50:Q50"/>
    <mergeCell ref="A163:Q163"/>
    <mergeCell ref="A390:Q390"/>
    <mergeCell ref="A95:Q95"/>
    <mergeCell ref="A101:Q101"/>
    <mergeCell ref="A406:Q406"/>
    <mergeCell ref="A33:Q33"/>
    <mergeCell ref="A321:Q321"/>
    <mergeCell ref="A8:Q8"/>
    <mergeCell ref="A206:Q206"/>
    <mergeCell ref="A244:Q244"/>
    <mergeCell ref="A200:Q200"/>
    <mergeCell ref="A62:Q62"/>
    <mergeCell ref="A96:Q96"/>
    <mergeCell ref="A451:Q451"/>
    <mergeCell ref="A28:Q28"/>
    <mergeCell ref="A170:Q170"/>
    <mergeCell ref="A289:Q289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55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8" customWidth="1" min="2" max="2"/>
    <col width="30" customWidth="1" min="3" max="3"/>
    <col width="32" customWidth="1" min="4" max="4"/>
    <col width="8" customWidth="1" min="5" max="5"/>
    <col width="10" customWidth="1" min="6" max="6"/>
    <col width="15" customWidth="1" min="7" max="7"/>
    <col width="16" customWidth="1" min="8" max="8"/>
    <col width="22" customWidth="1" min="9" max="9"/>
    <col width="16" customWidth="1" min="10" max="10"/>
    <col width="20" customWidth="1" min="11" max="11"/>
    <col width="16" customWidth="1" min="12" max="12"/>
    <col width="27" customWidth="1" min="13" max="13"/>
    <col width="30" customWidth="1" min="14" max="14"/>
    <col width="44" customWidth="1" min="15" max="15"/>
    <col width="15" customWidth="1" min="16" max="16"/>
    <col width="14" customWidth="1" min="17" max="17"/>
  </cols>
  <sheetData>
    <row r="1">
      <c r="A1" s="1" t="inlineStr">
        <is>
          <t>BASE DE DATOS COMPLETA DE CATALOGACIÓN: AGUA POTABLE (FRÍA Y CALIENTE)</t>
        </is>
      </c>
    </row>
    <row r="2">
      <c r="A2" s="2" t="inlineStr">
        <is>
          <t>Estructura Jerárquica Homogénea: Accesorios &gt; Tuberías &gt; Equipos &gt; Conexiones &gt; Equipos Especializados | Degradé por Niveles (Ecuador - USD)</t>
        </is>
      </c>
    </row>
    <row r="3">
      <c r="A3" s="13" t="inlineStr">
        <is>
          <t>« Volver al Índice General</t>
        </is>
      </c>
    </row>
    <row r="5" ht="30" customHeight="1">
      <c r="A5" s="4" t="inlineStr">
        <is>
          <t>Item</t>
        </is>
      </c>
      <c r="B5" s="4" t="inlineStr">
        <is>
          <t>Descripción de Accesorio / Ítem Especificado</t>
        </is>
      </c>
      <c r="C5" s="4" t="inlineStr">
        <is>
          <t>Clasificación / Ámbito de Uso
(Residencial/Comercial/Industrial)</t>
        </is>
      </c>
      <c r="D5" s="4" t="inlineStr">
        <is>
          <t>Tipo / Familia</t>
        </is>
      </c>
      <c r="E5" s="4" t="inlineStr">
        <is>
          <t>Unidad</t>
        </is>
      </c>
      <c r="F5" s="4" t="inlineStr">
        <is>
          <t>Cant.</t>
        </is>
      </c>
      <c r="G5" s="4" t="inlineStr">
        <is>
          <t>P. Ref. Est. ($)</t>
        </is>
      </c>
      <c r="H5" s="4" t="inlineStr">
        <is>
          <t>P. Unit. Local A ($)
(Megametales)</t>
        </is>
      </c>
      <c r="I5" s="4" t="inlineStr">
        <is>
          <t>Local A
Especificado</t>
        </is>
      </c>
      <c r="J5" s="4" t="inlineStr">
        <is>
          <t>P. Unit. Local B ($)
(Kywi/Ferrisariato)</t>
        </is>
      </c>
      <c r="K5" s="4" t="inlineStr">
        <is>
          <t>Local B
Especificado</t>
        </is>
      </c>
      <c r="L5" s="4" t="inlineStr">
        <is>
          <t>Subtotal Est. ($)</t>
        </is>
      </c>
      <c r="M5" s="4" t="inlineStr">
        <is>
          <t>Código DION</t>
        </is>
      </c>
      <c r="N5" s="4" t="inlineStr">
        <is>
          <t>Disciplina</t>
        </is>
      </c>
      <c r="O5" s="4" t="inlineStr">
        <is>
          <t>Fuente del precio</t>
        </is>
      </c>
      <c r="P5" s="4" t="inlineStr">
        <is>
          <t>Fecha precio</t>
        </is>
      </c>
      <c r="Q5" s="4" t="inlineStr">
        <is>
          <t>Rendimiento /
desperdicio %</t>
        </is>
      </c>
    </row>
    <row r="6">
      <c r="A6" s="31" t="inlineStr">
        <is>
          <t>ACCESORIOS</t>
        </is>
      </c>
      <c r="B6" s="143" t="n"/>
      <c r="C6" s="143" t="n"/>
      <c r="D6" s="143" t="n"/>
      <c r="E6" s="143" t="n"/>
      <c r="F6" s="143" t="n"/>
      <c r="G6" s="143" t="n"/>
      <c r="H6" s="143" t="n"/>
      <c r="I6" s="143" t="n"/>
      <c r="J6" s="143" t="n"/>
      <c r="K6" s="143" t="n"/>
      <c r="L6" s="143" t="n"/>
      <c r="M6" s="143" t="n"/>
      <c r="N6" s="143" t="n"/>
      <c r="O6" s="143" t="n"/>
      <c r="P6" s="143" t="n"/>
      <c r="Q6" s="144" t="n"/>
    </row>
    <row r="7">
      <c r="A7" s="32" t="inlineStr">
        <is>
          <t xml:space="preserve">  ► CATEGORÍA: SOPORTES, FILTROS CARTUCHO Y CONSUMIBLES</t>
        </is>
      </c>
      <c r="B7" s="143" t="n"/>
      <c r="C7" s="143" t="n"/>
      <c r="D7" s="143" t="n"/>
      <c r="E7" s="143" t="n"/>
      <c r="F7" s="143" t="n"/>
      <c r="G7" s="143" t="n"/>
      <c r="H7" s="143" t="n"/>
      <c r="I7" s="143" t="n"/>
      <c r="J7" s="143" t="n"/>
      <c r="K7" s="143" t="n"/>
      <c r="L7" s="143" t="n"/>
      <c r="M7" s="143" t="n"/>
      <c r="N7" s="143" t="n"/>
      <c r="O7" s="143" t="n"/>
      <c r="P7" s="143" t="n"/>
      <c r="Q7" s="144" t="n"/>
    </row>
    <row r="8">
      <c r="A8" s="33" t="inlineStr">
        <is>
          <t xml:space="preserve">      • Subcategoría Especificada: Limpiadores, Pegamentos, Teflón y Abrazaderas U</t>
        </is>
      </c>
      <c r="B8" s="143" t="n"/>
      <c r="C8" s="143" t="n"/>
      <c r="D8" s="143" t="n"/>
      <c r="E8" s="143" t="n"/>
      <c r="F8" s="143" t="n"/>
      <c r="G8" s="143" t="n"/>
      <c r="H8" s="143" t="n"/>
      <c r="I8" s="143" t="n"/>
      <c r="J8" s="143" t="n"/>
      <c r="K8" s="143" t="n"/>
      <c r="L8" s="143" t="n"/>
      <c r="M8" s="143" t="n"/>
      <c r="N8" s="143" t="n"/>
      <c r="O8" s="143" t="n"/>
      <c r="P8" s="143" t="n"/>
      <c r="Q8" s="144" t="n"/>
    </row>
    <row r="9">
      <c r="A9" s="18" t="n">
        <v>1</v>
      </c>
      <c r="B9" s="19" t="inlineStr">
        <is>
          <t xml:space="preserve">        Limpiador PVC / CPVC (Pint) + Soldadura Líquida PVC</t>
        </is>
      </c>
      <c r="C9" s="20" t="inlineStr">
        <is>
          <t>Residencial / Comercial / Ind</t>
        </is>
      </c>
      <c r="D9" s="18" t="inlineStr">
        <is>
          <t>Pegamentos PVC</t>
        </is>
      </c>
      <c r="E9" s="18" t="inlineStr">
        <is>
          <t>Juego</t>
        </is>
      </c>
      <c r="F9" s="21" t="n">
        <v>2</v>
      </c>
      <c r="G9" s="22" t="n">
        <v>18</v>
      </c>
      <c r="H9" s="22" t="n">
        <v>18.5</v>
      </c>
      <c r="I9" s="18" t="inlineStr">
        <is>
          <t>Megametales</t>
        </is>
      </c>
      <c r="J9" s="22" t="n">
        <v>19.8</v>
      </c>
      <c r="K9" s="18" t="inlineStr">
        <is>
          <t>Ferrisariato</t>
        </is>
      </c>
      <c r="L9" s="8">
        <f>F9*G9</f>
        <v/>
      </c>
      <c r="M9" s="145" t="inlineStr">
        <is>
          <t>IS-D20-CNS-PEG-PVC</t>
        </is>
      </c>
      <c r="N9" s="18" t="inlineStr">
        <is>
          <t>Instalaciones sanitarias (hidrosanitarias)</t>
        </is>
      </c>
      <c r="O9" s="18" t="inlineStr">
        <is>
          <t>Estimado · base original del usuario (sin cotización verificada)</t>
        </is>
      </c>
      <c r="P9" s="18" t="inlineStr">
        <is>
          <t>oct-2026 (est.)</t>
        </is>
      </c>
      <c r="Q9" s="18" t="n"/>
    </row>
    <row r="10">
      <c r="A10" s="34" t="n">
        <v>2</v>
      </c>
      <c r="B10" s="35" t="inlineStr">
        <is>
          <t xml:space="preserve">        Teflón en Cinta Alta Densidad ¾"</t>
        </is>
      </c>
      <c r="C10" s="36" t="inlineStr">
        <is>
          <t>Residencial / Comercial / Ind</t>
        </is>
      </c>
      <c r="D10" s="34" t="inlineStr">
        <is>
          <t>Cinta Teflón</t>
        </is>
      </c>
      <c r="E10" s="34" t="inlineStr">
        <is>
          <t>U</t>
        </is>
      </c>
      <c r="F10" s="37" t="n">
        <v>15</v>
      </c>
      <c r="G10" s="38" t="n">
        <v>0.8</v>
      </c>
      <c r="H10" s="38" t="n">
        <v>0.85</v>
      </c>
      <c r="I10" s="34" t="inlineStr">
        <is>
          <t>Megametales</t>
        </is>
      </c>
      <c r="J10" s="38" t="n">
        <v>0.95</v>
      </c>
      <c r="K10" s="34" t="inlineStr">
        <is>
          <t>Ferrisariato</t>
        </is>
      </c>
      <c r="L10" s="39">
        <f>F10*G10</f>
        <v/>
      </c>
      <c r="M10" s="149" t="inlineStr">
        <is>
          <t>IS-D20-CNS-TEF-DN20</t>
        </is>
      </c>
      <c r="N10" s="34" t="inlineStr">
        <is>
          <t>Instalaciones sanitarias (hidrosanitarias)</t>
        </is>
      </c>
      <c r="O10" s="34" t="inlineStr">
        <is>
          <t>Estimado · base original del usuario (sin cotización verificada)</t>
        </is>
      </c>
      <c r="P10" s="34" t="inlineStr">
        <is>
          <t>oct-2026 (est.)</t>
        </is>
      </c>
      <c r="Q10" s="34" t="n"/>
    </row>
    <row r="11">
      <c r="A11" s="18" t="n">
        <v>3</v>
      </c>
      <c r="B11" s="19" t="inlineStr">
        <is>
          <t xml:space="preserve">        Abrazadera Metálica Tipo U para Tubería ¾"</t>
        </is>
      </c>
      <c r="C11" s="20" t="inlineStr">
        <is>
          <t>Residencial / Comercial</t>
        </is>
      </c>
      <c r="D11" s="18" t="inlineStr">
        <is>
          <t>Soportes Tubería</t>
        </is>
      </c>
      <c r="E11" s="18" t="inlineStr">
        <is>
          <t>U</t>
        </is>
      </c>
      <c r="F11" s="21" t="n">
        <v>30</v>
      </c>
      <c r="G11" s="22" t="n">
        <v>0.35</v>
      </c>
      <c r="H11" s="22" t="n">
        <v>0.38</v>
      </c>
      <c r="I11" s="18" t="inlineStr">
        <is>
          <t>Megametales</t>
        </is>
      </c>
      <c r="J11" s="22" t="n">
        <v>0.45</v>
      </c>
      <c r="K11" s="18" t="inlineStr">
        <is>
          <t>Ferrisariato</t>
        </is>
      </c>
      <c r="L11" s="8">
        <f>F11*G11</f>
        <v/>
      </c>
      <c r="M11" s="145" t="inlineStr">
        <is>
          <t>IS-D20-CNS-ABU-DN20</t>
        </is>
      </c>
      <c r="N11" s="18" t="inlineStr">
        <is>
          <t>Instalaciones sanitarias (hidrosanitarias)</t>
        </is>
      </c>
      <c r="O11" s="18" t="inlineStr">
        <is>
          <t>Estimado · base original del usuario (sin cotización verificada)</t>
        </is>
      </c>
      <c r="P11" s="18" t="inlineStr">
        <is>
          <t>oct-2026 (est.)</t>
        </is>
      </c>
      <c r="Q11" s="18" t="n"/>
    </row>
    <row r="12">
      <c r="A12" s="33" t="inlineStr">
        <is>
          <t xml:space="preserve">      • Subcategoría Especificada: Consumibles por Medida, Soportería y Abastos</t>
        </is>
      </c>
      <c r="B12" s="143" t="n"/>
      <c r="C12" s="143" t="n"/>
      <c r="D12" s="143" t="n"/>
      <c r="E12" s="143" t="n"/>
      <c r="F12" s="143" t="n"/>
      <c r="G12" s="143" t="n"/>
      <c r="H12" s="143" t="n"/>
      <c r="I12" s="143" t="n"/>
      <c r="J12" s="143" t="n"/>
      <c r="K12" s="143" t="n"/>
      <c r="L12" s="143" t="n"/>
      <c r="M12" s="143" t="n"/>
      <c r="N12" s="143" t="n"/>
      <c r="O12" s="143" t="n"/>
      <c r="P12" s="143" t="n"/>
      <c r="Q12" s="144" t="n"/>
    </row>
    <row r="13">
      <c r="A13" s="34" t="n">
        <v>4</v>
      </c>
      <c r="B13" s="35" t="inlineStr">
        <is>
          <t xml:space="preserve">        Teflón Cinta Alta Densidad ½" x 10 m</t>
        </is>
      </c>
      <c r="C13" s="36" t="inlineStr">
        <is>
          <t>Residencial / Comercial / Ind</t>
        </is>
      </c>
      <c r="D13" s="34" t="inlineStr">
        <is>
          <t>Cinta Teflón</t>
        </is>
      </c>
      <c r="E13" s="34" t="inlineStr">
        <is>
          <t>U</t>
        </is>
      </c>
      <c r="F13" s="37" t="n">
        <v>10</v>
      </c>
      <c r="G13" s="38" t="n">
        <v>0.55</v>
      </c>
      <c r="H13" s="38" t="n">
        <v>0.58</v>
      </c>
      <c r="I13" s="34" t="inlineStr">
        <is>
          <t>Megametales</t>
        </is>
      </c>
      <c r="J13" s="38" t="n">
        <v>0.59</v>
      </c>
      <c r="K13" s="34" t="inlineStr">
        <is>
          <t>Kywi / Megakywi</t>
        </is>
      </c>
      <c r="L13" s="39">
        <f>F13*G13</f>
        <v/>
      </c>
      <c r="M13" s="149" t="inlineStr">
        <is>
          <t>IS-D20-CNS-TEF-DN15</t>
        </is>
      </c>
      <c r="N13" s="34" t="inlineStr">
        <is>
          <t>Instalaciones sanitarias (hidrosanitarias)</t>
        </is>
      </c>
      <c r="O13" s="34" t="inlineStr">
        <is>
          <t>Estimado DION · criterio de mercado Guayaquil 2026 (no verificado en tienda)</t>
        </is>
      </c>
      <c r="P13" s="34" t="inlineStr">
        <is>
          <t>oct-2026 (est.)</t>
        </is>
      </c>
      <c r="Q13" s="34" t="n"/>
    </row>
    <row r="14">
      <c r="A14" s="18" t="n">
        <v>5</v>
      </c>
      <c r="B14" s="19" t="inlineStr">
        <is>
          <t xml:space="preserve">        Teflón Cinta Alta Densidad 1" x 10 m</t>
        </is>
      </c>
      <c r="C14" s="20" t="inlineStr">
        <is>
          <t>Residencial / Comercial / Ind</t>
        </is>
      </c>
      <c r="D14" s="18" t="inlineStr">
        <is>
          <t>Cinta Teflón</t>
        </is>
      </c>
      <c r="E14" s="18" t="inlineStr">
        <is>
          <t>U</t>
        </is>
      </c>
      <c r="F14" s="21" t="n">
        <v>10</v>
      </c>
      <c r="G14" s="22" t="n">
        <v>1.1</v>
      </c>
      <c r="H14" s="22" t="n">
        <v>1.14</v>
      </c>
      <c r="I14" s="18" t="inlineStr">
        <is>
          <t>Megametales</t>
        </is>
      </c>
      <c r="J14" s="22" t="n">
        <v>1.21</v>
      </c>
      <c r="K14" s="18" t="inlineStr">
        <is>
          <t>Ferrisariato</t>
        </is>
      </c>
      <c r="L14" s="8">
        <f>F14*G14</f>
        <v/>
      </c>
      <c r="M14" s="145" t="inlineStr">
        <is>
          <t>IS-D20-CNS-TEF-DN25</t>
        </is>
      </c>
      <c r="N14" s="18" t="inlineStr">
        <is>
          <t>Instalaciones sanitarias (hidrosanitarias)</t>
        </is>
      </c>
      <c r="O14" s="18" t="inlineStr">
        <is>
          <t>Estimado DION · criterio de mercado Guayaquil 2026 (no verificado en tienda)</t>
        </is>
      </c>
      <c r="P14" s="18" t="inlineStr">
        <is>
          <t>oct-2026 (est.)</t>
        </is>
      </c>
      <c r="Q14" s="18" t="n"/>
    </row>
    <row r="15">
      <c r="A15" s="34" t="n">
        <v>6</v>
      </c>
      <c r="B15" s="35" t="inlineStr">
        <is>
          <t xml:space="preserve">        Pegamento PVC Polilimpia / Kalipega (Galón)</t>
        </is>
      </c>
      <c r="C15" s="36" t="inlineStr">
        <is>
          <t>Residencial / Comercial / Ind</t>
        </is>
      </c>
      <c r="D15" s="34" t="inlineStr">
        <is>
          <t>Pegamentos PVC</t>
        </is>
      </c>
      <c r="E15" s="34" t="inlineStr">
        <is>
          <t>Galón</t>
        </is>
      </c>
      <c r="F15" s="37" t="n">
        <v>1</v>
      </c>
      <c r="G15" s="38" t="n">
        <v>32</v>
      </c>
      <c r="H15" s="38" t="n">
        <v>32.64</v>
      </c>
      <c r="I15" s="34" t="inlineStr">
        <is>
          <t>Megametales</t>
        </is>
      </c>
      <c r="J15" s="38" t="n">
        <v>34.56</v>
      </c>
      <c r="K15" s="34" t="inlineStr">
        <is>
          <t>Kywi / Megakywi</t>
        </is>
      </c>
      <c r="L15" s="39">
        <f>F15*G15</f>
        <v/>
      </c>
      <c r="M15" s="149" t="inlineStr">
        <is>
          <t>IS-D20-CNS-PEG-GAL</t>
        </is>
      </c>
      <c r="N15" s="34" t="inlineStr">
        <is>
          <t>Instalaciones sanitarias (hidrosanitarias)</t>
        </is>
      </c>
      <c r="O15" s="34" t="inlineStr">
        <is>
          <t>Estimado DION · criterio de mercado Guayaquil 2026 (no verificado en tienda)</t>
        </is>
      </c>
      <c r="P15" s="34" t="inlineStr">
        <is>
          <t>oct-2026 (est.)</t>
        </is>
      </c>
      <c r="Q15" s="34" t="n"/>
    </row>
    <row r="16">
      <c r="A16" s="18" t="n">
        <v>7</v>
      </c>
      <c r="B16" s="19" t="inlineStr">
        <is>
          <t xml:space="preserve">        Pegamento PVC (¼ Galón)</t>
        </is>
      </c>
      <c r="C16" s="20" t="inlineStr">
        <is>
          <t>Residencial / Comercial / Ind</t>
        </is>
      </c>
      <c r="D16" s="18" t="inlineStr">
        <is>
          <t>Pegamentos PVC</t>
        </is>
      </c>
      <c r="E16" s="18" t="inlineStr">
        <is>
          <t>U</t>
        </is>
      </c>
      <c r="F16" s="21" t="n">
        <v>2</v>
      </c>
      <c r="G16" s="22" t="n">
        <v>9.5</v>
      </c>
      <c r="H16" s="22" t="n">
        <v>9.789999999999999</v>
      </c>
      <c r="I16" s="18" t="inlineStr">
        <is>
          <t>Megametales</t>
        </is>
      </c>
      <c r="J16" s="22" t="n">
        <v>10.55</v>
      </c>
      <c r="K16" s="18" t="inlineStr">
        <is>
          <t>Ferrisariato</t>
        </is>
      </c>
      <c r="L16" s="8">
        <f>F16*G16</f>
        <v/>
      </c>
      <c r="M16" s="145" t="inlineStr">
        <is>
          <t>IS-D20-CNS-PEG-025</t>
        </is>
      </c>
      <c r="N16" s="18" t="inlineStr">
        <is>
          <t>Instalaciones sanitarias (hidrosanitarias)</t>
        </is>
      </c>
      <c r="O16" s="18" t="inlineStr">
        <is>
          <t>Estimado DION · criterio de mercado Guayaquil 2026 (no verificado en tienda)</t>
        </is>
      </c>
      <c r="P16" s="18" t="inlineStr">
        <is>
          <t>oct-2026 (est.)</t>
        </is>
      </c>
      <c r="Q16" s="18" t="n"/>
    </row>
    <row r="17">
      <c r="A17" s="34" t="n">
        <v>8</v>
      </c>
      <c r="B17" s="35" t="inlineStr">
        <is>
          <t xml:space="preserve">        Limpiador PVC (¼ Galón)</t>
        </is>
      </c>
      <c r="C17" s="36" t="inlineStr">
        <is>
          <t>Residencial / Comercial / Ind</t>
        </is>
      </c>
      <c r="D17" s="34" t="inlineStr">
        <is>
          <t>Limpiadores PVC</t>
        </is>
      </c>
      <c r="E17" s="34" t="inlineStr">
        <is>
          <t>U</t>
        </is>
      </c>
      <c r="F17" s="37" t="n">
        <v>2</v>
      </c>
      <c r="G17" s="38" t="n">
        <v>6.8</v>
      </c>
      <c r="H17" s="38" t="n">
        <v>7</v>
      </c>
      <c r="I17" s="34" t="inlineStr">
        <is>
          <t>Megametales</t>
        </is>
      </c>
      <c r="J17" s="38" t="n">
        <v>7.55</v>
      </c>
      <c r="K17" s="34" t="inlineStr">
        <is>
          <t>Kywi / Megakywi</t>
        </is>
      </c>
      <c r="L17" s="39">
        <f>F17*G17</f>
        <v/>
      </c>
      <c r="M17" s="149" t="inlineStr">
        <is>
          <t>IS-D20-CNS-LIM-025</t>
        </is>
      </c>
      <c r="N17" s="34" t="inlineStr">
        <is>
          <t>Instalaciones sanitarias (hidrosanitarias)</t>
        </is>
      </c>
      <c r="O17" s="34" t="inlineStr">
        <is>
          <t>Estimado DION · criterio de mercado Guayaquil 2026 (no verificado en tienda)</t>
        </is>
      </c>
      <c r="P17" s="34" t="inlineStr">
        <is>
          <t>oct-2026 (est.)</t>
        </is>
      </c>
      <c r="Q17" s="34" t="n"/>
    </row>
    <row r="18">
      <c r="A18" s="18" t="n">
        <v>9</v>
      </c>
      <c r="B18" s="19" t="inlineStr">
        <is>
          <t xml:space="preserve">        Sellador Permatex / Pasta Selladora de Roscas 100 g</t>
        </is>
      </c>
      <c r="C18" s="20" t="inlineStr">
        <is>
          <t>Residencial / Comercial / Ind</t>
        </is>
      </c>
      <c r="D18" s="18" t="inlineStr">
        <is>
          <t>Selladores</t>
        </is>
      </c>
      <c r="E18" s="18" t="inlineStr">
        <is>
          <t>U</t>
        </is>
      </c>
      <c r="F18" s="21" t="n">
        <v>2</v>
      </c>
      <c r="G18" s="22" t="n">
        <v>5.5</v>
      </c>
      <c r="H18" s="22" t="n">
        <v>5.67</v>
      </c>
      <c r="I18" s="18" t="inlineStr">
        <is>
          <t>Megametales</t>
        </is>
      </c>
      <c r="J18" s="22" t="n">
        <v>6</v>
      </c>
      <c r="K18" s="18" t="inlineStr">
        <is>
          <t>Ferrisariato</t>
        </is>
      </c>
      <c r="L18" s="8">
        <f>F18*G18</f>
        <v/>
      </c>
      <c r="M18" s="145" t="inlineStr">
        <is>
          <t>IS-D20-CNS-SEL-ROS</t>
        </is>
      </c>
      <c r="N18" s="18" t="inlineStr">
        <is>
          <t>Instalaciones sanitarias (hidrosanitarias)</t>
        </is>
      </c>
      <c r="O18" s="18" t="inlineStr">
        <is>
          <t>Estimado DION · criterio de mercado Guayaquil 2026 (no verificado en tienda)</t>
        </is>
      </c>
      <c r="P18" s="18" t="inlineStr">
        <is>
          <t>oct-2026 (est.)</t>
        </is>
      </c>
      <c r="Q18" s="18" t="n"/>
    </row>
    <row r="19">
      <c r="A19" s="34" t="n">
        <v>10</v>
      </c>
      <c r="B19" s="35" t="inlineStr">
        <is>
          <t xml:space="preserve">        Abrazadera Tipo U Metálica ½"</t>
        </is>
      </c>
      <c r="C19" s="36" t="inlineStr">
        <is>
          <t>Residencial / Comercial</t>
        </is>
      </c>
      <c r="D19" s="34" t="inlineStr">
        <is>
          <t>Soportes Tubería</t>
        </is>
      </c>
      <c r="E19" s="34" t="inlineStr">
        <is>
          <t>U</t>
        </is>
      </c>
      <c r="F19" s="37" t="n">
        <v>30</v>
      </c>
      <c r="G19" s="38" t="n">
        <v>0.28</v>
      </c>
      <c r="H19" s="38" t="n">
        <v>0.29</v>
      </c>
      <c r="I19" s="34" t="inlineStr">
        <is>
          <t>Megametales</t>
        </is>
      </c>
      <c r="J19" s="38" t="n">
        <v>0.3</v>
      </c>
      <c r="K19" s="34" t="inlineStr">
        <is>
          <t>Kywi / Megakywi</t>
        </is>
      </c>
      <c r="L19" s="39">
        <f>F19*G19</f>
        <v/>
      </c>
      <c r="M19" s="149" t="inlineStr">
        <is>
          <t>IS-D20-CNS-ABU-DN15</t>
        </is>
      </c>
      <c r="N19" s="34" t="inlineStr">
        <is>
          <t>Instalaciones sanitarias (hidrosanitarias)</t>
        </is>
      </c>
      <c r="O19" s="34" t="inlineStr">
        <is>
          <t>Estimado DION · criterio de mercado Guayaquil 2026 (no verificado en tienda)</t>
        </is>
      </c>
      <c r="P19" s="34" t="inlineStr">
        <is>
          <t>oct-2026 (est.)</t>
        </is>
      </c>
      <c r="Q19" s="34" t="n"/>
    </row>
    <row r="20">
      <c r="A20" s="18" t="n">
        <v>11</v>
      </c>
      <c r="B20" s="19" t="inlineStr">
        <is>
          <t xml:space="preserve">        Abrazadera Tipo U Metálica 1"</t>
        </is>
      </c>
      <c r="C20" s="20" t="inlineStr">
        <is>
          <t>Residencial / Comercial</t>
        </is>
      </c>
      <c r="D20" s="18" t="inlineStr">
        <is>
          <t>Soportes Tubería</t>
        </is>
      </c>
      <c r="E20" s="18" t="inlineStr">
        <is>
          <t>U</t>
        </is>
      </c>
      <c r="F20" s="21" t="n">
        <v>20</v>
      </c>
      <c r="G20" s="22" t="n">
        <v>0.45</v>
      </c>
      <c r="H20" s="22" t="n">
        <v>0.47</v>
      </c>
      <c r="I20" s="18" t="inlineStr">
        <is>
          <t>Megametales</t>
        </is>
      </c>
      <c r="J20" s="22" t="n">
        <v>0.49</v>
      </c>
      <c r="K20" s="18" t="inlineStr">
        <is>
          <t>Ferrisariato</t>
        </is>
      </c>
      <c r="L20" s="8">
        <f>F20*G20</f>
        <v/>
      </c>
      <c r="M20" s="145" t="inlineStr">
        <is>
          <t>IS-D20-CNS-ABU-DN25</t>
        </is>
      </c>
      <c r="N20" s="18" t="inlineStr">
        <is>
          <t>Instalaciones sanitarias (hidrosanitarias)</t>
        </is>
      </c>
      <c r="O20" s="18" t="inlineStr">
        <is>
          <t>Estimado DION · criterio de mercado Guayaquil 2026 (no verificado en tienda)</t>
        </is>
      </c>
      <c r="P20" s="18" t="inlineStr">
        <is>
          <t>oct-2026 (est.)</t>
        </is>
      </c>
      <c r="Q20" s="18" t="n"/>
    </row>
    <row r="21">
      <c r="A21" s="34" t="n">
        <v>12</v>
      </c>
      <c r="B21" s="35" t="inlineStr">
        <is>
          <t xml:space="preserve">        Abrazadera Tipo U Metálica 2"</t>
        </is>
      </c>
      <c r="C21" s="36" t="inlineStr">
        <is>
          <t>Residencial / Comercial</t>
        </is>
      </c>
      <c r="D21" s="34" t="inlineStr">
        <is>
          <t>Soportes Tubería</t>
        </is>
      </c>
      <c r="E21" s="34" t="inlineStr">
        <is>
          <t>U</t>
        </is>
      </c>
      <c r="F21" s="37" t="n">
        <v>10</v>
      </c>
      <c r="G21" s="38" t="n">
        <v>0.8</v>
      </c>
      <c r="H21" s="38" t="n">
        <v>0.82</v>
      </c>
      <c r="I21" s="34" t="inlineStr">
        <is>
          <t>Megametales</t>
        </is>
      </c>
      <c r="J21" s="38" t="n">
        <v>0.86</v>
      </c>
      <c r="K21" s="34" t="inlineStr">
        <is>
          <t>Kywi / Megakywi</t>
        </is>
      </c>
      <c r="L21" s="39">
        <f>F21*G21</f>
        <v/>
      </c>
      <c r="M21" s="149" t="inlineStr">
        <is>
          <t>IS-D20-CNS-ABU-DN50</t>
        </is>
      </c>
      <c r="N21" s="34" t="inlineStr">
        <is>
          <t>Instalaciones sanitarias (hidrosanitarias)</t>
        </is>
      </c>
      <c r="O21" s="34" t="inlineStr">
        <is>
          <t>Estimado DION · criterio de mercado Guayaquil 2026 (no verificado en tienda)</t>
        </is>
      </c>
      <c r="P21" s="34" t="inlineStr">
        <is>
          <t>oct-2026 (est.)</t>
        </is>
      </c>
      <c r="Q21" s="34" t="n"/>
    </row>
    <row r="22">
      <c r="A22" s="18" t="n">
        <v>13</v>
      </c>
      <c r="B22" s="19" t="inlineStr">
        <is>
          <t xml:space="preserve">        Abrazadera Tipo Pera con Varilla Roscada 2"-4" (Colgante)</t>
        </is>
      </c>
      <c r="C22" s="20" t="inlineStr">
        <is>
          <t>Comercial / Industrial</t>
        </is>
      </c>
      <c r="D22" s="18" t="inlineStr">
        <is>
          <t>Soportes Colgantes</t>
        </is>
      </c>
      <c r="E22" s="18" t="inlineStr">
        <is>
          <t>U</t>
        </is>
      </c>
      <c r="F22" s="21" t="n">
        <v>10</v>
      </c>
      <c r="G22" s="22" t="n">
        <v>2.6</v>
      </c>
      <c r="H22" s="22" t="n">
        <v>2.65</v>
      </c>
      <c r="I22" s="18" t="inlineStr">
        <is>
          <t>Megametales</t>
        </is>
      </c>
      <c r="J22" s="22" t="n">
        <v>2.81</v>
      </c>
      <c r="K22" s="18" t="inlineStr">
        <is>
          <t>Ferrisariato</t>
        </is>
      </c>
      <c r="L22" s="8">
        <f>F22*G22</f>
        <v/>
      </c>
      <c r="M22" s="145" t="inlineStr">
        <is>
          <t>IS-D20-CNS-PER-DN100</t>
        </is>
      </c>
      <c r="N22" s="18" t="inlineStr">
        <is>
          <t>Instalaciones sanitarias (hidrosanitarias)</t>
        </is>
      </c>
      <c r="O22" s="18" t="inlineStr">
        <is>
          <t>Estimado DION · criterio de mercado Guayaquil 2026 (no verificado en tienda)</t>
        </is>
      </c>
      <c r="P22" s="18" t="inlineStr">
        <is>
          <t>oct-2026 (est.)</t>
        </is>
      </c>
      <c r="Q22" s="18" t="n"/>
    </row>
    <row r="23">
      <c r="A23" s="34" t="n">
        <v>14</v>
      </c>
      <c r="B23" s="35" t="inlineStr">
        <is>
          <t xml:space="preserve">        Grapa Plástica para Tubo PPR 20-25 mm</t>
        </is>
      </c>
      <c r="C23" s="36" t="inlineStr">
        <is>
          <t>Residencial / Comercial</t>
        </is>
      </c>
      <c r="D23" s="34" t="inlineStr">
        <is>
          <t>Grapas</t>
        </is>
      </c>
      <c r="E23" s="34" t="inlineStr">
        <is>
          <t>U</t>
        </is>
      </c>
      <c r="F23" s="37" t="n">
        <v>50</v>
      </c>
      <c r="G23" s="38" t="n">
        <v>0.12</v>
      </c>
      <c r="H23" s="38" t="n">
        <v>0.12</v>
      </c>
      <c r="I23" s="34" t="inlineStr">
        <is>
          <t>Megametales</t>
        </is>
      </c>
      <c r="J23" s="38" t="n">
        <v>0.13</v>
      </c>
      <c r="K23" s="34" t="inlineStr">
        <is>
          <t>Kywi / Megakywi</t>
        </is>
      </c>
      <c r="L23" s="39">
        <f>F23*G23</f>
        <v/>
      </c>
      <c r="M23" s="149" t="inlineStr">
        <is>
          <t>IS-D20-CNS-GRA-025</t>
        </is>
      </c>
      <c r="N23" s="34" t="inlineStr">
        <is>
          <t>Instalaciones sanitarias (hidrosanitarias)</t>
        </is>
      </c>
      <c r="O23" s="34" t="inlineStr">
        <is>
          <t>Estimado DION · criterio de mercado Guayaquil 2026 (no verificado en tienda)</t>
        </is>
      </c>
      <c r="P23" s="34" t="inlineStr">
        <is>
          <t>oct-2026 (est.)</t>
        </is>
      </c>
      <c r="Q23" s="34" t="n"/>
    </row>
    <row r="24">
      <c r="A24" s="18" t="n">
        <v>15</v>
      </c>
      <c r="B24" s="19" t="inlineStr">
        <is>
          <t xml:space="preserve">        Manguera Flexible Abasto Acero Inox ½" x 40 cm</t>
        </is>
      </c>
      <c r="C24" s="20" t="inlineStr">
        <is>
          <t>Residencial / Comercial</t>
        </is>
      </c>
      <c r="D24" s="18" t="inlineStr">
        <is>
          <t>Abastos</t>
        </is>
      </c>
      <c r="E24" s="18" t="inlineStr">
        <is>
          <t>U</t>
        </is>
      </c>
      <c r="F24" s="21" t="n">
        <v>10</v>
      </c>
      <c r="G24" s="22" t="n">
        <v>3.6</v>
      </c>
      <c r="H24" s="22" t="n">
        <v>3.71</v>
      </c>
      <c r="I24" s="18" t="inlineStr">
        <is>
          <t>Megametales</t>
        </is>
      </c>
      <c r="J24" s="22" t="n">
        <v>3.89</v>
      </c>
      <c r="K24" s="18" t="inlineStr">
        <is>
          <t>Ferrisariato</t>
        </is>
      </c>
      <c r="L24" s="8">
        <f>F24*G24</f>
        <v/>
      </c>
      <c r="M24" s="145" t="inlineStr">
        <is>
          <t>IS-D20-CNS-ABA-040</t>
        </is>
      </c>
      <c r="N24" s="18" t="inlineStr">
        <is>
          <t>Instalaciones sanitarias (hidrosanitarias)</t>
        </is>
      </c>
      <c r="O24" s="18" t="inlineStr">
        <is>
          <t>Estimado DION · criterio de mercado Guayaquil 2026 (no verificado en tienda)</t>
        </is>
      </c>
      <c r="P24" s="18" t="inlineStr">
        <is>
          <t>oct-2026 (est.)</t>
        </is>
      </c>
      <c r="Q24" s="18" t="n"/>
    </row>
    <row r="25">
      <c r="A25" s="34" t="n">
        <v>16</v>
      </c>
      <c r="B25" s="35" t="inlineStr">
        <is>
          <t xml:space="preserve">        Llave Angular Cromada ½" x ½" (Abasto)</t>
        </is>
      </c>
      <c r="C25" s="36" t="inlineStr">
        <is>
          <t>Residencial / Comercial</t>
        </is>
      </c>
      <c r="D25" s="34" t="inlineStr">
        <is>
          <t>Llaves Angulares</t>
        </is>
      </c>
      <c r="E25" s="34" t="inlineStr">
        <is>
          <t>U</t>
        </is>
      </c>
      <c r="F25" s="37" t="n">
        <v>10</v>
      </c>
      <c r="G25" s="38" t="n">
        <v>5.4</v>
      </c>
      <c r="H25" s="38" t="n">
        <v>5.67</v>
      </c>
      <c r="I25" s="34" t="inlineStr">
        <is>
          <t>Megametales</t>
        </is>
      </c>
      <c r="J25" s="38" t="n">
        <v>5.83</v>
      </c>
      <c r="K25" s="34" t="inlineStr">
        <is>
          <t>Kywi / Megakywi</t>
        </is>
      </c>
      <c r="L25" s="39">
        <f>F25*G25</f>
        <v/>
      </c>
      <c r="M25" s="149" t="inlineStr">
        <is>
          <t>IS-D20-GRI-LLA-ANG</t>
        </is>
      </c>
      <c r="N25" s="34" t="inlineStr">
        <is>
          <t>Instalaciones sanitarias (hidrosanitarias)</t>
        </is>
      </c>
      <c r="O25" s="34" t="inlineStr">
        <is>
          <t>Estimado DION · criterio de mercado Guayaquil 2026 (no verificado en tienda)</t>
        </is>
      </c>
      <c r="P25" s="34" t="inlineStr">
        <is>
          <t>oct-2026 (est.)</t>
        </is>
      </c>
      <c r="Q25" s="34" t="n"/>
    </row>
    <row r="26">
      <c r="A26" s="31" t="inlineStr">
        <is>
          <t>TUBERÍAS</t>
        </is>
      </c>
      <c r="B26" s="143" t="n"/>
      <c r="C26" s="143" t="n"/>
      <c r="D26" s="143" t="n"/>
      <c r="E26" s="143" t="n"/>
      <c r="F26" s="143" t="n"/>
      <c r="G26" s="143" t="n"/>
      <c r="H26" s="143" t="n"/>
      <c r="I26" s="143" t="n"/>
      <c r="J26" s="143" t="n"/>
      <c r="K26" s="143" t="n"/>
      <c r="L26" s="143" t="n"/>
      <c r="M26" s="143" t="n"/>
      <c r="N26" s="143" t="n"/>
      <c r="O26" s="143" t="n"/>
      <c r="P26" s="143" t="n"/>
      <c r="Q26" s="144" t="n"/>
    </row>
    <row r="27">
      <c r="A27" s="32" t="inlineStr">
        <is>
          <t xml:space="preserve">  ► CATEGORÍA: TUBERÍAS PPR PN16 Y PVC PRESIÓN INEN</t>
        </is>
      </c>
      <c r="B27" s="143" t="n"/>
      <c r="C27" s="143" t="n"/>
      <c r="D27" s="143" t="n"/>
      <c r="E27" s="143" t="n"/>
      <c r="F27" s="143" t="n"/>
      <c r="G27" s="143" t="n"/>
      <c r="H27" s="143" t="n"/>
      <c r="I27" s="143" t="n"/>
      <c r="J27" s="143" t="n"/>
      <c r="K27" s="143" t="n"/>
      <c r="L27" s="143" t="n"/>
      <c r="M27" s="143" t="n"/>
      <c r="N27" s="143" t="n"/>
      <c r="O27" s="143" t="n"/>
      <c r="P27" s="143" t="n"/>
      <c r="Q27" s="144" t="n"/>
    </row>
    <row r="28">
      <c r="A28" s="33" t="inlineStr">
        <is>
          <t xml:space="preserve">      • Subcategoría Especificada: PPR Termofusión y PVC Presión</t>
        </is>
      </c>
      <c r="B28" s="143" t="n"/>
      <c r="C28" s="143" t="n"/>
      <c r="D28" s="143" t="n"/>
      <c r="E28" s="143" t="n"/>
      <c r="F28" s="143" t="n"/>
      <c r="G28" s="143" t="n"/>
      <c r="H28" s="143" t="n"/>
      <c r="I28" s="143" t="n"/>
      <c r="J28" s="143" t="n"/>
      <c r="K28" s="143" t="n"/>
      <c r="L28" s="143" t="n"/>
      <c r="M28" s="143" t="n"/>
      <c r="N28" s="143" t="n"/>
      <c r="O28" s="143" t="n"/>
      <c r="P28" s="143" t="n"/>
      <c r="Q28" s="144" t="n"/>
    </row>
    <row r="29">
      <c r="A29" s="18" t="n">
        <v>17</v>
      </c>
      <c r="B29" s="19" t="inlineStr">
        <is>
          <t xml:space="preserve">        Tubo PPR Agua Fría 20mm / ½" PN16 (4m)</t>
        </is>
      </c>
      <c r="C29" s="20" t="inlineStr">
        <is>
          <t>Residencial / Comercial</t>
        </is>
      </c>
      <c r="D29" s="18" t="inlineStr">
        <is>
          <t>Tubería PPR PN16</t>
        </is>
      </c>
      <c r="E29" s="18" t="inlineStr">
        <is>
          <t>U</t>
        </is>
      </c>
      <c r="F29" s="21" t="n">
        <v>28</v>
      </c>
      <c r="G29" s="22" t="n">
        <v>4.8</v>
      </c>
      <c r="H29" s="22" t="n">
        <v>4.95</v>
      </c>
      <c r="I29" s="18" t="inlineStr">
        <is>
          <t>Megametales</t>
        </is>
      </c>
      <c r="J29" s="22" t="n">
        <v>5.25</v>
      </c>
      <c r="K29" s="18" t="inlineStr">
        <is>
          <t>Ferrisariato</t>
        </is>
      </c>
      <c r="L29" s="8">
        <f>F29*G29</f>
        <v/>
      </c>
      <c r="M29" s="145" t="inlineStr">
        <is>
          <t>IS-D20-TAF-PPR-020</t>
        </is>
      </c>
      <c r="N29" s="18" t="inlineStr">
        <is>
          <t>Instalaciones sanitarias (hidrosanitarias)</t>
        </is>
      </c>
      <c r="O29" s="18" t="inlineStr">
        <is>
          <t>Estimado · base original del usuario (sin cotización verificada)</t>
        </is>
      </c>
      <c r="P29" s="18" t="inlineStr">
        <is>
          <t>oct-2026 (est.)</t>
        </is>
      </c>
      <c r="Q29" s="18" t="n">
        <v>5</v>
      </c>
    </row>
    <row r="30">
      <c r="A30" s="34" t="n">
        <v>18</v>
      </c>
      <c r="B30" s="35" t="inlineStr">
        <is>
          <t xml:space="preserve">        Tubo PPR Agua Fría 25mm / ¾" PN16 (4m)</t>
        </is>
      </c>
      <c r="C30" s="36" t="inlineStr">
        <is>
          <t>Residencial / Comercial</t>
        </is>
      </c>
      <c r="D30" s="34" t="inlineStr">
        <is>
          <t>Tubería PPR PN16</t>
        </is>
      </c>
      <c r="E30" s="34" t="inlineStr">
        <is>
          <t>U</t>
        </is>
      </c>
      <c r="F30" s="37" t="n">
        <v>20</v>
      </c>
      <c r="G30" s="38" t="n">
        <v>6.9</v>
      </c>
      <c r="H30" s="38" t="n">
        <v>7.1</v>
      </c>
      <c r="I30" s="34" t="inlineStr">
        <is>
          <t>Megametales</t>
        </is>
      </c>
      <c r="J30" s="38" t="n">
        <v>7.5</v>
      </c>
      <c r="K30" s="34" t="inlineStr">
        <is>
          <t>Kywi / Megakywi</t>
        </is>
      </c>
      <c r="L30" s="39">
        <f>F30*G30</f>
        <v/>
      </c>
      <c r="M30" s="149" t="inlineStr">
        <is>
          <t>IS-D20-TAF-PPR-025</t>
        </is>
      </c>
      <c r="N30" s="34" t="inlineStr">
        <is>
          <t>Instalaciones sanitarias (hidrosanitarias)</t>
        </is>
      </c>
      <c r="O30" s="34" t="inlineStr">
        <is>
          <t>Estimado · base original del usuario (sin cotización verificada)</t>
        </is>
      </c>
      <c r="P30" s="34" t="inlineStr">
        <is>
          <t>oct-2026 (est.)</t>
        </is>
      </c>
      <c r="Q30" s="34" t="n">
        <v>5</v>
      </c>
    </row>
    <row r="31">
      <c r="A31" s="18" t="n">
        <v>19</v>
      </c>
      <c r="B31" s="19" t="inlineStr">
        <is>
          <t xml:space="preserve">        Tubo PPR Agua Fría 32mm / 1" PN16 (4m)</t>
        </is>
      </c>
      <c r="C31" s="20" t="inlineStr">
        <is>
          <t>Residencial Grande / Comercial</t>
        </is>
      </c>
      <c r="D31" s="18" t="inlineStr">
        <is>
          <t>Tubería PPR PN16</t>
        </is>
      </c>
      <c r="E31" s="18" t="inlineStr">
        <is>
          <t>U</t>
        </is>
      </c>
      <c r="F31" s="21" t="n">
        <v>10</v>
      </c>
      <c r="G31" s="22" t="n">
        <v>11.2</v>
      </c>
      <c r="H31" s="22" t="n">
        <v>11.5</v>
      </c>
      <c r="I31" s="18" t="inlineStr">
        <is>
          <t>Megametales</t>
        </is>
      </c>
      <c r="J31" s="22" t="n">
        <v>12.3</v>
      </c>
      <c r="K31" s="18" t="inlineStr">
        <is>
          <t>Ferrisariato</t>
        </is>
      </c>
      <c r="L31" s="8">
        <f>F31*G31</f>
        <v/>
      </c>
      <c r="M31" s="145" t="inlineStr">
        <is>
          <t>IS-D20-TAF-PPR-032</t>
        </is>
      </c>
      <c r="N31" s="18" t="inlineStr">
        <is>
          <t>Instalaciones sanitarias (hidrosanitarias)</t>
        </is>
      </c>
      <c r="O31" s="18" t="inlineStr">
        <is>
          <t>Estimado · base original del usuario (sin cotización verificada)</t>
        </is>
      </c>
      <c r="P31" s="18" t="inlineStr">
        <is>
          <t>oct-2026 (est.)</t>
        </is>
      </c>
      <c r="Q31" s="18" t="n">
        <v>5</v>
      </c>
    </row>
    <row r="32">
      <c r="A32" s="34" t="n">
        <v>20</v>
      </c>
      <c r="B32" s="35" t="inlineStr">
        <is>
          <t xml:space="preserve">        Tubo PVC Presión 20mm / ½" Roscable / Encolar (6m)</t>
        </is>
      </c>
      <c r="C32" s="36" t="inlineStr">
        <is>
          <t>Residencial / Comercial</t>
        </is>
      </c>
      <c r="D32" s="34" t="inlineStr">
        <is>
          <t>Tubería PVC Presión</t>
        </is>
      </c>
      <c r="E32" s="34" t="inlineStr">
        <is>
          <t>U</t>
        </is>
      </c>
      <c r="F32" s="37" t="n">
        <v>15</v>
      </c>
      <c r="G32" s="38" t="n">
        <v>3.8</v>
      </c>
      <c r="H32" s="38" t="n">
        <v>3.95</v>
      </c>
      <c r="I32" s="34" t="inlineStr">
        <is>
          <t>Megametales</t>
        </is>
      </c>
      <c r="J32" s="38" t="n">
        <v>4.2</v>
      </c>
      <c r="K32" s="34" t="inlineStr">
        <is>
          <t>Ferrisariato</t>
        </is>
      </c>
      <c r="L32" s="39">
        <f>F32*G32</f>
        <v/>
      </c>
      <c r="M32" s="149" t="inlineStr">
        <is>
          <t>IS-D20-TAF-PVC-020</t>
        </is>
      </c>
      <c r="N32" s="34" t="inlineStr">
        <is>
          <t>Instalaciones sanitarias (hidrosanitarias)</t>
        </is>
      </c>
      <c r="O32" s="34" t="inlineStr">
        <is>
          <t>Estimado · base original del usuario (sin cotización verificada)</t>
        </is>
      </c>
      <c r="P32" s="34" t="inlineStr">
        <is>
          <t>oct-2026 (est.)</t>
        </is>
      </c>
      <c r="Q32" s="34" t="n">
        <v>5</v>
      </c>
    </row>
    <row r="33">
      <c r="A33" s="18" t="n">
        <v>21</v>
      </c>
      <c r="B33" s="19" t="inlineStr">
        <is>
          <t xml:space="preserve">        Tubo PVC Presión 25mm / ¾" Roscable / Encolar (6m)</t>
        </is>
      </c>
      <c r="C33" s="20" t="inlineStr">
        <is>
          <t>Residencial / Comercial</t>
        </is>
      </c>
      <c r="D33" s="18" t="inlineStr">
        <is>
          <t>Tubería PVC Presión</t>
        </is>
      </c>
      <c r="E33" s="18" t="inlineStr">
        <is>
          <t>U</t>
        </is>
      </c>
      <c r="F33" s="21" t="n">
        <v>15</v>
      </c>
      <c r="G33" s="22" t="n">
        <v>5.2</v>
      </c>
      <c r="H33" s="22" t="n">
        <v>5.4</v>
      </c>
      <c r="I33" s="18" t="inlineStr">
        <is>
          <t>Megametales</t>
        </is>
      </c>
      <c r="J33" s="22" t="n">
        <v>5.75</v>
      </c>
      <c r="K33" s="18" t="inlineStr">
        <is>
          <t>Ferrisariato</t>
        </is>
      </c>
      <c r="L33" s="8">
        <f>F33*G33</f>
        <v/>
      </c>
      <c r="M33" s="145" t="inlineStr">
        <is>
          <t>IS-D20-TAF-PVC-025</t>
        </is>
      </c>
      <c r="N33" s="18" t="inlineStr">
        <is>
          <t>Instalaciones sanitarias (hidrosanitarias)</t>
        </is>
      </c>
      <c r="O33" s="18" t="inlineStr">
        <is>
          <t>Estimado · base original del usuario (sin cotización verificada)</t>
        </is>
      </c>
      <c r="P33" s="18" t="inlineStr">
        <is>
          <t>oct-2026 (est.)</t>
        </is>
      </c>
      <c r="Q33" s="18" t="n">
        <v>5</v>
      </c>
    </row>
    <row r="34">
      <c r="A34" s="33" t="inlineStr">
        <is>
          <t xml:space="preserve">      • Subcategoría Especificada: Todas las Medidas Comerciales (PVC E/C, Roscable, PPR, HG, PEAD, Cobre)</t>
        </is>
      </c>
      <c r="B34" s="143" t="n"/>
      <c r="C34" s="143" t="n"/>
      <c r="D34" s="143" t="n"/>
      <c r="E34" s="143" t="n"/>
      <c r="F34" s="143" t="n"/>
      <c r="G34" s="143" t="n"/>
      <c r="H34" s="143" t="n"/>
      <c r="I34" s="143" t="n"/>
      <c r="J34" s="143" t="n"/>
      <c r="K34" s="143" t="n"/>
      <c r="L34" s="143" t="n"/>
      <c r="M34" s="143" t="n"/>
      <c r="N34" s="143" t="n"/>
      <c r="O34" s="143" t="n"/>
      <c r="P34" s="143" t="n"/>
      <c r="Q34" s="144" t="n"/>
    </row>
    <row r="35">
      <c r="A35" s="34" t="n">
        <v>22</v>
      </c>
      <c r="B35" s="35" t="inlineStr">
        <is>
          <t xml:space="preserve">        Tubo PVC Presión E/C 1.25 MPa Ø32 mm / 1" (6 m)</t>
        </is>
      </c>
      <c r="C35" s="36" t="inlineStr">
        <is>
          <t>Residencial / Comercial</t>
        </is>
      </c>
      <c r="D35" s="34" t="inlineStr">
        <is>
          <t>Tubería PVC Presión</t>
        </is>
      </c>
      <c r="E35" s="34" t="inlineStr">
        <is>
          <t>U</t>
        </is>
      </c>
      <c r="F35" s="37" t="n">
        <v>10</v>
      </c>
      <c r="G35" s="38" t="n">
        <v>8.300000000000001</v>
      </c>
      <c r="H35" s="38" t="n">
        <v>8.630000000000001</v>
      </c>
      <c r="I35" s="34" t="inlineStr">
        <is>
          <t>Megametales</t>
        </is>
      </c>
      <c r="J35" s="38" t="n">
        <v>8.960000000000001</v>
      </c>
      <c r="K35" s="34" t="inlineStr">
        <is>
          <t>Kywi / Megakywi</t>
        </is>
      </c>
      <c r="L35" s="39">
        <f>F35*G35</f>
        <v/>
      </c>
      <c r="M35" s="149" t="inlineStr">
        <is>
          <t>IS-D20-TAF-PVC-032</t>
        </is>
      </c>
      <c r="N35" s="34" t="inlineStr">
        <is>
          <t>Instalaciones sanitarias (hidrosanitarias)</t>
        </is>
      </c>
      <c r="O35" s="34" t="inlineStr">
        <is>
          <t>Estimado DION · criterio de mercado Guayaquil 2026 (no verificado en tienda)</t>
        </is>
      </c>
      <c r="P35" s="34" t="inlineStr">
        <is>
          <t>oct-2026 (est.)</t>
        </is>
      </c>
      <c r="Q35" s="34" t="n">
        <v>5</v>
      </c>
    </row>
    <row r="36">
      <c r="A36" s="18" t="n">
        <v>23</v>
      </c>
      <c r="B36" s="19" t="inlineStr">
        <is>
          <t xml:space="preserve">        Tubo PVC Presión E/C 1.25 MPa Ø40 mm / 1¼" (6 m)</t>
        </is>
      </c>
      <c r="C36" s="20" t="inlineStr">
        <is>
          <t>Residencial / Comercial</t>
        </is>
      </c>
      <c r="D36" s="18" t="inlineStr">
        <is>
          <t>Tubería PVC Presión</t>
        </is>
      </c>
      <c r="E36" s="18" t="inlineStr">
        <is>
          <t>U</t>
        </is>
      </c>
      <c r="F36" s="21" t="n">
        <v>4</v>
      </c>
      <c r="G36" s="22" t="n">
        <v>11.8</v>
      </c>
      <c r="H36" s="22" t="n">
        <v>12.39</v>
      </c>
      <c r="I36" s="18" t="inlineStr">
        <is>
          <t>Megametales</t>
        </is>
      </c>
      <c r="J36" s="22" t="n">
        <v>12.86</v>
      </c>
      <c r="K36" s="18" t="inlineStr">
        <is>
          <t>Ferrisariato</t>
        </is>
      </c>
      <c r="L36" s="8">
        <f>F36*G36</f>
        <v/>
      </c>
      <c r="M36" s="145" t="inlineStr">
        <is>
          <t>IS-D20-TAF-PVC-040</t>
        </is>
      </c>
      <c r="N36" s="18" t="inlineStr">
        <is>
          <t>Instalaciones sanitarias (hidrosanitarias)</t>
        </is>
      </c>
      <c r="O36" s="18" t="inlineStr">
        <is>
          <t>Estimado DION · criterio de mercado Guayaquil 2026 (no verificado en tienda)</t>
        </is>
      </c>
      <c r="P36" s="18" t="inlineStr">
        <is>
          <t>oct-2026 (est.)</t>
        </is>
      </c>
      <c r="Q36" s="18" t="n">
        <v>5</v>
      </c>
    </row>
    <row r="37">
      <c r="A37" s="34" t="n">
        <v>24</v>
      </c>
      <c r="B37" s="35" t="inlineStr">
        <is>
          <t xml:space="preserve">        Tubo PVC Presión E/C 1.25 MPa Ø50 mm / 1½" (6 m)</t>
        </is>
      </c>
      <c r="C37" s="36" t="inlineStr">
        <is>
          <t>Residencial / Comercial</t>
        </is>
      </c>
      <c r="D37" s="34" t="inlineStr">
        <is>
          <t>Tubería PVC Presión</t>
        </is>
      </c>
      <c r="E37" s="34" t="inlineStr">
        <is>
          <t>U</t>
        </is>
      </c>
      <c r="F37" s="37" t="n">
        <v>4</v>
      </c>
      <c r="G37" s="38" t="n">
        <v>16.4</v>
      </c>
      <c r="H37" s="38" t="n">
        <v>16.89</v>
      </c>
      <c r="I37" s="34" t="inlineStr">
        <is>
          <t>Megametales</t>
        </is>
      </c>
      <c r="J37" s="38" t="n">
        <v>17.71</v>
      </c>
      <c r="K37" s="34" t="inlineStr">
        <is>
          <t>Kywi / Megakywi</t>
        </is>
      </c>
      <c r="L37" s="39">
        <f>F37*G37</f>
        <v/>
      </c>
      <c r="M37" s="149" t="inlineStr">
        <is>
          <t>IS-D20-TAF-PVC-050</t>
        </is>
      </c>
      <c r="N37" s="34" t="inlineStr">
        <is>
          <t>Instalaciones sanitarias (hidrosanitarias)</t>
        </is>
      </c>
      <c r="O37" s="34" t="inlineStr">
        <is>
          <t>Estimado DION · criterio de mercado Guayaquil 2026 (no verificado en tienda)</t>
        </is>
      </c>
      <c r="P37" s="34" t="inlineStr">
        <is>
          <t>oct-2026 (est.)</t>
        </is>
      </c>
      <c r="Q37" s="34" t="n">
        <v>5</v>
      </c>
    </row>
    <row r="38">
      <c r="A38" s="18" t="n">
        <v>25</v>
      </c>
      <c r="B38" s="19" t="inlineStr">
        <is>
          <t xml:space="preserve">        Tubo PVC Presión E/C 1.25 MPa Ø63 mm / 2" (6 m)</t>
        </is>
      </c>
      <c r="C38" s="20" t="inlineStr">
        <is>
          <t>Comercial / Industrial</t>
        </is>
      </c>
      <c r="D38" s="18" t="inlineStr">
        <is>
          <t>Tubería PVC Presión</t>
        </is>
      </c>
      <c r="E38" s="18" t="inlineStr">
        <is>
          <t>U</t>
        </is>
      </c>
      <c r="F38" s="21" t="n">
        <v>4</v>
      </c>
      <c r="G38" s="22" t="n">
        <v>24.5</v>
      </c>
      <c r="H38" s="22" t="n">
        <v>25.73</v>
      </c>
      <c r="I38" s="18" t="inlineStr">
        <is>
          <t>Megametales</t>
        </is>
      </c>
      <c r="J38" s="22" t="n">
        <v>26.95</v>
      </c>
      <c r="K38" s="18" t="inlineStr">
        <is>
          <t>Ferrisariato</t>
        </is>
      </c>
      <c r="L38" s="8">
        <f>F38*G38</f>
        <v/>
      </c>
      <c r="M38" s="145" t="inlineStr">
        <is>
          <t>IS-D20-TAF-PVC-063</t>
        </is>
      </c>
      <c r="N38" s="18" t="inlineStr">
        <is>
          <t>Instalaciones sanitarias (hidrosanitarias)</t>
        </is>
      </c>
      <c r="O38" s="18" t="inlineStr">
        <is>
          <t>Estimado DION · criterio de mercado Guayaquil 2026 (no verificado en tienda)</t>
        </is>
      </c>
      <c r="P38" s="18" t="inlineStr">
        <is>
          <t>oct-2026 (est.)</t>
        </is>
      </c>
      <c r="Q38" s="18" t="n">
        <v>5</v>
      </c>
    </row>
    <row r="39">
      <c r="A39" s="34" t="n">
        <v>26</v>
      </c>
      <c r="B39" s="35" t="inlineStr">
        <is>
          <t xml:space="preserve">        Tubo PVC Presión E/C 1.25 MPa Ø75 mm / 2½" (6 m)</t>
        </is>
      </c>
      <c r="C39" s="36" t="inlineStr">
        <is>
          <t>Comercial / Industrial</t>
        </is>
      </c>
      <c r="D39" s="34" t="inlineStr">
        <is>
          <t>Tubería PVC Presión</t>
        </is>
      </c>
      <c r="E39" s="34" t="inlineStr">
        <is>
          <t>U</t>
        </is>
      </c>
      <c r="F39" s="37" t="n">
        <v>4</v>
      </c>
      <c r="G39" s="38" t="n">
        <v>34.5</v>
      </c>
      <c r="H39" s="38" t="n">
        <v>36.23</v>
      </c>
      <c r="I39" s="34" t="inlineStr">
        <is>
          <t>Megametales</t>
        </is>
      </c>
      <c r="J39" s="38" t="n">
        <v>37.95</v>
      </c>
      <c r="K39" s="34" t="inlineStr">
        <is>
          <t>Kywi / Megakywi</t>
        </is>
      </c>
      <c r="L39" s="39">
        <f>F39*G39</f>
        <v/>
      </c>
      <c r="M39" s="149" t="inlineStr">
        <is>
          <t>IS-D20-TAF-PVC-075</t>
        </is>
      </c>
      <c r="N39" s="34" t="inlineStr">
        <is>
          <t>Instalaciones sanitarias (hidrosanitarias)</t>
        </is>
      </c>
      <c r="O39" s="34" t="inlineStr">
        <is>
          <t>Estimado DION · criterio de mercado Guayaquil 2026 (no verificado en tienda)</t>
        </is>
      </c>
      <c r="P39" s="34" t="inlineStr">
        <is>
          <t>oct-2026 (est.)</t>
        </is>
      </c>
      <c r="Q39" s="34" t="n">
        <v>5</v>
      </c>
    </row>
    <row r="40">
      <c r="A40" s="18" t="n">
        <v>27</v>
      </c>
      <c r="B40" s="19" t="inlineStr">
        <is>
          <t xml:space="preserve">        Tubo PVC Presión E/C 1.25 MPa Ø90 mm / 3" (6 m)</t>
        </is>
      </c>
      <c r="C40" s="20" t="inlineStr">
        <is>
          <t>Comercial / Industrial</t>
        </is>
      </c>
      <c r="D40" s="18" t="inlineStr">
        <is>
          <t>Tubería PVC Presión</t>
        </is>
      </c>
      <c r="E40" s="18" t="inlineStr">
        <is>
          <t>U</t>
        </is>
      </c>
      <c r="F40" s="21" t="n">
        <v>4</v>
      </c>
      <c r="G40" s="22" t="n">
        <v>49</v>
      </c>
      <c r="H40" s="22" t="n">
        <v>51.45</v>
      </c>
      <c r="I40" s="18" t="inlineStr">
        <is>
          <t>Megametales</t>
        </is>
      </c>
      <c r="J40" s="22" t="n">
        <v>53.41</v>
      </c>
      <c r="K40" s="18" t="inlineStr">
        <is>
          <t>Ferrisariato</t>
        </is>
      </c>
      <c r="L40" s="8">
        <f>F40*G40</f>
        <v/>
      </c>
      <c r="M40" s="145" t="inlineStr">
        <is>
          <t>IS-D20-TAF-PVC-090</t>
        </is>
      </c>
      <c r="N40" s="18" t="inlineStr">
        <is>
          <t>Instalaciones sanitarias (hidrosanitarias)</t>
        </is>
      </c>
      <c r="O40" s="18" t="inlineStr">
        <is>
          <t>Estimado DION · criterio de mercado Guayaquil 2026 (no verificado en tienda)</t>
        </is>
      </c>
      <c r="P40" s="18" t="inlineStr">
        <is>
          <t>oct-2026 (est.)</t>
        </is>
      </c>
      <c r="Q40" s="18" t="n">
        <v>5</v>
      </c>
    </row>
    <row r="41">
      <c r="A41" s="34" t="n">
        <v>28</v>
      </c>
      <c r="B41" s="35" t="inlineStr">
        <is>
          <t xml:space="preserve">        Tubo PVC Presión E/C 1.25 MPa Ø110 mm / 4" (6 m)</t>
        </is>
      </c>
      <c r="C41" s="36" t="inlineStr">
        <is>
          <t>Comercial / Industrial</t>
        </is>
      </c>
      <c r="D41" s="34" t="inlineStr">
        <is>
          <t>Tubería PVC Presión</t>
        </is>
      </c>
      <c r="E41" s="34" t="inlineStr">
        <is>
          <t>U</t>
        </is>
      </c>
      <c r="F41" s="37" t="n">
        <v>4</v>
      </c>
      <c r="G41" s="38" t="n">
        <v>72</v>
      </c>
      <c r="H41" s="38" t="n">
        <v>74.88</v>
      </c>
      <c r="I41" s="34" t="inlineStr">
        <is>
          <t>Megametales</t>
        </is>
      </c>
      <c r="J41" s="38" t="n">
        <v>78.48</v>
      </c>
      <c r="K41" s="34" t="inlineStr">
        <is>
          <t>Kywi / Megakywi</t>
        </is>
      </c>
      <c r="L41" s="39">
        <f>F41*G41</f>
        <v/>
      </c>
      <c r="M41" s="149" t="inlineStr">
        <is>
          <t>IS-D20-TAF-PVC-110</t>
        </is>
      </c>
      <c r="N41" s="34" t="inlineStr">
        <is>
          <t>Instalaciones sanitarias (hidrosanitarias)</t>
        </is>
      </c>
      <c r="O41" s="34" t="inlineStr">
        <is>
          <t>Estimado DION · criterio de mercado Guayaquil 2026 (no verificado en tienda)</t>
        </is>
      </c>
      <c r="P41" s="34" t="inlineStr">
        <is>
          <t>oct-2026 (est.)</t>
        </is>
      </c>
      <c r="Q41" s="34" t="n">
        <v>5</v>
      </c>
    </row>
    <row r="42">
      <c r="A42" s="18" t="n">
        <v>29</v>
      </c>
      <c r="B42" s="19" t="inlineStr">
        <is>
          <t xml:space="preserve">        Tubo PVC Roscable ½" (6 m) Cédula 40</t>
        </is>
      </c>
      <c r="C42" s="20" t="inlineStr">
        <is>
          <t>Residencial / Comercial</t>
        </is>
      </c>
      <c r="D42" s="18" t="inlineStr">
        <is>
          <t>Tubería PVC Roscable</t>
        </is>
      </c>
      <c r="E42" s="18" t="inlineStr">
        <is>
          <t>U</t>
        </is>
      </c>
      <c r="F42" s="21" t="n">
        <v>6</v>
      </c>
      <c r="G42" s="22" t="n">
        <v>5.3</v>
      </c>
      <c r="H42" s="22" t="n">
        <v>5.51</v>
      </c>
      <c r="I42" s="18" t="inlineStr">
        <is>
          <t>Megametales</t>
        </is>
      </c>
      <c r="J42" s="22" t="n">
        <v>5.72</v>
      </c>
      <c r="K42" s="18" t="inlineStr">
        <is>
          <t>Ferrisariato</t>
        </is>
      </c>
      <c r="L42" s="8">
        <f>F42*G42</f>
        <v/>
      </c>
      <c r="M42" s="145" t="inlineStr">
        <is>
          <t>IS-D20-TAF-PVR-DN15</t>
        </is>
      </c>
      <c r="N42" s="18" t="inlineStr">
        <is>
          <t>Instalaciones sanitarias (hidrosanitarias)</t>
        </is>
      </c>
      <c r="O42" s="18" t="inlineStr">
        <is>
          <t>Estimado DION · criterio de mercado Guayaquil 2026 (no verificado en tienda)</t>
        </is>
      </c>
      <c r="P42" s="18" t="inlineStr">
        <is>
          <t>oct-2026 (est.)</t>
        </is>
      </c>
      <c r="Q42" s="18" t="n">
        <v>5</v>
      </c>
    </row>
    <row r="43">
      <c r="A43" s="34" t="n">
        <v>30</v>
      </c>
      <c r="B43" s="35" t="inlineStr">
        <is>
          <t xml:space="preserve">        Tubo PVC Roscable ¾" (6 m) Cédula 40</t>
        </is>
      </c>
      <c r="C43" s="36" t="inlineStr">
        <is>
          <t>Residencial / Comercial</t>
        </is>
      </c>
      <c r="D43" s="34" t="inlineStr">
        <is>
          <t>Tubería PVC Roscable</t>
        </is>
      </c>
      <c r="E43" s="34" t="inlineStr">
        <is>
          <t>U</t>
        </is>
      </c>
      <c r="F43" s="37" t="n">
        <v>6</v>
      </c>
      <c r="G43" s="38" t="n">
        <v>7.1</v>
      </c>
      <c r="H43" s="38" t="n">
        <v>7.46</v>
      </c>
      <c r="I43" s="34" t="inlineStr">
        <is>
          <t>Megametales</t>
        </is>
      </c>
      <c r="J43" s="38" t="n">
        <v>7.74</v>
      </c>
      <c r="K43" s="34" t="inlineStr">
        <is>
          <t>Kywi / Megakywi</t>
        </is>
      </c>
      <c r="L43" s="39">
        <f>F43*G43</f>
        <v/>
      </c>
      <c r="M43" s="149" t="inlineStr">
        <is>
          <t>IS-D20-TAF-PVR-DN20</t>
        </is>
      </c>
      <c r="N43" s="34" t="inlineStr">
        <is>
          <t>Instalaciones sanitarias (hidrosanitarias)</t>
        </is>
      </c>
      <c r="O43" s="34" t="inlineStr">
        <is>
          <t>Estimado DION · criterio de mercado Guayaquil 2026 (no verificado en tienda)</t>
        </is>
      </c>
      <c r="P43" s="34" t="inlineStr">
        <is>
          <t>oct-2026 (est.)</t>
        </is>
      </c>
      <c r="Q43" s="34" t="n">
        <v>5</v>
      </c>
    </row>
    <row r="44">
      <c r="A44" s="18" t="n">
        <v>31</v>
      </c>
      <c r="B44" s="19" t="inlineStr">
        <is>
          <t xml:space="preserve">        Tubo PVC Roscable 1" (6 m) Cédula 40</t>
        </is>
      </c>
      <c r="C44" s="20" t="inlineStr">
        <is>
          <t>Residencial / Comercial</t>
        </is>
      </c>
      <c r="D44" s="18" t="inlineStr">
        <is>
          <t>Tubería PVC Roscable</t>
        </is>
      </c>
      <c r="E44" s="18" t="inlineStr">
        <is>
          <t>U</t>
        </is>
      </c>
      <c r="F44" s="21" t="n">
        <v>6</v>
      </c>
      <c r="G44" s="22" t="n">
        <v>10.6</v>
      </c>
      <c r="H44" s="22" t="n">
        <v>11.13</v>
      </c>
      <c r="I44" s="18" t="inlineStr">
        <is>
          <t>Megametales</t>
        </is>
      </c>
      <c r="J44" s="22" t="n">
        <v>11.66</v>
      </c>
      <c r="K44" s="18" t="inlineStr">
        <is>
          <t>Ferrisariato</t>
        </is>
      </c>
      <c r="L44" s="8">
        <f>F44*G44</f>
        <v/>
      </c>
      <c r="M44" s="145" t="inlineStr">
        <is>
          <t>IS-D20-TAF-PVR-DN25</t>
        </is>
      </c>
      <c r="N44" s="18" t="inlineStr">
        <is>
          <t>Instalaciones sanitarias (hidrosanitarias)</t>
        </is>
      </c>
      <c r="O44" s="18" t="inlineStr">
        <is>
          <t>Estimado DION · criterio de mercado Guayaquil 2026 (no verificado en tienda)</t>
        </is>
      </c>
      <c r="P44" s="18" t="inlineStr">
        <is>
          <t>oct-2026 (est.)</t>
        </is>
      </c>
      <c r="Q44" s="18" t="n">
        <v>5</v>
      </c>
    </row>
    <row r="45">
      <c r="A45" s="34" t="n">
        <v>32</v>
      </c>
      <c r="B45" s="35" t="inlineStr">
        <is>
          <t xml:space="preserve">        Tubo PVC Roscable 1¼" (6 m) Cédula 40</t>
        </is>
      </c>
      <c r="C45" s="36" t="inlineStr">
        <is>
          <t>Residencial / Comercial</t>
        </is>
      </c>
      <c r="D45" s="34" t="inlineStr">
        <is>
          <t>Tubería PVC Roscable</t>
        </is>
      </c>
      <c r="E45" s="34" t="inlineStr">
        <is>
          <t>U</t>
        </is>
      </c>
      <c r="F45" s="37" t="n">
        <v>6</v>
      </c>
      <c r="G45" s="38" t="n">
        <v>15.2</v>
      </c>
      <c r="H45" s="38" t="n">
        <v>15.5</v>
      </c>
      <c r="I45" s="34" t="inlineStr">
        <is>
          <t>Megametales</t>
        </is>
      </c>
      <c r="J45" s="38" t="n">
        <v>16.42</v>
      </c>
      <c r="K45" s="34" t="inlineStr">
        <is>
          <t>Kywi / Megakywi</t>
        </is>
      </c>
      <c r="L45" s="39">
        <f>F45*G45</f>
        <v/>
      </c>
      <c r="M45" s="149" t="inlineStr">
        <is>
          <t>IS-D20-TAF-PVR-DN32</t>
        </is>
      </c>
      <c r="N45" s="34" t="inlineStr">
        <is>
          <t>Instalaciones sanitarias (hidrosanitarias)</t>
        </is>
      </c>
      <c r="O45" s="34" t="inlineStr">
        <is>
          <t>Estimado DION · criterio de mercado Guayaquil 2026 (no verificado en tienda)</t>
        </is>
      </c>
      <c r="P45" s="34" t="inlineStr">
        <is>
          <t>oct-2026 (est.)</t>
        </is>
      </c>
      <c r="Q45" s="34" t="n">
        <v>5</v>
      </c>
    </row>
    <row r="46">
      <c r="A46" s="18" t="n">
        <v>33</v>
      </c>
      <c r="B46" s="19" t="inlineStr">
        <is>
          <t xml:space="preserve">        Tubo PVC Roscable 1½" (6 m) Cédula 40</t>
        </is>
      </c>
      <c r="C46" s="20" t="inlineStr">
        <is>
          <t>Residencial / Comercial</t>
        </is>
      </c>
      <c r="D46" s="18" t="inlineStr">
        <is>
          <t>Tubería PVC Roscable</t>
        </is>
      </c>
      <c r="E46" s="18" t="inlineStr">
        <is>
          <t>U</t>
        </is>
      </c>
      <c r="F46" s="21" t="n">
        <v>6</v>
      </c>
      <c r="G46" s="22" t="n">
        <v>19.3</v>
      </c>
      <c r="H46" s="22" t="n">
        <v>20.27</v>
      </c>
      <c r="I46" s="18" t="inlineStr">
        <is>
          <t>Megametales</t>
        </is>
      </c>
      <c r="J46" s="22" t="n">
        <v>20.65</v>
      </c>
      <c r="K46" s="18" t="inlineStr">
        <is>
          <t>Ferrisariato</t>
        </is>
      </c>
      <c r="L46" s="8">
        <f>F46*G46</f>
        <v/>
      </c>
      <c r="M46" s="145" t="inlineStr">
        <is>
          <t>IS-D20-TAF-PVR-DN40</t>
        </is>
      </c>
      <c r="N46" s="18" t="inlineStr">
        <is>
          <t>Instalaciones sanitarias (hidrosanitarias)</t>
        </is>
      </c>
      <c r="O46" s="18" t="inlineStr">
        <is>
          <t>Estimado DION · criterio de mercado Guayaquil 2026 (no verificado en tienda)</t>
        </is>
      </c>
      <c r="P46" s="18" t="inlineStr">
        <is>
          <t>oct-2026 (est.)</t>
        </is>
      </c>
      <c r="Q46" s="18" t="n">
        <v>5</v>
      </c>
    </row>
    <row r="47">
      <c r="A47" s="34" t="n">
        <v>34</v>
      </c>
      <c r="B47" s="35" t="inlineStr">
        <is>
          <t xml:space="preserve">        Tubo PVC Roscable 2" (6 m) Cédula 40</t>
        </is>
      </c>
      <c r="C47" s="36" t="inlineStr">
        <is>
          <t>Residencial / Comercial</t>
        </is>
      </c>
      <c r="D47" s="34" t="inlineStr">
        <is>
          <t>Tubería PVC Roscable</t>
        </is>
      </c>
      <c r="E47" s="34" t="inlineStr">
        <is>
          <t>U</t>
        </is>
      </c>
      <c r="F47" s="37" t="n">
        <v>6</v>
      </c>
      <c r="G47" s="38" t="n">
        <v>27.5</v>
      </c>
      <c r="H47" s="38" t="n">
        <v>28.32</v>
      </c>
      <c r="I47" s="34" t="inlineStr">
        <is>
          <t>Megametales</t>
        </is>
      </c>
      <c r="J47" s="38" t="n">
        <v>30.53</v>
      </c>
      <c r="K47" s="34" t="inlineStr">
        <is>
          <t>Kywi / Megakywi</t>
        </is>
      </c>
      <c r="L47" s="39">
        <f>F47*G47</f>
        <v/>
      </c>
      <c r="M47" s="149" t="inlineStr">
        <is>
          <t>IS-D20-TAF-PVR-DN50</t>
        </is>
      </c>
      <c r="N47" s="34" t="inlineStr">
        <is>
          <t>Instalaciones sanitarias (hidrosanitarias)</t>
        </is>
      </c>
      <c r="O47" s="34" t="inlineStr">
        <is>
          <t>Estimado DION · criterio de mercado Guayaquil 2026 (no verificado en tienda)</t>
        </is>
      </c>
      <c r="P47" s="34" t="inlineStr">
        <is>
          <t>oct-2026 (est.)</t>
        </is>
      </c>
      <c r="Q47" s="34" t="n">
        <v>5</v>
      </c>
    </row>
    <row r="48">
      <c r="A48" s="18" t="n">
        <v>35</v>
      </c>
      <c r="B48" s="19" t="inlineStr">
        <is>
          <t xml:space="preserve">        Tubo PPR Agua Fría Ø40 mm / 1¼" PN16 (4 m)</t>
        </is>
      </c>
      <c r="C48" s="20" t="inlineStr">
        <is>
          <t>Residencial / Comercial</t>
        </is>
      </c>
      <c r="D48" s="18" t="inlineStr">
        <is>
          <t>Tubería PPR PN16</t>
        </is>
      </c>
      <c r="E48" s="18" t="inlineStr">
        <is>
          <t>U</t>
        </is>
      </c>
      <c r="F48" s="21" t="n">
        <v>4</v>
      </c>
      <c r="G48" s="22" t="n">
        <v>17.5</v>
      </c>
      <c r="H48" s="22" t="n">
        <v>18.03</v>
      </c>
      <c r="I48" s="18" t="inlineStr">
        <is>
          <t>Megametales</t>
        </is>
      </c>
      <c r="J48" s="22" t="n">
        <v>19.25</v>
      </c>
      <c r="K48" s="18" t="inlineStr">
        <is>
          <t>Ferrisariato</t>
        </is>
      </c>
      <c r="L48" s="8">
        <f>F48*G48</f>
        <v/>
      </c>
      <c r="M48" s="145" t="inlineStr">
        <is>
          <t>IS-D20-TAF-PPR-040</t>
        </is>
      </c>
      <c r="N48" s="18" t="inlineStr">
        <is>
          <t>Instalaciones sanitarias (hidrosanitarias)</t>
        </is>
      </c>
      <c r="O48" s="18" t="inlineStr">
        <is>
          <t>Estimado DION · criterio de mercado Guayaquil 2026 (no verificado en tienda)</t>
        </is>
      </c>
      <c r="P48" s="18" t="inlineStr">
        <is>
          <t>oct-2026 (est.)</t>
        </is>
      </c>
      <c r="Q48" s="18" t="n">
        <v>5</v>
      </c>
    </row>
    <row r="49">
      <c r="A49" s="34" t="n">
        <v>36</v>
      </c>
      <c r="B49" s="35" t="inlineStr">
        <is>
          <t xml:space="preserve">        Tubo PPR Agua Fría Ø50 mm / 1½" PN16 (4 m)</t>
        </is>
      </c>
      <c r="C49" s="36" t="inlineStr">
        <is>
          <t>Residencial / Comercial</t>
        </is>
      </c>
      <c r="D49" s="34" t="inlineStr">
        <is>
          <t>Tubería PPR PN16</t>
        </is>
      </c>
      <c r="E49" s="34" t="inlineStr">
        <is>
          <t>U</t>
        </is>
      </c>
      <c r="F49" s="37" t="n">
        <v>4</v>
      </c>
      <c r="G49" s="38" t="n">
        <v>27</v>
      </c>
      <c r="H49" s="38" t="n">
        <v>27.81</v>
      </c>
      <c r="I49" s="34" t="inlineStr">
        <is>
          <t>Megametales</t>
        </is>
      </c>
      <c r="J49" s="38" t="n">
        <v>28.89</v>
      </c>
      <c r="K49" s="34" t="inlineStr">
        <is>
          <t>Kywi / Megakywi</t>
        </is>
      </c>
      <c r="L49" s="39">
        <f>F49*G49</f>
        <v/>
      </c>
      <c r="M49" s="149" t="inlineStr">
        <is>
          <t>IS-D20-TAF-PPR-050</t>
        </is>
      </c>
      <c r="N49" s="34" t="inlineStr">
        <is>
          <t>Instalaciones sanitarias (hidrosanitarias)</t>
        </is>
      </c>
      <c r="O49" s="34" t="inlineStr">
        <is>
          <t>Estimado DION · criterio de mercado Guayaquil 2026 (no verificado en tienda)</t>
        </is>
      </c>
      <c r="P49" s="34" t="inlineStr">
        <is>
          <t>oct-2026 (est.)</t>
        </is>
      </c>
      <c r="Q49" s="34" t="n">
        <v>5</v>
      </c>
    </row>
    <row r="50">
      <c r="A50" s="18" t="n">
        <v>37</v>
      </c>
      <c r="B50" s="19" t="inlineStr">
        <is>
          <t xml:space="preserve">        Tubo PPR Agua Fría Ø63 mm / 2" PN16 (4 m)</t>
        </is>
      </c>
      <c r="C50" s="20" t="inlineStr">
        <is>
          <t>Comercial / Industrial</t>
        </is>
      </c>
      <c r="D50" s="18" t="inlineStr">
        <is>
          <t>Tubería PPR PN16</t>
        </is>
      </c>
      <c r="E50" s="18" t="inlineStr">
        <is>
          <t>U</t>
        </is>
      </c>
      <c r="F50" s="21" t="n">
        <v>4</v>
      </c>
      <c r="G50" s="22" t="n">
        <v>42</v>
      </c>
      <c r="H50" s="22" t="n">
        <v>42.84</v>
      </c>
      <c r="I50" s="18" t="inlineStr">
        <is>
          <t>Megametales</t>
        </is>
      </c>
      <c r="J50" s="22" t="n">
        <v>46.2</v>
      </c>
      <c r="K50" s="18" t="inlineStr">
        <is>
          <t>Ferrisariato</t>
        </is>
      </c>
      <c r="L50" s="8">
        <f>F50*G50</f>
        <v/>
      </c>
      <c r="M50" s="145" t="inlineStr">
        <is>
          <t>IS-D20-TAF-PPR-063</t>
        </is>
      </c>
      <c r="N50" s="18" t="inlineStr">
        <is>
          <t>Instalaciones sanitarias (hidrosanitarias)</t>
        </is>
      </c>
      <c r="O50" s="18" t="inlineStr">
        <is>
          <t>Estimado DION · criterio de mercado Guayaquil 2026 (no verificado en tienda)</t>
        </is>
      </c>
      <c r="P50" s="18" t="inlineStr">
        <is>
          <t>oct-2026 (est.)</t>
        </is>
      </c>
      <c r="Q50" s="18" t="n">
        <v>5</v>
      </c>
    </row>
    <row r="51">
      <c r="A51" s="34" t="n">
        <v>38</v>
      </c>
      <c r="B51" s="35" t="inlineStr">
        <is>
          <t xml:space="preserve">        Tubo PPR Agua Fría Ø75 mm / 2½" PN16 (4 m)</t>
        </is>
      </c>
      <c r="C51" s="36" t="inlineStr">
        <is>
          <t>Comercial / Industrial</t>
        </is>
      </c>
      <c r="D51" s="34" t="inlineStr">
        <is>
          <t>Tubería PPR PN16</t>
        </is>
      </c>
      <c r="E51" s="34" t="inlineStr">
        <is>
          <t>U</t>
        </is>
      </c>
      <c r="F51" s="37" t="n">
        <v>4</v>
      </c>
      <c r="G51" s="38" t="n">
        <v>59</v>
      </c>
      <c r="H51" s="38" t="n">
        <v>60.77</v>
      </c>
      <c r="I51" s="34" t="inlineStr">
        <is>
          <t>Megametales</t>
        </is>
      </c>
      <c r="J51" s="38" t="n">
        <v>64.31</v>
      </c>
      <c r="K51" s="34" t="inlineStr">
        <is>
          <t>Kywi / Megakywi</t>
        </is>
      </c>
      <c r="L51" s="39">
        <f>F51*G51</f>
        <v/>
      </c>
      <c r="M51" s="149" t="inlineStr">
        <is>
          <t>IS-D20-TAF-PPR-075</t>
        </is>
      </c>
      <c r="N51" s="34" t="inlineStr">
        <is>
          <t>Instalaciones sanitarias (hidrosanitarias)</t>
        </is>
      </c>
      <c r="O51" s="34" t="inlineStr">
        <is>
          <t>Estimado DION · criterio de mercado Guayaquil 2026 (no verificado en tienda)</t>
        </is>
      </c>
      <c r="P51" s="34" t="inlineStr">
        <is>
          <t>oct-2026 (est.)</t>
        </is>
      </c>
      <c r="Q51" s="34" t="n">
        <v>5</v>
      </c>
    </row>
    <row r="52">
      <c r="A52" s="18" t="n">
        <v>39</v>
      </c>
      <c r="B52" s="19" t="inlineStr">
        <is>
          <t xml:space="preserve">        Tubo PPR Agua Fría Ø90 mm / 3" PN16 (4 m)</t>
        </is>
      </c>
      <c r="C52" s="20" t="inlineStr">
        <is>
          <t>Comercial / Industrial</t>
        </is>
      </c>
      <c r="D52" s="18" t="inlineStr">
        <is>
          <t>Tubería PPR PN16</t>
        </is>
      </c>
      <c r="E52" s="18" t="inlineStr">
        <is>
          <t>U</t>
        </is>
      </c>
      <c r="F52" s="21" t="n">
        <v>4</v>
      </c>
      <c r="G52" s="22" t="n">
        <v>86</v>
      </c>
      <c r="H52" s="22" t="n">
        <v>89.44</v>
      </c>
      <c r="I52" s="18" t="inlineStr">
        <is>
          <t>Megametales</t>
        </is>
      </c>
      <c r="J52" s="22" t="n">
        <v>93.73999999999999</v>
      </c>
      <c r="K52" s="18" t="inlineStr">
        <is>
          <t>Ferrisariato</t>
        </is>
      </c>
      <c r="L52" s="8">
        <f>F52*G52</f>
        <v/>
      </c>
      <c r="M52" s="145" t="inlineStr">
        <is>
          <t>IS-D20-TAF-PPR-090</t>
        </is>
      </c>
      <c r="N52" s="18" t="inlineStr">
        <is>
          <t>Instalaciones sanitarias (hidrosanitarias)</t>
        </is>
      </c>
      <c r="O52" s="18" t="inlineStr">
        <is>
          <t>Estimado DION · criterio de mercado Guayaquil 2026 (no verificado en tienda)</t>
        </is>
      </c>
      <c r="P52" s="18" t="inlineStr">
        <is>
          <t>oct-2026 (est.)</t>
        </is>
      </c>
      <c r="Q52" s="18" t="n">
        <v>5</v>
      </c>
    </row>
    <row r="53">
      <c r="A53" s="34" t="n">
        <v>40</v>
      </c>
      <c r="B53" s="35" t="inlineStr">
        <is>
          <t xml:space="preserve">        Tubo PPR Agua Fría Ø110 mm / 4" PN16 (4 m)</t>
        </is>
      </c>
      <c r="C53" s="36" t="inlineStr">
        <is>
          <t>Comercial / Industrial</t>
        </is>
      </c>
      <c r="D53" s="34" t="inlineStr">
        <is>
          <t>Tubería PPR PN16</t>
        </is>
      </c>
      <c r="E53" s="34" t="inlineStr">
        <is>
          <t>U</t>
        </is>
      </c>
      <c r="F53" s="37" t="n">
        <v>4</v>
      </c>
      <c r="G53" s="38" t="n">
        <v>128</v>
      </c>
      <c r="H53" s="38" t="n">
        <v>134.4</v>
      </c>
      <c r="I53" s="34" t="inlineStr">
        <is>
          <t>Megametales</t>
        </is>
      </c>
      <c r="J53" s="38" t="n">
        <v>142.08</v>
      </c>
      <c r="K53" s="34" t="inlineStr">
        <is>
          <t>Kywi / Megakywi</t>
        </is>
      </c>
      <c r="L53" s="39">
        <f>F53*G53</f>
        <v/>
      </c>
      <c r="M53" s="149" t="inlineStr">
        <is>
          <t>IS-D20-TAF-PPR-110</t>
        </is>
      </c>
      <c r="N53" s="34" t="inlineStr">
        <is>
          <t>Instalaciones sanitarias (hidrosanitarias)</t>
        </is>
      </c>
      <c r="O53" s="34" t="inlineStr">
        <is>
          <t>Estimado DION · criterio de mercado Guayaquil 2026 (no verificado en tienda)</t>
        </is>
      </c>
      <c r="P53" s="34" t="inlineStr">
        <is>
          <t>oct-2026 (est.)</t>
        </is>
      </c>
      <c r="Q53" s="34" t="n">
        <v>5</v>
      </c>
    </row>
    <row r="54">
      <c r="A54" s="18" t="n">
        <v>41</v>
      </c>
      <c r="B54" s="19" t="inlineStr">
        <is>
          <t xml:space="preserve">        Tubo Hierro Galvanizado Cédula 40 ½" (6 m)</t>
        </is>
      </c>
      <c r="C54" s="20" t="inlineStr">
        <is>
          <t>Comercial / Industrial</t>
        </is>
      </c>
      <c r="D54" s="18" t="inlineStr">
        <is>
          <t>Tubería HG</t>
        </is>
      </c>
      <c r="E54" s="18" t="inlineStr">
        <is>
          <t>U</t>
        </is>
      </c>
      <c r="F54" s="21" t="n">
        <v>4</v>
      </c>
      <c r="G54" s="22" t="n">
        <v>18.5</v>
      </c>
      <c r="H54" s="22" t="n">
        <v>18.87</v>
      </c>
      <c r="I54" s="18" t="inlineStr">
        <is>
          <t>Megametales</t>
        </is>
      </c>
      <c r="J54" s="22" t="n">
        <v>20.35</v>
      </c>
      <c r="K54" s="18" t="inlineStr">
        <is>
          <t>Ferrisariato</t>
        </is>
      </c>
      <c r="L54" s="8">
        <f>F54*G54</f>
        <v/>
      </c>
      <c r="M54" s="145" t="inlineStr">
        <is>
          <t>IS-D20-TAF-HG-DN15</t>
        </is>
      </c>
      <c r="N54" s="18" t="inlineStr">
        <is>
          <t>Instalaciones sanitarias (hidrosanitarias)</t>
        </is>
      </c>
      <c r="O54" s="18" t="inlineStr">
        <is>
          <t>Estimado DION · criterio de mercado Guayaquil 2026 (no verificado en tienda)</t>
        </is>
      </c>
      <c r="P54" s="18" t="inlineStr">
        <is>
          <t>oct-2026 (est.)</t>
        </is>
      </c>
      <c r="Q54" s="18" t="n">
        <v>5</v>
      </c>
    </row>
    <row r="55">
      <c r="A55" s="34" t="n">
        <v>42</v>
      </c>
      <c r="B55" s="35" t="inlineStr">
        <is>
          <t xml:space="preserve">        Tubo Hierro Galvanizado Cédula 40 ¾" (6 m)</t>
        </is>
      </c>
      <c r="C55" s="36" t="inlineStr">
        <is>
          <t>Comercial / Industrial</t>
        </is>
      </c>
      <c r="D55" s="34" t="inlineStr">
        <is>
          <t>Tubería HG</t>
        </is>
      </c>
      <c r="E55" s="34" t="inlineStr">
        <is>
          <t>U</t>
        </is>
      </c>
      <c r="F55" s="37" t="n">
        <v>4</v>
      </c>
      <c r="G55" s="38" t="n">
        <v>23.5</v>
      </c>
      <c r="H55" s="38" t="n">
        <v>24.21</v>
      </c>
      <c r="I55" s="34" t="inlineStr">
        <is>
          <t>Megametales</t>
        </is>
      </c>
      <c r="J55" s="38" t="n">
        <v>25.62</v>
      </c>
      <c r="K55" s="34" t="inlineStr">
        <is>
          <t>Kywi / Megakywi</t>
        </is>
      </c>
      <c r="L55" s="39">
        <f>F55*G55</f>
        <v/>
      </c>
      <c r="M55" s="149" t="inlineStr">
        <is>
          <t>IS-D20-TAF-HG-DN20</t>
        </is>
      </c>
      <c r="N55" s="34" t="inlineStr">
        <is>
          <t>Instalaciones sanitarias (hidrosanitarias)</t>
        </is>
      </c>
      <c r="O55" s="34" t="inlineStr">
        <is>
          <t>Estimado DION · criterio de mercado Guayaquil 2026 (no verificado en tienda)</t>
        </is>
      </c>
      <c r="P55" s="34" t="inlineStr">
        <is>
          <t>oct-2026 (est.)</t>
        </is>
      </c>
      <c r="Q55" s="34" t="n">
        <v>5</v>
      </c>
    </row>
    <row r="56">
      <c r="A56" s="18" t="n">
        <v>43</v>
      </c>
      <c r="B56" s="19" t="inlineStr">
        <is>
          <t xml:space="preserve">        Tubo Hierro Galvanizado Cédula 40 1" (6 m)</t>
        </is>
      </c>
      <c r="C56" s="20" t="inlineStr">
        <is>
          <t>Comercial / Industrial</t>
        </is>
      </c>
      <c r="D56" s="18" t="inlineStr">
        <is>
          <t>Tubería HG</t>
        </is>
      </c>
      <c r="E56" s="18" t="inlineStr">
        <is>
          <t>U</t>
        </is>
      </c>
      <c r="F56" s="21" t="n">
        <v>4</v>
      </c>
      <c r="G56" s="22" t="n">
        <v>33.5</v>
      </c>
      <c r="H56" s="22" t="n">
        <v>34.84</v>
      </c>
      <c r="I56" s="18" t="inlineStr">
        <is>
          <t>Megametales</t>
        </is>
      </c>
      <c r="J56" s="22" t="n">
        <v>35.84</v>
      </c>
      <c r="K56" s="18" t="inlineStr">
        <is>
          <t>Ferrisariato</t>
        </is>
      </c>
      <c r="L56" s="8">
        <f>F56*G56</f>
        <v/>
      </c>
      <c r="M56" s="145" t="inlineStr">
        <is>
          <t>IS-D20-TAF-HG-DN25</t>
        </is>
      </c>
      <c r="N56" s="18" t="inlineStr">
        <is>
          <t>Instalaciones sanitarias (hidrosanitarias)</t>
        </is>
      </c>
      <c r="O56" s="18" t="inlineStr">
        <is>
          <t>Estimado DION · criterio de mercado Guayaquil 2026 (no verificado en tienda)</t>
        </is>
      </c>
      <c r="P56" s="18" t="inlineStr">
        <is>
          <t>oct-2026 (est.)</t>
        </is>
      </c>
      <c r="Q56" s="18" t="n">
        <v>5</v>
      </c>
    </row>
    <row r="57">
      <c r="A57" s="34" t="n">
        <v>44</v>
      </c>
      <c r="B57" s="35" t="inlineStr">
        <is>
          <t xml:space="preserve">        Tubo Hierro Galvanizado Cédula 40 1¼" (6 m)</t>
        </is>
      </c>
      <c r="C57" s="36" t="inlineStr">
        <is>
          <t>Comercial / Industrial</t>
        </is>
      </c>
      <c r="D57" s="34" t="inlineStr">
        <is>
          <t>Tubería HG</t>
        </is>
      </c>
      <c r="E57" s="34" t="inlineStr">
        <is>
          <t>U</t>
        </is>
      </c>
      <c r="F57" s="37" t="n">
        <v>4</v>
      </c>
      <c r="G57" s="38" t="n">
        <v>44</v>
      </c>
      <c r="H57" s="38" t="n">
        <v>45.32</v>
      </c>
      <c r="I57" s="34" t="inlineStr">
        <is>
          <t>Megametales</t>
        </is>
      </c>
      <c r="J57" s="38" t="n">
        <v>48.4</v>
      </c>
      <c r="K57" s="34" t="inlineStr">
        <is>
          <t>Kywi / Megakywi</t>
        </is>
      </c>
      <c r="L57" s="39">
        <f>F57*G57</f>
        <v/>
      </c>
      <c r="M57" s="149" t="inlineStr">
        <is>
          <t>IS-D20-TAF-HG-DN32</t>
        </is>
      </c>
      <c r="N57" s="34" t="inlineStr">
        <is>
          <t>Instalaciones sanitarias (hidrosanitarias)</t>
        </is>
      </c>
      <c r="O57" s="34" t="inlineStr">
        <is>
          <t>Estimado DION · criterio de mercado Guayaquil 2026 (no verificado en tienda)</t>
        </is>
      </c>
      <c r="P57" s="34" t="inlineStr">
        <is>
          <t>oct-2026 (est.)</t>
        </is>
      </c>
      <c r="Q57" s="34" t="n">
        <v>5</v>
      </c>
    </row>
    <row r="58">
      <c r="A58" s="18" t="n">
        <v>45</v>
      </c>
      <c r="B58" s="19" t="inlineStr">
        <is>
          <t xml:space="preserve">        Tubo Hierro Galvanizado Cédula 40 1½" (6 m)</t>
        </is>
      </c>
      <c r="C58" s="20" t="inlineStr">
        <is>
          <t>Comercial / Industrial</t>
        </is>
      </c>
      <c r="D58" s="18" t="inlineStr">
        <is>
          <t>Tubería HG</t>
        </is>
      </c>
      <c r="E58" s="18" t="inlineStr">
        <is>
          <t>U</t>
        </is>
      </c>
      <c r="F58" s="21" t="n">
        <v>4</v>
      </c>
      <c r="G58" s="22" t="n">
        <v>52.5</v>
      </c>
      <c r="H58" s="22" t="n">
        <v>55.12</v>
      </c>
      <c r="I58" s="18" t="inlineStr">
        <is>
          <t>Megametales</t>
        </is>
      </c>
      <c r="J58" s="22" t="n">
        <v>56.18</v>
      </c>
      <c r="K58" s="18" t="inlineStr">
        <is>
          <t>Ferrisariato</t>
        </is>
      </c>
      <c r="L58" s="8">
        <f>F58*G58</f>
        <v/>
      </c>
      <c r="M58" s="145" t="inlineStr">
        <is>
          <t>IS-D20-TAF-HG-DN40</t>
        </is>
      </c>
      <c r="N58" s="18" t="inlineStr">
        <is>
          <t>Instalaciones sanitarias (hidrosanitarias)</t>
        </is>
      </c>
      <c r="O58" s="18" t="inlineStr">
        <is>
          <t>Estimado DION · criterio de mercado Guayaquil 2026 (no verificado en tienda)</t>
        </is>
      </c>
      <c r="P58" s="18" t="inlineStr">
        <is>
          <t>oct-2026 (est.)</t>
        </is>
      </c>
      <c r="Q58" s="18" t="n">
        <v>5</v>
      </c>
    </row>
    <row r="59">
      <c r="A59" s="34" t="n">
        <v>46</v>
      </c>
      <c r="B59" s="35" t="inlineStr">
        <is>
          <t xml:space="preserve">        Tubo Hierro Galvanizado Cédula 40 2" (6 m)</t>
        </is>
      </c>
      <c r="C59" s="36" t="inlineStr">
        <is>
          <t>Comercial / Industrial</t>
        </is>
      </c>
      <c r="D59" s="34" t="inlineStr">
        <is>
          <t>Tubería HG</t>
        </is>
      </c>
      <c r="E59" s="34" t="inlineStr">
        <is>
          <t>U</t>
        </is>
      </c>
      <c r="F59" s="37" t="n">
        <v>4</v>
      </c>
      <c r="G59" s="38" t="n">
        <v>71</v>
      </c>
      <c r="H59" s="38" t="n">
        <v>73.13</v>
      </c>
      <c r="I59" s="34" t="inlineStr">
        <is>
          <t>Megametales</t>
        </is>
      </c>
      <c r="J59" s="38" t="n">
        <v>78.81</v>
      </c>
      <c r="K59" s="34" t="inlineStr">
        <is>
          <t>Kywi / Megakywi</t>
        </is>
      </c>
      <c r="L59" s="39">
        <f>F59*G59</f>
        <v/>
      </c>
      <c r="M59" s="149" t="inlineStr">
        <is>
          <t>IS-D20-TAF-HG-DN50</t>
        </is>
      </c>
      <c r="N59" s="34" t="inlineStr">
        <is>
          <t>Instalaciones sanitarias (hidrosanitarias)</t>
        </is>
      </c>
      <c r="O59" s="34" t="inlineStr">
        <is>
          <t>Estimado DION · criterio de mercado Guayaquil 2026 (no verificado en tienda)</t>
        </is>
      </c>
      <c r="P59" s="34" t="inlineStr">
        <is>
          <t>oct-2026 (est.)</t>
        </is>
      </c>
      <c r="Q59" s="34" t="n">
        <v>5</v>
      </c>
    </row>
    <row r="60">
      <c r="A60" s="18" t="n">
        <v>47</v>
      </c>
      <c r="B60" s="19" t="inlineStr">
        <is>
          <t xml:space="preserve">        Tubo Hierro Galvanizado Cédula 40 2½" (6 m)</t>
        </is>
      </c>
      <c r="C60" s="20" t="inlineStr">
        <is>
          <t>Comercial / Industrial</t>
        </is>
      </c>
      <c r="D60" s="18" t="inlineStr">
        <is>
          <t>Tubería HG</t>
        </is>
      </c>
      <c r="E60" s="18" t="inlineStr">
        <is>
          <t>U</t>
        </is>
      </c>
      <c r="F60" s="21" t="n">
        <v>4</v>
      </c>
      <c r="G60" s="22" t="n">
        <v>112</v>
      </c>
      <c r="H60" s="22" t="n">
        <v>114.24</v>
      </c>
      <c r="I60" s="18" t="inlineStr">
        <is>
          <t>Megametales</t>
        </is>
      </c>
      <c r="J60" s="22" t="n">
        <v>120.96</v>
      </c>
      <c r="K60" s="18" t="inlineStr">
        <is>
          <t>Ferrisariato</t>
        </is>
      </c>
      <c r="L60" s="8">
        <f>F60*G60</f>
        <v/>
      </c>
      <c r="M60" s="145" t="inlineStr">
        <is>
          <t>IS-D20-TAF-HG-DN65</t>
        </is>
      </c>
      <c r="N60" s="18" t="inlineStr">
        <is>
          <t>Instalaciones sanitarias (hidrosanitarias)</t>
        </is>
      </c>
      <c r="O60" s="18" t="inlineStr">
        <is>
          <t>Estimado DION · criterio de mercado Guayaquil 2026 (no verificado en tienda)</t>
        </is>
      </c>
      <c r="P60" s="18" t="inlineStr">
        <is>
          <t>oct-2026 (est.)</t>
        </is>
      </c>
      <c r="Q60" s="18" t="n">
        <v>5</v>
      </c>
    </row>
    <row r="61">
      <c r="A61" s="34" t="n">
        <v>48</v>
      </c>
      <c r="B61" s="35" t="inlineStr">
        <is>
          <t xml:space="preserve">        Tubo Hierro Galvanizado Cédula 40 3" (6 m)</t>
        </is>
      </c>
      <c r="C61" s="36" t="inlineStr">
        <is>
          <t>Comercial / Industrial</t>
        </is>
      </c>
      <c r="D61" s="34" t="inlineStr">
        <is>
          <t>Tubería HG</t>
        </is>
      </c>
      <c r="E61" s="34" t="inlineStr">
        <is>
          <t>U</t>
        </is>
      </c>
      <c r="F61" s="37" t="n">
        <v>4</v>
      </c>
      <c r="G61" s="38" t="n">
        <v>142</v>
      </c>
      <c r="H61" s="38" t="n">
        <v>149.1</v>
      </c>
      <c r="I61" s="34" t="inlineStr">
        <is>
          <t>Megametales</t>
        </is>
      </c>
      <c r="J61" s="38" t="n">
        <v>157.62</v>
      </c>
      <c r="K61" s="34" t="inlineStr">
        <is>
          <t>Kywi / Megakywi</t>
        </is>
      </c>
      <c r="L61" s="39">
        <f>F61*G61</f>
        <v/>
      </c>
      <c r="M61" s="149" t="inlineStr">
        <is>
          <t>IS-D20-TAF-HG-DN80</t>
        </is>
      </c>
      <c r="N61" s="34" t="inlineStr">
        <is>
          <t>Instalaciones sanitarias (hidrosanitarias)</t>
        </is>
      </c>
      <c r="O61" s="34" t="inlineStr">
        <is>
          <t>Estimado DION · criterio de mercado Guayaquil 2026 (no verificado en tienda)</t>
        </is>
      </c>
      <c r="P61" s="34" t="inlineStr">
        <is>
          <t>oct-2026 (est.)</t>
        </is>
      </c>
      <c r="Q61" s="34" t="n">
        <v>5</v>
      </c>
    </row>
    <row r="62">
      <c r="A62" s="18" t="n">
        <v>49</v>
      </c>
      <c r="B62" s="19" t="inlineStr">
        <is>
          <t xml:space="preserve">        Tubo Hierro Galvanizado Cédula 40 4" (6 m)</t>
        </is>
      </c>
      <c r="C62" s="20" t="inlineStr">
        <is>
          <t>Comercial / Industrial</t>
        </is>
      </c>
      <c r="D62" s="18" t="inlineStr">
        <is>
          <t>Tubería HG</t>
        </is>
      </c>
      <c r="E62" s="18" t="inlineStr">
        <is>
          <t>U</t>
        </is>
      </c>
      <c r="F62" s="21" t="n">
        <v>4</v>
      </c>
      <c r="G62" s="22" t="n">
        <v>205</v>
      </c>
      <c r="H62" s="22" t="n">
        <v>215.25</v>
      </c>
      <c r="I62" s="18" t="inlineStr">
        <is>
          <t>Megametales</t>
        </is>
      </c>
      <c r="J62" s="22" t="n">
        <v>227.55</v>
      </c>
      <c r="K62" s="18" t="inlineStr">
        <is>
          <t>Ferrisariato</t>
        </is>
      </c>
      <c r="L62" s="8">
        <f>F62*G62</f>
        <v/>
      </c>
      <c r="M62" s="145" t="inlineStr">
        <is>
          <t>IS-D20-TAF-HG-DN100</t>
        </is>
      </c>
      <c r="N62" s="18" t="inlineStr">
        <is>
          <t>Instalaciones sanitarias (hidrosanitarias)</t>
        </is>
      </c>
      <c r="O62" s="18" t="inlineStr">
        <is>
          <t>Estimado DION · criterio de mercado Guayaquil 2026 (no verificado en tienda)</t>
        </is>
      </c>
      <c r="P62" s="18" t="inlineStr">
        <is>
          <t>oct-2026 (est.)</t>
        </is>
      </c>
      <c r="Q62" s="18" t="n">
        <v>5</v>
      </c>
    </row>
    <row r="63">
      <c r="A63" s="34" t="n">
        <v>50</v>
      </c>
      <c r="B63" s="35" t="inlineStr">
        <is>
          <t xml:space="preserve">        Tubería PEAD Polietileno PE100 Ø20 mm PN10 (m)</t>
        </is>
      </c>
      <c r="C63" s="36" t="inlineStr">
        <is>
          <t>Urbanización / Acometidas</t>
        </is>
      </c>
      <c r="D63" s="34" t="inlineStr">
        <is>
          <t>Tubería PEAD</t>
        </is>
      </c>
      <c r="E63" s="34" t="inlineStr">
        <is>
          <t>m</t>
        </is>
      </c>
      <c r="F63" s="37" t="n">
        <v>50</v>
      </c>
      <c r="G63" s="38" t="n">
        <v>0.58</v>
      </c>
      <c r="H63" s="38" t="n">
        <v>0.61</v>
      </c>
      <c r="I63" s="34" t="inlineStr">
        <is>
          <t>Megametales</t>
        </is>
      </c>
      <c r="J63" s="38" t="n">
        <v>0.64</v>
      </c>
      <c r="K63" s="34" t="inlineStr">
        <is>
          <t>Kywi / Megakywi</t>
        </is>
      </c>
      <c r="L63" s="39">
        <f>F63*G63</f>
        <v/>
      </c>
      <c r="M63" s="149" t="inlineStr">
        <is>
          <t>IS-D20-TAF-PEAD-020</t>
        </is>
      </c>
      <c r="N63" s="34" t="inlineStr">
        <is>
          <t>Instalaciones sanitarias (hidrosanitarias)</t>
        </is>
      </c>
      <c r="O63" s="34" t="inlineStr">
        <is>
          <t>Estimado DION · criterio de mercado Guayaquil 2026 (no verificado en tienda)</t>
        </is>
      </c>
      <c r="P63" s="34" t="inlineStr">
        <is>
          <t>oct-2026 (est.)</t>
        </is>
      </c>
      <c r="Q63" s="34" t="n">
        <v>3</v>
      </c>
    </row>
    <row r="64">
      <c r="A64" s="18" t="n">
        <v>51</v>
      </c>
      <c r="B64" s="19" t="inlineStr">
        <is>
          <t xml:space="preserve">        Tubería PEAD Polietileno PE100 Ø25 mm PN10 (m)</t>
        </is>
      </c>
      <c r="C64" s="20" t="inlineStr">
        <is>
          <t>Urbanización / Acometidas</t>
        </is>
      </c>
      <c r="D64" s="18" t="inlineStr">
        <is>
          <t>Tubería PEAD</t>
        </is>
      </c>
      <c r="E64" s="18" t="inlineStr">
        <is>
          <t>m</t>
        </is>
      </c>
      <c r="F64" s="21" t="n">
        <v>50</v>
      </c>
      <c r="G64" s="22" t="n">
        <v>0.82</v>
      </c>
      <c r="H64" s="22" t="n">
        <v>0.84</v>
      </c>
      <c r="I64" s="18" t="inlineStr">
        <is>
          <t>Megametales</t>
        </is>
      </c>
      <c r="J64" s="22" t="n">
        <v>0.9</v>
      </c>
      <c r="K64" s="18" t="inlineStr">
        <is>
          <t>Ferrisariato</t>
        </is>
      </c>
      <c r="L64" s="8">
        <f>F64*G64</f>
        <v/>
      </c>
      <c r="M64" s="145" t="inlineStr">
        <is>
          <t>IS-D20-TAF-PEAD-025</t>
        </is>
      </c>
      <c r="N64" s="18" t="inlineStr">
        <is>
          <t>Instalaciones sanitarias (hidrosanitarias)</t>
        </is>
      </c>
      <c r="O64" s="18" t="inlineStr">
        <is>
          <t>Estimado DION · criterio de mercado Guayaquil 2026 (no verificado en tienda)</t>
        </is>
      </c>
      <c r="P64" s="18" t="inlineStr">
        <is>
          <t>oct-2026 (est.)</t>
        </is>
      </c>
      <c r="Q64" s="18" t="n">
        <v>3</v>
      </c>
    </row>
    <row r="65">
      <c r="A65" s="34" t="n">
        <v>52</v>
      </c>
      <c r="B65" s="35" t="inlineStr">
        <is>
          <t xml:space="preserve">        Tubería PEAD Polietileno PE100 Ø32 mm PN10 (m)</t>
        </is>
      </c>
      <c r="C65" s="36" t="inlineStr">
        <is>
          <t>Urbanización / Acometidas</t>
        </is>
      </c>
      <c r="D65" s="34" t="inlineStr">
        <is>
          <t>Tubería PEAD</t>
        </is>
      </c>
      <c r="E65" s="34" t="inlineStr">
        <is>
          <t>m</t>
        </is>
      </c>
      <c r="F65" s="37" t="n">
        <v>50</v>
      </c>
      <c r="G65" s="38" t="n">
        <v>1.28</v>
      </c>
      <c r="H65" s="38" t="n">
        <v>1.31</v>
      </c>
      <c r="I65" s="34" t="inlineStr">
        <is>
          <t>Megametales</t>
        </is>
      </c>
      <c r="J65" s="38" t="n">
        <v>1.42</v>
      </c>
      <c r="K65" s="34" t="inlineStr">
        <is>
          <t>Kywi / Megakywi</t>
        </is>
      </c>
      <c r="L65" s="39">
        <f>F65*G65</f>
        <v/>
      </c>
      <c r="M65" s="149" t="inlineStr">
        <is>
          <t>IS-D20-TAF-PEAD-032</t>
        </is>
      </c>
      <c r="N65" s="34" t="inlineStr">
        <is>
          <t>Instalaciones sanitarias (hidrosanitarias)</t>
        </is>
      </c>
      <c r="O65" s="34" t="inlineStr">
        <is>
          <t>Estimado DION · criterio de mercado Guayaquil 2026 (no verificado en tienda)</t>
        </is>
      </c>
      <c r="P65" s="34" t="inlineStr">
        <is>
          <t>oct-2026 (est.)</t>
        </is>
      </c>
      <c r="Q65" s="34" t="n">
        <v>3</v>
      </c>
    </row>
    <row r="66">
      <c r="A66" s="18" t="n">
        <v>53</v>
      </c>
      <c r="B66" s="19" t="inlineStr">
        <is>
          <t xml:space="preserve">        Tubería PEAD Polietileno PE100 Ø40 mm PN10 (m)</t>
        </is>
      </c>
      <c r="C66" s="20" t="inlineStr">
        <is>
          <t>Urbanización / Acometidas</t>
        </is>
      </c>
      <c r="D66" s="18" t="inlineStr">
        <is>
          <t>Tubería PEAD</t>
        </is>
      </c>
      <c r="E66" s="18" t="inlineStr">
        <is>
          <t>m</t>
        </is>
      </c>
      <c r="F66" s="21" t="n">
        <v>50</v>
      </c>
      <c r="G66" s="22" t="n">
        <v>1.95</v>
      </c>
      <c r="H66" s="22" t="n">
        <v>2.01</v>
      </c>
      <c r="I66" s="18" t="inlineStr">
        <is>
          <t>Megametales</t>
        </is>
      </c>
      <c r="J66" s="22" t="n">
        <v>2.16</v>
      </c>
      <c r="K66" s="18" t="inlineStr">
        <is>
          <t>Ferrisariato</t>
        </is>
      </c>
      <c r="L66" s="8">
        <f>F66*G66</f>
        <v/>
      </c>
      <c r="M66" s="145" t="inlineStr">
        <is>
          <t>IS-D20-TAF-PEAD-040</t>
        </is>
      </c>
      <c r="N66" s="18" t="inlineStr">
        <is>
          <t>Instalaciones sanitarias (hidrosanitarias)</t>
        </is>
      </c>
      <c r="O66" s="18" t="inlineStr">
        <is>
          <t>Estimado DION · criterio de mercado Guayaquil 2026 (no verificado en tienda)</t>
        </is>
      </c>
      <c r="P66" s="18" t="inlineStr">
        <is>
          <t>oct-2026 (est.)</t>
        </is>
      </c>
      <c r="Q66" s="18" t="n">
        <v>3</v>
      </c>
    </row>
    <row r="67">
      <c r="A67" s="34" t="n">
        <v>54</v>
      </c>
      <c r="B67" s="35" t="inlineStr">
        <is>
          <t xml:space="preserve">        Tubería PEAD Polietileno PE100 Ø50 mm PN10 (m)</t>
        </is>
      </c>
      <c r="C67" s="36" t="inlineStr">
        <is>
          <t>Urbanización / Acometidas</t>
        </is>
      </c>
      <c r="D67" s="34" t="inlineStr">
        <is>
          <t>Tubería PEAD</t>
        </is>
      </c>
      <c r="E67" s="34" t="inlineStr">
        <is>
          <t>m</t>
        </is>
      </c>
      <c r="F67" s="37" t="n">
        <v>50</v>
      </c>
      <c r="G67" s="38" t="n">
        <v>2.95</v>
      </c>
      <c r="H67" s="38" t="n">
        <v>3.07</v>
      </c>
      <c r="I67" s="34" t="inlineStr">
        <is>
          <t>Megametales</t>
        </is>
      </c>
      <c r="J67" s="38" t="n">
        <v>3.19</v>
      </c>
      <c r="K67" s="34" t="inlineStr">
        <is>
          <t>Kywi / Megakywi</t>
        </is>
      </c>
      <c r="L67" s="39">
        <f>F67*G67</f>
        <v/>
      </c>
      <c r="M67" s="149" t="inlineStr">
        <is>
          <t>IS-D20-TAF-PEAD-050</t>
        </is>
      </c>
      <c r="N67" s="34" t="inlineStr">
        <is>
          <t>Instalaciones sanitarias (hidrosanitarias)</t>
        </is>
      </c>
      <c r="O67" s="34" t="inlineStr">
        <is>
          <t>Estimado DION · criterio de mercado Guayaquil 2026 (no verificado en tienda)</t>
        </is>
      </c>
      <c r="P67" s="34" t="inlineStr">
        <is>
          <t>oct-2026 (est.)</t>
        </is>
      </c>
      <c r="Q67" s="34" t="n">
        <v>3</v>
      </c>
    </row>
    <row r="68">
      <c r="A68" s="18" t="n">
        <v>55</v>
      </c>
      <c r="B68" s="19" t="inlineStr">
        <is>
          <t xml:space="preserve">        Tubería PEAD Polietileno PE100 Ø63 mm PN10 (m)</t>
        </is>
      </c>
      <c r="C68" s="20" t="inlineStr">
        <is>
          <t>Urbanización / Acometidas</t>
        </is>
      </c>
      <c r="D68" s="18" t="inlineStr">
        <is>
          <t>Tubería PEAD</t>
        </is>
      </c>
      <c r="E68" s="18" t="inlineStr">
        <is>
          <t>m</t>
        </is>
      </c>
      <c r="F68" s="21" t="n">
        <v>50</v>
      </c>
      <c r="G68" s="22" t="n">
        <v>4.7</v>
      </c>
      <c r="H68" s="22" t="n">
        <v>4.84</v>
      </c>
      <c r="I68" s="18" t="inlineStr">
        <is>
          <t>Megametales</t>
        </is>
      </c>
      <c r="J68" s="22" t="n">
        <v>5.03</v>
      </c>
      <c r="K68" s="18" t="inlineStr">
        <is>
          <t>Ferrisariato</t>
        </is>
      </c>
      <c r="L68" s="8">
        <f>F68*G68</f>
        <v/>
      </c>
      <c r="M68" s="145" t="inlineStr">
        <is>
          <t>IS-D20-TAF-PEAD-063</t>
        </is>
      </c>
      <c r="N68" s="18" t="inlineStr">
        <is>
          <t>Instalaciones sanitarias (hidrosanitarias)</t>
        </is>
      </c>
      <c r="O68" s="18" t="inlineStr">
        <is>
          <t>Estimado DION · criterio de mercado Guayaquil 2026 (no verificado en tienda)</t>
        </is>
      </c>
      <c r="P68" s="18" t="inlineStr">
        <is>
          <t>oct-2026 (est.)</t>
        </is>
      </c>
      <c r="Q68" s="18" t="n">
        <v>3</v>
      </c>
    </row>
    <row r="69">
      <c r="A69" s="34" t="n">
        <v>56</v>
      </c>
      <c r="B69" s="35" t="inlineStr">
        <is>
          <t xml:space="preserve">        Tubería PEAD Polietileno PE100 Ø90 mm PN10 (m)</t>
        </is>
      </c>
      <c r="C69" s="36" t="inlineStr">
        <is>
          <t>Urbanización / Acometidas</t>
        </is>
      </c>
      <c r="D69" s="34" t="inlineStr">
        <is>
          <t>Tubería PEAD</t>
        </is>
      </c>
      <c r="E69" s="34" t="inlineStr">
        <is>
          <t>m</t>
        </is>
      </c>
      <c r="F69" s="37" t="n">
        <v>50</v>
      </c>
      <c r="G69" s="38" t="n">
        <v>9.199999999999999</v>
      </c>
      <c r="H69" s="38" t="n">
        <v>9.57</v>
      </c>
      <c r="I69" s="34" t="inlineStr">
        <is>
          <t>Megametales</t>
        </is>
      </c>
      <c r="J69" s="38" t="n">
        <v>9.84</v>
      </c>
      <c r="K69" s="34" t="inlineStr">
        <is>
          <t>Kywi / Megakywi</t>
        </is>
      </c>
      <c r="L69" s="39">
        <f>F69*G69</f>
        <v/>
      </c>
      <c r="M69" s="149" t="inlineStr">
        <is>
          <t>IS-D20-TAF-PEAD-090</t>
        </is>
      </c>
      <c r="N69" s="34" t="inlineStr">
        <is>
          <t>Instalaciones sanitarias (hidrosanitarias)</t>
        </is>
      </c>
      <c r="O69" s="34" t="inlineStr">
        <is>
          <t>Estimado DION · criterio de mercado Guayaquil 2026 (no verificado en tienda)</t>
        </is>
      </c>
      <c r="P69" s="34" t="inlineStr">
        <is>
          <t>oct-2026 (est.)</t>
        </is>
      </c>
      <c r="Q69" s="34" t="n">
        <v>3</v>
      </c>
    </row>
    <row r="70">
      <c r="A70" s="18" t="n">
        <v>57</v>
      </c>
      <c r="B70" s="19" t="inlineStr">
        <is>
          <t xml:space="preserve">        Tubería PEAD Polietileno PE100 Ø110 mm PN10 (m)</t>
        </is>
      </c>
      <c r="C70" s="20" t="inlineStr">
        <is>
          <t>Urbanización / Acometidas</t>
        </is>
      </c>
      <c r="D70" s="18" t="inlineStr">
        <is>
          <t>Tubería PEAD</t>
        </is>
      </c>
      <c r="E70" s="18" t="inlineStr">
        <is>
          <t>m</t>
        </is>
      </c>
      <c r="F70" s="21" t="n">
        <v>50</v>
      </c>
      <c r="G70" s="22" t="n">
        <v>13.6</v>
      </c>
      <c r="H70" s="22" t="n">
        <v>13.87</v>
      </c>
      <c r="I70" s="18" t="inlineStr">
        <is>
          <t>Megametales</t>
        </is>
      </c>
      <c r="J70" s="22" t="n">
        <v>14.96</v>
      </c>
      <c r="K70" s="18" t="inlineStr">
        <is>
          <t>Ferrisariato</t>
        </is>
      </c>
      <c r="L70" s="8">
        <f>F70*G70</f>
        <v/>
      </c>
      <c r="M70" s="145" t="inlineStr">
        <is>
          <t>IS-D20-TAF-PEAD-110</t>
        </is>
      </c>
      <c r="N70" s="18" t="inlineStr">
        <is>
          <t>Instalaciones sanitarias (hidrosanitarias)</t>
        </is>
      </c>
      <c r="O70" s="18" t="inlineStr">
        <is>
          <t>Estimado DION · criterio de mercado Guayaquil 2026 (no verificado en tienda)</t>
        </is>
      </c>
      <c r="P70" s="18" t="inlineStr">
        <is>
          <t>oct-2026 (est.)</t>
        </is>
      </c>
      <c r="Q70" s="18" t="n">
        <v>3</v>
      </c>
    </row>
    <row r="71">
      <c r="A71" s="34" t="n">
        <v>58</v>
      </c>
      <c r="B71" s="35" t="inlineStr">
        <is>
          <t xml:space="preserve">        Tubería Cobre Tipo L ½" Agua (m)</t>
        </is>
      </c>
      <c r="C71" s="36" t="inlineStr">
        <is>
          <t>Comercial / Hospitalario</t>
        </is>
      </c>
      <c r="D71" s="34" t="inlineStr">
        <is>
          <t>Tubería Cobre</t>
        </is>
      </c>
      <c r="E71" s="34" t="inlineStr">
        <is>
          <t>m</t>
        </is>
      </c>
      <c r="F71" s="37" t="n">
        <v>10</v>
      </c>
      <c r="G71" s="38" t="n">
        <v>7.6</v>
      </c>
      <c r="H71" s="38" t="n">
        <v>7.98</v>
      </c>
      <c r="I71" s="34" t="inlineStr">
        <is>
          <t>Megametales</t>
        </is>
      </c>
      <c r="J71" s="38" t="n">
        <v>8.44</v>
      </c>
      <c r="K71" s="34" t="inlineStr">
        <is>
          <t>Kywi / Megakywi</t>
        </is>
      </c>
      <c r="L71" s="39">
        <f>F71*G71</f>
        <v/>
      </c>
      <c r="M71" s="149" t="inlineStr">
        <is>
          <t>IS-D20-TAF-COB-DN15</t>
        </is>
      </c>
      <c r="N71" s="34" t="inlineStr">
        <is>
          <t>Instalaciones sanitarias (hidrosanitarias)</t>
        </is>
      </c>
      <c r="O71" s="34" t="inlineStr">
        <is>
          <t>Estimado DION · criterio de mercado Guayaquil 2026 (no verificado en tienda)</t>
        </is>
      </c>
      <c r="P71" s="34" t="inlineStr">
        <is>
          <t>oct-2026 (est.)</t>
        </is>
      </c>
      <c r="Q71" s="34" t="n">
        <v>3</v>
      </c>
    </row>
    <row r="72">
      <c r="A72" s="18" t="n">
        <v>59</v>
      </c>
      <c r="B72" s="19" t="inlineStr">
        <is>
          <t xml:space="preserve">        Tubería Cobre Tipo L ¾" Agua (m)</t>
        </is>
      </c>
      <c r="C72" s="20" t="inlineStr">
        <is>
          <t>Comercial / Hospitalario</t>
        </is>
      </c>
      <c r="D72" s="18" t="inlineStr">
        <is>
          <t>Tubería Cobre</t>
        </is>
      </c>
      <c r="E72" s="18" t="inlineStr">
        <is>
          <t>m</t>
        </is>
      </c>
      <c r="F72" s="21" t="n">
        <v>10</v>
      </c>
      <c r="G72" s="22" t="n">
        <v>11.8</v>
      </c>
      <c r="H72" s="22" t="n">
        <v>12.27</v>
      </c>
      <c r="I72" s="18" t="inlineStr">
        <is>
          <t>Megametales</t>
        </is>
      </c>
      <c r="J72" s="22" t="n">
        <v>12.98</v>
      </c>
      <c r="K72" s="18" t="inlineStr">
        <is>
          <t>Ferrisariato</t>
        </is>
      </c>
      <c r="L72" s="8">
        <f>F72*G72</f>
        <v/>
      </c>
      <c r="M72" s="145" t="inlineStr">
        <is>
          <t>IS-D20-TAF-COB-DN20</t>
        </is>
      </c>
      <c r="N72" s="18" t="inlineStr">
        <is>
          <t>Instalaciones sanitarias (hidrosanitarias)</t>
        </is>
      </c>
      <c r="O72" s="18" t="inlineStr">
        <is>
          <t>Estimado DION · criterio de mercado Guayaquil 2026 (no verificado en tienda)</t>
        </is>
      </c>
      <c r="P72" s="18" t="inlineStr">
        <is>
          <t>oct-2026 (est.)</t>
        </is>
      </c>
      <c r="Q72" s="18" t="n">
        <v>3</v>
      </c>
    </row>
    <row r="73">
      <c r="A73" s="34" t="n">
        <v>60</v>
      </c>
      <c r="B73" s="35" t="inlineStr">
        <is>
          <t xml:space="preserve">        Tubería Cobre Tipo L 1" Agua (m)</t>
        </is>
      </c>
      <c r="C73" s="36" t="inlineStr">
        <is>
          <t>Comercial / Hospitalario</t>
        </is>
      </c>
      <c r="D73" s="34" t="inlineStr">
        <is>
          <t>Tubería Cobre</t>
        </is>
      </c>
      <c r="E73" s="34" t="inlineStr">
        <is>
          <t>m</t>
        </is>
      </c>
      <c r="F73" s="37" t="n">
        <v>10</v>
      </c>
      <c r="G73" s="38" t="n">
        <v>16.4</v>
      </c>
      <c r="H73" s="38" t="n">
        <v>16.73</v>
      </c>
      <c r="I73" s="34" t="inlineStr">
        <is>
          <t>Megametales</t>
        </is>
      </c>
      <c r="J73" s="38" t="n">
        <v>17.88</v>
      </c>
      <c r="K73" s="34" t="inlineStr">
        <is>
          <t>Kywi / Megakywi</t>
        </is>
      </c>
      <c r="L73" s="39">
        <f>F73*G73</f>
        <v/>
      </c>
      <c r="M73" s="149" t="inlineStr">
        <is>
          <t>IS-D20-TAF-COB-DN25</t>
        </is>
      </c>
      <c r="N73" s="34" t="inlineStr">
        <is>
          <t>Instalaciones sanitarias (hidrosanitarias)</t>
        </is>
      </c>
      <c r="O73" s="34" t="inlineStr">
        <is>
          <t>Estimado DION · criterio de mercado Guayaquil 2026 (no verificado en tienda)</t>
        </is>
      </c>
      <c r="P73" s="34" t="inlineStr">
        <is>
          <t>oct-2026 (est.)</t>
        </is>
      </c>
      <c r="Q73" s="34" t="n">
        <v>3</v>
      </c>
    </row>
    <row r="74">
      <c r="A74" s="18" t="n">
        <v>61</v>
      </c>
      <c r="B74" s="19" t="inlineStr">
        <is>
          <t xml:space="preserve">        Tubería Cobre Tipo L 1¼" Agua (m)</t>
        </is>
      </c>
      <c r="C74" s="20" t="inlineStr">
        <is>
          <t>Comercial / Hospitalario</t>
        </is>
      </c>
      <c r="D74" s="18" t="inlineStr">
        <is>
          <t>Tubería Cobre</t>
        </is>
      </c>
      <c r="E74" s="18" t="inlineStr">
        <is>
          <t>m</t>
        </is>
      </c>
      <c r="F74" s="21" t="n">
        <v>10</v>
      </c>
      <c r="G74" s="22" t="n">
        <v>23.5</v>
      </c>
      <c r="H74" s="22" t="n">
        <v>24.21</v>
      </c>
      <c r="I74" s="18" t="inlineStr">
        <is>
          <t>Megametales</t>
        </is>
      </c>
      <c r="J74" s="22" t="n">
        <v>25.38</v>
      </c>
      <c r="K74" s="18" t="inlineStr">
        <is>
          <t>Ferrisariato</t>
        </is>
      </c>
      <c r="L74" s="8">
        <f>F74*G74</f>
        <v/>
      </c>
      <c r="M74" s="145" t="inlineStr">
        <is>
          <t>IS-D20-TAF-COB-DN32</t>
        </is>
      </c>
      <c r="N74" s="18" t="inlineStr">
        <is>
          <t>Instalaciones sanitarias (hidrosanitarias)</t>
        </is>
      </c>
      <c r="O74" s="18" t="inlineStr">
        <is>
          <t>Estimado DION · criterio de mercado Guayaquil 2026 (no verificado en tienda)</t>
        </is>
      </c>
      <c r="P74" s="18" t="inlineStr">
        <is>
          <t>oct-2026 (est.)</t>
        </is>
      </c>
      <c r="Q74" s="18" t="n">
        <v>3</v>
      </c>
    </row>
    <row r="75">
      <c r="A75" s="34" t="n">
        <v>62</v>
      </c>
      <c r="B75" s="35" t="inlineStr">
        <is>
          <t xml:space="preserve">        Tubería Cobre Tipo L 1½" Agua (m)</t>
        </is>
      </c>
      <c r="C75" s="36" t="inlineStr">
        <is>
          <t>Comercial / Hospitalario</t>
        </is>
      </c>
      <c r="D75" s="34" t="inlineStr">
        <is>
          <t>Tubería Cobre</t>
        </is>
      </c>
      <c r="E75" s="34" t="inlineStr">
        <is>
          <t>m</t>
        </is>
      </c>
      <c r="F75" s="37" t="n">
        <v>10</v>
      </c>
      <c r="G75" s="38" t="n">
        <v>29.8</v>
      </c>
      <c r="H75" s="38" t="n">
        <v>30.69</v>
      </c>
      <c r="I75" s="34" t="inlineStr">
        <is>
          <t>Megametales</t>
        </is>
      </c>
      <c r="J75" s="38" t="n">
        <v>31.89</v>
      </c>
      <c r="K75" s="34" t="inlineStr">
        <is>
          <t>Kywi / Megakywi</t>
        </is>
      </c>
      <c r="L75" s="39">
        <f>F75*G75</f>
        <v/>
      </c>
      <c r="M75" s="149" t="inlineStr">
        <is>
          <t>IS-D20-TAF-COB-DN40</t>
        </is>
      </c>
      <c r="N75" s="34" t="inlineStr">
        <is>
          <t>Instalaciones sanitarias (hidrosanitarias)</t>
        </is>
      </c>
      <c r="O75" s="34" t="inlineStr">
        <is>
          <t>Estimado DION · criterio de mercado Guayaquil 2026 (no verificado en tienda)</t>
        </is>
      </c>
      <c r="P75" s="34" t="inlineStr">
        <is>
          <t>oct-2026 (est.)</t>
        </is>
      </c>
      <c r="Q75" s="34" t="n">
        <v>3</v>
      </c>
    </row>
    <row r="76">
      <c r="A76" s="18" t="n">
        <v>63</v>
      </c>
      <c r="B76" s="19" t="inlineStr">
        <is>
          <t xml:space="preserve">        Tubería Cobre Tipo L 2" Agua (m)</t>
        </is>
      </c>
      <c r="C76" s="20" t="inlineStr">
        <is>
          <t>Comercial / Hospitalario</t>
        </is>
      </c>
      <c r="D76" s="18" t="inlineStr">
        <is>
          <t>Tubería Cobre</t>
        </is>
      </c>
      <c r="E76" s="18" t="inlineStr">
        <is>
          <t>m</t>
        </is>
      </c>
      <c r="F76" s="21" t="n">
        <v>10</v>
      </c>
      <c r="G76" s="22" t="n">
        <v>46</v>
      </c>
      <c r="H76" s="22" t="n">
        <v>46.92</v>
      </c>
      <c r="I76" s="18" t="inlineStr">
        <is>
          <t>Megametales</t>
        </is>
      </c>
      <c r="J76" s="22" t="n">
        <v>49.68</v>
      </c>
      <c r="K76" s="18" t="inlineStr">
        <is>
          <t>Ferrisariato</t>
        </is>
      </c>
      <c r="L76" s="8">
        <f>F76*G76</f>
        <v/>
      </c>
      <c r="M76" s="145" t="inlineStr">
        <is>
          <t>IS-D20-TAF-COB-DN50</t>
        </is>
      </c>
      <c r="N76" s="18" t="inlineStr">
        <is>
          <t>Instalaciones sanitarias (hidrosanitarias)</t>
        </is>
      </c>
      <c r="O76" s="18" t="inlineStr">
        <is>
          <t>Estimado DION · criterio de mercado Guayaquil 2026 (no verificado en tienda)</t>
        </is>
      </c>
      <c r="P76" s="18" t="inlineStr">
        <is>
          <t>oct-2026 (est.)</t>
        </is>
      </c>
      <c r="Q76" s="18" t="n">
        <v>3</v>
      </c>
    </row>
    <row r="77">
      <c r="A77" s="31" t="inlineStr">
        <is>
          <t>EQUIPOS</t>
        </is>
      </c>
      <c r="B77" s="143" t="n"/>
      <c r="C77" s="143" t="n"/>
      <c r="D77" s="143" t="n"/>
      <c r="E77" s="143" t="n"/>
      <c r="F77" s="143" t="n"/>
      <c r="G77" s="143" t="n"/>
      <c r="H77" s="143" t="n"/>
      <c r="I77" s="143" t="n"/>
      <c r="J77" s="143" t="n"/>
      <c r="K77" s="143" t="n"/>
      <c r="L77" s="143" t="n"/>
      <c r="M77" s="143" t="n"/>
      <c r="N77" s="143" t="n"/>
      <c r="O77" s="143" t="n"/>
      <c r="P77" s="143" t="n"/>
      <c r="Q77" s="144" t="n"/>
    </row>
    <row r="78">
      <c r="A78" s="32" t="inlineStr">
        <is>
          <t xml:space="preserve">  ► CATEGORÍA: BOMBAS PRESURIZADORAS, CENTRÍFUGAS Y TANQUES</t>
        </is>
      </c>
      <c r="B78" s="143" t="n"/>
      <c r="C78" s="143" t="n"/>
      <c r="D78" s="143" t="n"/>
      <c r="E78" s="143" t="n"/>
      <c r="F78" s="143" t="n"/>
      <c r="G78" s="143" t="n"/>
      <c r="H78" s="143" t="n"/>
      <c r="I78" s="143" t="n"/>
      <c r="J78" s="143" t="n"/>
      <c r="K78" s="143" t="n"/>
      <c r="L78" s="143" t="n"/>
      <c r="M78" s="143" t="n"/>
      <c r="N78" s="143" t="n"/>
      <c r="O78" s="143" t="n"/>
      <c r="P78" s="143" t="n"/>
      <c r="Q78" s="144" t="n"/>
    </row>
    <row r="79">
      <c r="A79" s="33" t="inlineStr">
        <is>
          <t xml:space="preserve">      • Subcategoría Especificada: Presurización y Almacenamiento</t>
        </is>
      </c>
      <c r="B79" s="143" t="n"/>
      <c r="C79" s="143" t="n"/>
      <c r="D79" s="143" t="n"/>
      <c r="E79" s="143" t="n"/>
      <c r="F79" s="143" t="n"/>
      <c r="G79" s="143" t="n"/>
      <c r="H79" s="143" t="n"/>
      <c r="I79" s="143" t="n"/>
      <c r="J79" s="143" t="n"/>
      <c r="K79" s="143" t="n"/>
      <c r="L79" s="143" t="n"/>
      <c r="M79" s="143" t="n"/>
      <c r="N79" s="143" t="n"/>
      <c r="O79" s="143" t="n"/>
      <c r="P79" s="143" t="n"/>
      <c r="Q79" s="144" t="n"/>
    </row>
    <row r="80">
      <c r="A80" s="34" t="n">
        <v>64</v>
      </c>
      <c r="B80" s="35" t="inlineStr">
        <is>
          <t xml:space="preserve">        Bomba Presurizadora de Agua Potable 0.75 HP Auto</t>
        </is>
      </c>
      <c r="C80" s="36" t="inlineStr">
        <is>
          <t>Residencial / Comercial</t>
        </is>
      </c>
      <c r="D80" s="34" t="inlineStr">
        <is>
          <t>Bombas Presión</t>
        </is>
      </c>
      <c r="E80" s="34" t="inlineStr">
        <is>
          <t>U</t>
        </is>
      </c>
      <c r="F80" s="37" t="n">
        <v>1</v>
      </c>
      <c r="G80" s="38" t="n">
        <v>165</v>
      </c>
      <c r="H80" s="38" t="n">
        <v>168</v>
      </c>
      <c r="I80" s="34" t="inlineStr">
        <is>
          <t>Megametales</t>
        </is>
      </c>
      <c r="J80" s="38" t="n">
        <v>178</v>
      </c>
      <c r="K80" s="34" t="inlineStr">
        <is>
          <t>Ferrisariato</t>
        </is>
      </c>
      <c r="L80" s="39">
        <f>F80*G80</f>
        <v/>
      </c>
      <c r="M80" s="149" t="inlineStr">
        <is>
          <t>IS-D20-BOM-CEN-0P75HP</t>
        </is>
      </c>
      <c r="N80" s="34" t="inlineStr">
        <is>
          <t>Instalaciones sanitarias (hidrosanitarias)</t>
        </is>
      </c>
      <c r="O80" s="34" t="inlineStr">
        <is>
          <t>Estimado · base original del usuario (sin cotización verificada)</t>
        </is>
      </c>
      <c r="P80" s="34" t="inlineStr">
        <is>
          <t>oct-2026 (est.)</t>
        </is>
      </c>
      <c r="Q80" s="34" t="n"/>
    </row>
    <row r="81">
      <c r="A81" s="18" t="n">
        <v>65</v>
      </c>
      <c r="B81" s="19" t="inlineStr">
        <is>
          <t xml:space="preserve">        Bomba Centrifuga de Agua Potable 1.5 HP Monofásica</t>
        </is>
      </c>
      <c r="C81" s="20" t="inlineStr">
        <is>
          <t>Residencial / Comercial</t>
        </is>
      </c>
      <c r="D81" s="18" t="inlineStr">
        <is>
          <t>Bombas Centrífugas</t>
        </is>
      </c>
      <c r="E81" s="18" t="inlineStr">
        <is>
          <t>U</t>
        </is>
      </c>
      <c r="F81" s="21" t="n">
        <v>1</v>
      </c>
      <c r="G81" s="22" t="n">
        <v>210</v>
      </c>
      <c r="H81" s="22" t="n">
        <v>218</v>
      </c>
      <c r="I81" s="18" t="inlineStr">
        <is>
          <t>Megametales</t>
        </is>
      </c>
      <c r="J81" s="22" t="n">
        <v>230</v>
      </c>
      <c r="K81" s="18" t="inlineStr">
        <is>
          <t>Kywi / Megakywi</t>
        </is>
      </c>
      <c r="L81" s="8">
        <f>F81*G81</f>
        <v/>
      </c>
      <c r="M81" s="145" t="inlineStr">
        <is>
          <t>IS-D20-BOM-CEN-1P5HP</t>
        </is>
      </c>
      <c r="N81" s="18" t="inlineStr">
        <is>
          <t>Instalaciones sanitarias (hidrosanitarias)</t>
        </is>
      </c>
      <c r="O81" s="18" t="inlineStr">
        <is>
          <t>Estimado · base original del usuario (sin cotización verificada)</t>
        </is>
      </c>
      <c r="P81" s="18" t="inlineStr">
        <is>
          <t>oct-2026 (est.)</t>
        </is>
      </c>
      <c r="Q81" s="18" t="n"/>
    </row>
    <row r="82">
      <c r="A82" s="34" t="n">
        <v>66</v>
      </c>
      <c r="B82" s="35" t="inlineStr">
        <is>
          <t xml:space="preserve">        Tanque de Presión Hidroneumático Membrana 24L / 100L</t>
        </is>
      </c>
      <c r="C82" s="36" t="inlineStr">
        <is>
          <t>Residencial / Comercial</t>
        </is>
      </c>
      <c r="D82" s="34" t="inlineStr">
        <is>
          <t>Tanques Presión</t>
        </is>
      </c>
      <c r="E82" s="34" t="inlineStr">
        <is>
          <t>U</t>
        </is>
      </c>
      <c r="F82" s="37" t="n">
        <v>1</v>
      </c>
      <c r="G82" s="38" t="n">
        <v>85</v>
      </c>
      <c r="H82" s="38" t="n">
        <v>88</v>
      </c>
      <c r="I82" s="34" t="inlineStr">
        <is>
          <t>Megametales</t>
        </is>
      </c>
      <c r="J82" s="38" t="n">
        <v>94</v>
      </c>
      <c r="K82" s="34" t="inlineStr">
        <is>
          <t>Kywi / Megakywi</t>
        </is>
      </c>
      <c r="L82" s="39">
        <f>F82*G82</f>
        <v/>
      </c>
      <c r="M82" s="149" t="inlineStr">
        <is>
          <t>IS-D20-HID-020G</t>
        </is>
      </c>
      <c r="N82" s="34" t="inlineStr">
        <is>
          <t>Instalaciones sanitarias (hidrosanitarias)</t>
        </is>
      </c>
      <c r="O82" s="34" t="inlineStr">
        <is>
          <t>Estimado · base original del usuario (sin cotización verificada)</t>
        </is>
      </c>
      <c r="P82" s="34" t="inlineStr">
        <is>
          <t>oct-2026 (est.)</t>
        </is>
      </c>
      <c r="Q82" s="34" t="n"/>
    </row>
    <row r="83">
      <c r="A83" s="18" t="n">
        <v>67</v>
      </c>
      <c r="B83" s="19" t="inlineStr">
        <is>
          <t xml:space="preserve">        Equipo Bivalente Bomba + Hidroneumático 2 HP Dúplex</t>
        </is>
      </c>
      <c r="C83" s="20" t="inlineStr">
        <is>
          <t>Comercial / Edificios</t>
        </is>
      </c>
      <c r="D83" s="18" t="inlineStr">
        <is>
          <t>Equipos Dúplex</t>
        </is>
      </c>
      <c r="E83" s="18" t="inlineStr">
        <is>
          <t>Juego</t>
        </is>
      </c>
      <c r="F83" s="21" t="n">
        <v>1</v>
      </c>
      <c r="G83" s="22" t="n">
        <v>850</v>
      </c>
      <c r="H83" s="22" t="n">
        <v>875</v>
      </c>
      <c r="I83" s="18" t="inlineStr">
        <is>
          <t>Megametales</t>
        </is>
      </c>
      <c r="J83" s="22" t="n">
        <v>920</v>
      </c>
      <c r="K83" s="18" t="inlineStr">
        <is>
          <t>Kywi / Megakywi</t>
        </is>
      </c>
      <c r="L83" s="8">
        <f>F83*G83</f>
        <v/>
      </c>
      <c r="M83" s="145" t="inlineStr">
        <is>
          <t>IS-D20-BOM-PCV-2X2HP</t>
        </is>
      </c>
      <c r="N83" s="18" t="inlineStr">
        <is>
          <t>Instalaciones sanitarias (hidrosanitarias)</t>
        </is>
      </c>
      <c r="O83" s="18" t="inlineStr">
        <is>
          <t>Estimado · base original del usuario (sin cotización verificada)</t>
        </is>
      </c>
      <c r="P83" s="18" t="inlineStr">
        <is>
          <t>oct-2026 (est.)</t>
        </is>
      </c>
      <c r="Q83" s="18" t="n"/>
    </row>
    <row r="84">
      <c r="A84" s="34" t="n">
        <v>68</v>
      </c>
      <c r="B84" s="35" t="inlineStr">
        <is>
          <t xml:space="preserve">        Tanque de Reserva Plástico Polietileno 1000L Limpia</t>
        </is>
      </c>
      <c r="C84" s="36" t="inlineStr">
        <is>
          <t>Residencial / Comercial</t>
        </is>
      </c>
      <c r="D84" s="34" t="inlineStr">
        <is>
          <t>Tanques Reserva</t>
        </is>
      </c>
      <c r="E84" s="34" t="inlineStr">
        <is>
          <t>U</t>
        </is>
      </c>
      <c r="F84" s="37" t="n">
        <v>1</v>
      </c>
      <c r="G84" s="38" t="n">
        <v>185</v>
      </c>
      <c r="H84" s="38" t="n">
        <v>192</v>
      </c>
      <c r="I84" s="34" t="inlineStr">
        <is>
          <t>Megametales</t>
        </is>
      </c>
      <c r="J84" s="38" t="n">
        <v>205</v>
      </c>
      <c r="K84" s="34" t="inlineStr">
        <is>
          <t>Ferrisariato</t>
        </is>
      </c>
      <c r="L84" s="39">
        <f>F84*G84</f>
        <v/>
      </c>
      <c r="M84" s="149" t="inlineStr">
        <is>
          <t>IS-D20-CIS-PLA-01000L</t>
        </is>
      </c>
      <c r="N84" s="34" t="inlineStr">
        <is>
          <t>Instalaciones sanitarias (hidrosanitarias)</t>
        </is>
      </c>
      <c r="O84" s="34" t="inlineStr">
        <is>
          <t>Estimado · base original del usuario (sin cotización verificada)</t>
        </is>
      </c>
      <c r="P84" s="34" t="inlineStr">
        <is>
          <t>oct-2026 (est.)</t>
        </is>
      </c>
      <c r="Q84" s="34" t="n"/>
    </row>
    <row r="85">
      <c r="A85" s="33" t="inlineStr">
        <is>
          <t xml:space="preserve">      • Subcategoría Especificada: Bombas por Potencia, Hidroneumáticos por Volumen, Tanques, Cisternas y Medidores</t>
        </is>
      </c>
      <c r="B85" s="143" t="n"/>
      <c r="C85" s="143" t="n"/>
      <c r="D85" s="143" t="n"/>
      <c r="E85" s="143" t="n"/>
      <c r="F85" s="143" t="n"/>
      <c r="G85" s="143" t="n"/>
      <c r="H85" s="143" t="n"/>
      <c r="I85" s="143" t="n"/>
      <c r="J85" s="143" t="n"/>
      <c r="K85" s="143" t="n"/>
      <c r="L85" s="143" t="n"/>
      <c r="M85" s="143" t="n"/>
      <c r="N85" s="143" t="n"/>
      <c r="O85" s="143" t="n"/>
      <c r="P85" s="143" t="n"/>
      <c r="Q85" s="144" t="n"/>
    </row>
    <row r="86">
      <c r="A86" s="18" t="n">
        <v>69</v>
      </c>
      <c r="B86" s="19" t="inlineStr">
        <is>
          <t xml:space="preserve">        Bomba Centrífuga Agua Potable 0.5 HP</t>
        </is>
      </c>
      <c r="C86" s="20" t="inlineStr">
        <is>
          <t>Residencial / Comercial</t>
        </is>
      </c>
      <c r="D86" s="18" t="inlineStr">
        <is>
          <t>Bombas Centrífugas</t>
        </is>
      </c>
      <c r="E86" s="18" t="inlineStr">
        <is>
          <t>U</t>
        </is>
      </c>
      <c r="F86" s="21" t="n">
        <v>1</v>
      </c>
      <c r="G86" s="22" t="n">
        <v>118</v>
      </c>
      <c r="H86" s="22" t="n">
        <v>120.36</v>
      </c>
      <c r="I86" s="18" t="inlineStr">
        <is>
          <t>Megametales</t>
        </is>
      </c>
      <c r="J86" s="22" t="n">
        <v>130.98</v>
      </c>
      <c r="K86" s="18" t="inlineStr">
        <is>
          <t>Ferrisariato</t>
        </is>
      </c>
      <c r="L86" s="8">
        <f>F86*G86</f>
        <v/>
      </c>
      <c r="M86" s="145" t="inlineStr">
        <is>
          <t>IS-D20-BOM-CEN-0P5HP</t>
        </is>
      </c>
      <c r="N86" s="18" t="inlineStr">
        <is>
          <t>Instalaciones sanitarias (hidrosanitarias)</t>
        </is>
      </c>
      <c r="O86" s="18" t="inlineStr">
        <is>
          <t>Estimado DION · criterio de mercado Guayaquil 2026 (no verificado en tienda)</t>
        </is>
      </c>
      <c r="P86" s="18" t="inlineStr">
        <is>
          <t>oct-2026 (est.)</t>
        </is>
      </c>
      <c r="Q86" s="18" t="n"/>
    </row>
    <row r="87">
      <c r="A87" s="34" t="n">
        <v>70</v>
      </c>
      <c r="B87" s="35" t="inlineStr">
        <is>
          <t xml:space="preserve">        Bomba Centrífuga Agua Potable 1 HP</t>
        </is>
      </c>
      <c r="C87" s="36" t="inlineStr">
        <is>
          <t>Residencial / Comercial</t>
        </is>
      </c>
      <c r="D87" s="34" t="inlineStr">
        <is>
          <t>Bombas Centrífugas</t>
        </is>
      </c>
      <c r="E87" s="34" t="inlineStr">
        <is>
          <t>U</t>
        </is>
      </c>
      <c r="F87" s="37" t="n">
        <v>1</v>
      </c>
      <c r="G87" s="38" t="n">
        <v>185</v>
      </c>
      <c r="H87" s="38" t="n">
        <v>192.4</v>
      </c>
      <c r="I87" s="34" t="inlineStr">
        <is>
          <t>Megametales</t>
        </is>
      </c>
      <c r="J87" s="38" t="n">
        <v>203.5</v>
      </c>
      <c r="K87" s="34" t="inlineStr">
        <is>
          <t>Kywi / Megakywi</t>
        </is>
      </c>
      <c r="L87" s="39">
        <f>F87*G87</f>
        <v/>
      </c>
      <c r="M87" s="149" t="inlineStr">
        <is>
          <t>IS-D20-BOM-CEN-1HP</t>
        </is>
      </c>
      <c r="N87" s="34" t="inlineStr">
        <is>
          <t>Instalaciones sanitarias (hidrosanitarias)</t>
        </is>
      </c>
      <c r="O87" s="34" t="inlineStr">
        <is>
          <t>Estimado DION · criterio de mercado Guayaquil 2026 (no verificado en tienda)</t>
        </is>
      </c>
      <c r="P87" s="34" t="inlineStr">
        <is>
          <t>oct-2026 (est.)</t>
        </is>
      </c>
      <c r="Q87" s="34" t="n"/>
    </row>
    <row r="88">
      <c r="A88" s="18" t="n">
        <v>71</v>
      </c>
      <c r="B88" s="19" t="inlineStr">
        <is>
          <t xml:space="preserve">        Bomba Centrífuga Agua Potable 2 HP</t>
        </is>
      </c>
      <c r="C88" s="20" t="inlineStr">
        <is>
          <t>Comercial / Industrial</t>
        </is>
      </c>
      <c r="D88" s="18" t="inlineStr">
        <is>
          <t>Bombas Centrífugas</t>
        </is>
      </c>
      <c r="E88" s="18" t="inlineStr">
        <is>
          <t>U</t>
        </is>
      </c>
      <c r="F88" s="21" t="n">
        <v>1</v>
      </c>
      <c r="G88" s="22" t="n">
        <v>295</v>
      </c>
      <c r="H88" s="22" t="n">
        <v>309.75</v>
      </c>
      <c r="I88" s="18" t="inlineStr">
        <is>
          <t>Megametales</t>
        </is>
      </c>
      <c r="J88" s="22" t="n">
        <v>315.65</v>
      </c>
      <c r="K88" s="18" t="inlineStr">
        <is>
          <t>Ferrisariato</t>
        </is>
      </c>
      <c r="L88" s="8">
        <f>F88*G88</f>
        <v/>
      </c>
      <c r="M88" s="145" t="inlineStr">
        <is>
          <t>IS-D20-BOM-CEN-2HP</t>
        </is>
      </c>
      <c r="N88" s="18" t="inlineStr">
        <is>
          <t>Instalaciones sanitarias (hidrosanitarias)</t>
        </is>
      </c>
      <c r="O88" s="18" t="inlineStr">
        <is>
          <t>Estimado DION · criterio de mercado Guayaquil 2026 (no verificado en tienda)</t>
        </is>
      </c>
      <c r="P88" s="18" t="inlineStr">
        <is>
          <t>oct-2026 (est.)</t>
        </is>
      </c>
      <c r="Q88" s="18" t="n"/>
    </row>
    <row r="89">
      <c r="A89" s="34" t="n">
        <v>72</v>
      </c>
      <c r="B89" s="35" t="inlineStr">
        <is>
          <t xml:space="preserve">        Bomba Centrífuga Agua Potable 3 HP</t>
        </is>
      </c>
      <c r="C89" s="36" t="inlineStr">
        <is>
          <t>Comercial / Industrial</t>
        </is>
      </c>
      <c r="D89" s="34" t="inlineStr">
        <is>
          <t>Bombas Centrífugas</t>
        </is>
      </c>
      <c r="E89" s="34" t="inlineStr">
        <is>
          <t>U</t>
        </is>
      </c>
      <c r="F89" s="37" t="n">
        <v>1</v>
      </c>
      <c r="G89" s="38" t="n">
        <v>420</v>
      </c>
      <c r="H89" s="38" t="n">
        <v>428.4</v>
      </c>
      <c r="I89" s="34" t="inlineStr">
        <is>
          <t>Megametales</t>
        </is>
      </c>
      <c r="J89" s="38" t="n">
        <v>453.6</v>
      </c>
      <c r="K89" s="34" t="inlineStr">
        <is>
          <t>Kywi / Megakywi</t>
        </is>
      </c>
      <c r="L89" s="39">
        <f>F89*G89</f>
        <v/>
      </c>
      <c r="M89" s="149" t="inlineStr">
        <is>
          <t>IS-D20-BOM-CEN-3HP</t>
        </is>
      </c>
      <c r="N89" s="34" t="inlineStr">
        <is>
          <t>Instalaciones sanitarias (hidrosanitarias)</t>
        </is>
      </c>
      <c r="O89" s="34" t="inlineStr">
        <is>
          <t>Estimado DION · criterio de mercado Guayaquil 2026 (no verificado en tienda)</t>
        </is>
      </c>
      <c r="P89" s="34" t="inlineStr">
        <is>
          <t>oct-2026 (est.)</t>
        </is>
      </c>
      <c r="Q89" s="34" t="n"/>
    </row>
    <row r="90">
      <c r="A90" s="18" t="n">
        <v>73</v>
      </c>
      <c r="B90" s="19" t="inlineStr">
        <is>
          <t xml:space="preserve">        Bomba Centrífuga Agua Potable 5 HP</t>
        </is>
      </c>
      <c r="C90" s="20" t="inlineStr">
        <is>
          <t>Comercial / Industrial</t>
        </is>
      </c>
      <c r="D90" s="18" t="inlineStr">
        <is>
          <t>Bombas Centrífugas</t>
        </is>
      </c>
      <c r="E90" s="18" t="inlineStr">
        <is>
          <t>U</t>
        </is>
      </c>
      <c r="F90" s="21" t="n">
        <v>0</v>
      </c>
      <c r="G90" s="22" t="n">
        <v>690</v>
      </c>
      <c r="H90" s="22" t="n">
        <v>717.6</v>
      </c>
      <c r="I90" s="18" t="inlineStr">
        <is>
          <t>Megametales</t>
        </is>
      </c>
      <c r="J90" s="22" t="n">
        <v>759</v>
      </c>
      <c r="K90" s="18" t="inlineStr">
        <is>
          <t>Ferrisariato</t>
        </is>
      </c>
      <c r="L90" s="8">
        <f>F90*G90</f>
        <v/>
      </c>
      <c r="M90" s="145" t="inlineStr">
        <is>
          <t>IS-D20-BOM-CEN-5HP</t>
        </is>
      </c>
      <c r="N90" s="18" t="inlineStr">
        <is>
          <t>Instalaciones sanitarias (hidrosanitarias)</t>
        </is>
      </c>
      <c r="O90" s="18" t="inlineStr">
        <is>
          <t>Estimado DION · criterio de mercado Guayaquil 2026 (no verificado en tienda)</t>
        </is>
      </c>
      <c r="P90" s="18" t="inlineStr">
        <is>
          <t>oct-2026 (est.)</t>
        </is>
      </c>
      <c r="Q90" s="18" t="n"/>
    </row>
    <row r="91">
      <c r="A91" s="34" t="n">
        <v>74</v>
      </c>
      <c r="B91" s="35" t="inlineStr">
        <is>
          <t xml:space="preserve">        Bomba Centrífuga Agua Potable 7.5 HP</t>
        </is>
      </c>
      <c r="C91" s="36" t="inlineStr">
        <is>
          <t>Comercial / Industrial</t>
        </is>
      </c>
      <c r="D91" s="34" t="inlineStr">
        <is>
          <t>Bombas Centrífugas</t>
        </is>
      </c>
      <c r="E91" s="34" t="inlineStr">
        <is>
          <t>U</t>
        </is>
      </c>
      <c r="F91" s="37" t="n">
        <v>0</v>
      </c>
      <c r="G91" s="38" t="n">
        <v>1050</v>
      </c>
      <c r="H91" s="38" t="n">
        <v>1071</v>
      </c>
      <c r="I91" s="34" t="inlineStr">
        <is>
          <t>Megametales</t>
        </is>
      </c>
      <c r="J91" s="38" t="n">
        <v>1134</v>
      </c>
      <c r="K91" s="34" t="inlineStr">
        <is>
          <t>Kywi / Megakywi</t>
        </is>
      </c>
      <c r="L91" s="39">
        <f>F91*G91</f>
        <v/>
      </c>
      <c r="M91" s="149" t="inlineStr">
        <is>
          <t>IS-D20-BOM-CEN-7P5HP</t>
        </is>
      </c>
      <c r="N91" s="34" t="inlineStr">
        <is>
          <t>Instalaciones sanitarias (hidrosanitarias)</t>
        </is>
      </c>
      <c r="O91" s="34" t="inlineStr">
        <is>
          <t>Estimado DION · criterio de mercado Guayaquil 2026 (no verificado en tienda)</t>
        </is>
      </c>
      <c r="P91" s="34" t="inlineStr">
        <is>
          <t>oct-2026 (est.)</t>
        </is>
      </c>
      <c r="Q91" s="34" t="n"/>
    </row>
    <row r="92">
      <c r="A92" s="18" t="n">
        <v>75</v>
      </c>
      <c r="B92" s="19" t="inlineStr">
        <is>
          <t xml:space="preserve">        Bomba Centrífuga Agua Potable 10 HP</t>
        </is>
      </c>
      <c r="C92" s="20" t="inlineStr">
        <is>
          <t>Comercial / Industrial</t>
        </is>
      </c>
      <c r="D92" s="18" t="inlineStr">
        <is>
          <t>Bombas Centrífugas</t>
        </is>
      </c>
      <c r="E92" s="18" t="inlineStr">
        <is>
          <t>U</t>
        </is>
      </c>
      <c r="F92" s="21" t="n">
        <v>0</v>
      </c>
      <c r="G92" s="22" t="n">
        <v>1450</v>
      </c>
      <c r="H92" s="22" t="n">
        <v>1522.5</v>
      </c>
      <c r="I92" s="18" t="inlineStr">
        <is>
          <t>Megametales</t>
        </is>
      </c>
      <c r="J92" s="22" t="n">
        <v>1580.5</v>
      </c>
      <c r="K92" s="18" t="inlineStr">
        <is>
          <t>Ferrisariato</t>
        </is>
      </c>
      <c r="L92" s="8">
        <f>F92*G92</f>
        <v/>
      </c>
      <c r="M92" s="145" t="inlineStr">
        <is>
          <t>IS-D20-BOM-CEN-10HP</t>
        </is>
      </c>
      <c r="N92" s="18" t="inlineStr">
        <is>
          <t>Instalaciones sanitarias (hidrosanitarias)</t>
        </is>
      </c>
      <c r="O92" s="18" t="inlineStr">
        <is>
          <t>Estimado DION · criterio de mercado Guayaquil 2026 (no verificado en tienda)</t>
        </is>
      </c>
      <c r="P92" s="18" t="inlineStr">
        <is>
          <t>oct-2026 (est.)</t>
        </is>
      </c>
      <c r="Q92" s="18" t="n"/>
    </row>
    <row r="93">
      <c r="A93" s="34" t="n">
        <v>76</v>
      </c>
      <c r="B93" s="35" t="inlineStr">
        <is>
          <t xml:space="preserve">        Equipo de Presión Constante Velocidad Variable 2x1 HP</t>
        </is>
      </c>
      <c r="C93" s="36" t="inlineStr">
        <is>
          <t>Comercial / Industrial</t>
        </is>
      </c>
      <c r="D93" s="34" t="inlineStr">
        <is>
          <t>Equipos Presión Constante</t>
        </is>
      </c>
      <c r="E93" s="34" t="inlineStr">
        <is>
          <t>Juego</t>
        </is>
      </c>
      <c r="F93" s="37" t="n">
        <v>0</v>
      </c>
      <c r="G93" s="38" t="n">
        <v>2650</v>
      </c>
      <c r="H93" s="38" t="n">
        <v>2782.5</v>
      </c>
      <c r="I93" s="34" t="inlineStr">
        <is>
          <t>Megametales</t>
        </is>
      </c>
      <c r="J93" s="38" t="n">
        <v>2915</v>
      </c>
      <c r="K93" s="34" t="inlineStr">
        <is>
          <t>Kywi / Megakywi</t>
        </is>
      </c>
      <c r="L93" s="39">
        <f>F93*G93</f>
        <v/>
      </c>
      <c r="M93" s="149" t="inlineStr">
        <is>
          <t>IS-D20-BOM-PCV-2X1HP</t>
        </is>
      </c>
      <c r="N93" s="34" t="inlineStr">
        <is>
          <t>Instalaciones sanitarias (hidrosanitarias)</t>
        </is>
      </c>
      <c r="O93" s="34" t="inlineStr">
        <is>
          <t>Estimado DION · criterio de mercado Guayaquil 2026 (no verificado en tienda)</t>
        </is>
      </c>
      <c r="P93" s="34" t="inlineStr">
        <is>
          <t>oct-2026 (est.)</t>
        </is>
      </c>
      <c r="Q93" s="34" t="n"/>
    </row>
    <row r="94">
      <c r="A94" s="18" t="n">
        <v>77</v>
      </c>
      <c r="B94" s="19" t="inlineStr">
        <is>
          <t xml:space="preserve">        Equipo de Presión Constante Velocidad Variable 2x3 HP</t>
        </is>
      </c>
      <c r="C94" s="20" t="inlineStr">
        <is>
          <t>Comercial / Industrial</t>
        </is>
      </c>
      <c r="D94" s="18" t="inlineStr">
        <is>
          <t>Equipos Presión Constante</t>
        </is>
      </c>
      <c r="E94" s="18" t="inlineStr">
        <is>
          <t>Juego</t>
        </is>
      </c>
      <c r="F94" s="21" t="n">
        <v>0</v>
      </c>
      <c r="G94" s="22" t="n">
        <v>4300</v>
      </c>
      <c r="H94" s="22" t="n">
        <v>4386</v>
      </c>
      <c r="I94" s="18" t="inlineStr">
        <is>
          <t>Megametales</t>
        </is>
      </c>
      <c r="J94" s="22" t="n">
        <v>4730</v>
      </c>
      <c r="K94" s="18" t="inlineStr">
        <is>
          <t>Ferrisariato</t>
        </is>
      </c>
      <c r="L94" s="8">
        <f>F94*G94</f>
        <v/>
      </c>
      <c r="M94" s="145" t="inlineStr">
        <is>
          <t>IS-D20-BOM-PCV-2X3HP</t>
        </is>
      </c>
      <c r="N94" s="18" t="inlineStr">
        <is>
          <t>Instalaciones sanitarias (hidrosanitarias)</t>
        </is>
      </c>
      <c r="O94" s="18" t="inlineStr">
        <is>
          <t>Estimado DION · criterio de mercado Guayaquil 2026 (no verificado en tienda)</t>
        </is>
      </c>
      <c r="P94" s="18" t="inlineStr">
        <is>
          <t>oct-2026 (est.)</t>
        </is>
      </c>
      <c r="Q94" s="18" t="n"/>
    </row>
    <row r="95">
      <c r="A95" s="34" t="n">
        <v>78</v>
      </c>
      <c r="B95" s="35" t="inlineStr">
        <is>
          <t xml:space="preserve">        Equipo de Presión Constante Velocidad Variable 2x5 HP</t>
        </is>
      </c>
      <c r="C95" s="36" t="inlineStr">
        <is>
          <t>Comercial / Industrial</t>
        </is>
      </c>
      <c r="D95" s="34" t="inlineStr">
        <is>
          <t>Equipos Presión Constante</t>
        </is>
      </c>
      <c r="E95" s="34" t="inlineStr">
        <is>
          <t>Juego</t>
        </is>
      </c>
      <c r="F95" s="37" t="n">
        <v>0</v>
      </c>
      <c r="G95" s="38" t="n">
        <v>5900</v>
      </c>
      <c r="H95" s="38" t="n">
        <v>6018</v>
      </c>
      <c r="I95" s="34" t="inlineStr">
        <is>
          <t>Megametales</t>
        </is>
      </c>
      <c r="J95" s="38" t="n">
        <v>6490</v>
      </c>
      <c r="K95" s="34" t="inlineStr">
        <is>
          <t>Kywi / Megakywi</t>
        </is>
      </c>
      <c r="L95" s="39">
        <f>F95*G95</f>
        <v/>
      </c>
      <c r="M95" s="149" t="inlineStr">
        <is>
          <t>IS-D20-BOM-PCV-2X5HP</t>
        </is>
      </c>
      <c r="N95" s="34" t="inlineStr">
        <is>
          <t>Instalaciones sanitarias (hidrosanitarias)</t>
        </is>
      </c>
      <c r="O95" s="34" t="inlineStr">
        <is>
          <t>Estimado DION · criterio de mercado Guayaquil 2026 (no verificado en tienda)</t>
        </is>
      </c>
      <c r="P95" s="34" t="inlineStr">
        <is>
          <t>oct-2026 (est.)</t>
        </is>
      </c>
      <c r="Q95" s="34" t="n"/>
    </row>
    <row r="96">
      <c r="A96" s="18" t="n">
        <v>79</v>
      </c>
      <c r="B96" s="19" t="inlineStr">
        <is>
          <t xml:space="preserve">        Equipo de Presión Constante Velocidad Variable 2x7.5 HP</t>
        </is>
      </c>
      <c r="C96" s="20" t="inlineStr">
        <is>
          <t>Comercial / Industrial</t>
        </is>
      </c>
      <c r="D96" s="18" t="inlineStr">
        <is>
          <t>Equipos Presión Constante</t>
        </is>
      </c>
      <c r="E96" s="18" t="inlineStr">
        <is>
          <t>Juego</t>
        </is>
      </c>
      <c r="F96" s="21" t="n">
        <v>0</v>
      </c>
      <c r="G96" s="22" t="n">
        <v>7800</v>
      </c>
      <c r="H96" s="22" t="n">
        <v>7956</v>
      </c>
      <c r="I96" s="18" t="inlineStr">
        <is>
          <t>Megametales</t>
        </is>
      </c>
      <c r="J96" s="22" t="n">
        <v>8658</v>
      </c>
      <c r="K96" s="18" t="inlineStr">
        <is>
          <t>Ferrisariato</t>
        </is>
      </c>
      <c r="L96" s="8">
        <f>F96*G96</f>
        <v/>
      </c>
      <c r="M96" s="145" t="inlineStr">
        <is>
          <t>IS-D20-BOM-PCV-2X7P5HP</t>
        </is>
      </c>
      <c r="N96" s="18" t="inlineStr">
        <is>
          <t>Instalaciones sanitarias (hidrosanitarias)</t>
        </is>
      </c>
      <c r="O96" s="18" t="inlineStr">
        <is>
          <t>Estimado DION · criterio de mercado Guayaquil 2026 (no verificado en tienda)</t>
        </is>
      </c>
      <c r="P96" s="18" t="inlineStr">
        <is>
          <t>oct-2026 (est.)</t>
        </is>
      </c>
      <c r="Q96" s="18" t="n"/>
    </row>
    <row r="97">
      <c r="A97" s="34" t="n">
        <v>80</v>
      </c>
      <c r="B97" s="35" t="inlineStr">
        <is>
          <t xml:space="preserve">        Bomba Periférica 0.5 HP</t>
        </is>
      </c>
      <c r="C97" s="36" t="inlineStr">
        <is>
          <t>Residencial / Comercial</t>
        </is>
      </c>
      <c r="D97" s="34" t="inlineStr">
        <is>
          <t>Bombas Periféricas</t>
        </is>
      </c>
      <c r="E97" s="34" t="inlineStr">
        <is>
          <t>U</t>
        </is>
      </c>
      <c r="F97" s="37" t="n">
        <v>1</v>
      </c>
      <c r="G97" s="38" t="n">
        <v>62</v>
      </c>
      <c r="H97" s="38" t="n">
        <v>63.86</v>
      </c>
      <c r="I97" s="34" t="inlineStr">
        <is>
          <t>Megametales</t>
        </is>
      </c>
      <c r="J97" s="38" t="n">
        <v>66.95999999999999</v>
      </c>
      <c r="K97" s="34" t="inlineStr">
        <is>
          <t>Kywi / Megakywi</t>
        </is>
      </c>
      <c r="L97" s="39">
        <f>F97*G97</f>
        <v/>
      </c>
      <c r="M97" s="149" t="inlineStr">
        <is>
          <t>IS-D20-BOM-PER-0P5HP</t>
        </is>
      </c>
      <c r="N97" s="34" t="inlineStr">
        <is>
          <t>Instalaciones sanitarias (hidrosanitarias)</t>
        </is>
      </c>
      <c r="O97" s="34" t="inlineStr">
        <is>
          <t>Estimado DION · criterio de mercado Guayaquil 2026 (no verificado en tienda)</t>
        </is>
      </c>
      <c r="P97" s="34" t="inlineStr">
        <is>
          <t>oct-2026 (est.)</t>
        </is>
      </c>
      <c r="Q97" s="34" t="n"/>
    </row>
    <row r="98">
      <c r="A98" s="18" t="n">
        <v>81</v>
      </c>
      <c r="B98" s="19" t="inlineStr">
        <is>
          <t xml:space="preserve">        Bomba Sumergible para Pozo/Cisterna 1 HP</t>
        </is>
      </c>
      <c r="C98" s="20" t="inlineStr">
        <is>
          <t>Residencial / Comercial</t>
        </is>
      </c>
      <c r="D98" s="18" t="inlineStr">
        <is>
          <t>Bombas Sumergibles</t>
        </is>
      </c>
      <c r="E98" s="18" t="inlineStr">
        <is>
          <t>U</t>
        </is>
      </c>
      <c r="F98" s="21" t="n">
        <v>1</v>
      </c>
      <c r="G98" s="22" t="n">
        <v>240</v>
      </c>
      <c r="H98" s="22" t="n">
        <v>244.8</v>
      </c>
      <c r="I98" s="18" t="inlineStr">
        <is>
          <t>Megametales</t>
        </is>
      </c>
      <c r="J98" s="22" t="n">
        <v>259.2</v>
      </c>
      <c r="K98" s="18" t="inlineStr">
        <is>
          <t>Ferrisariato</t>
        </is>
      </c>
      <c r="L98" s="8">
        <f>F98*G98</f>
        <v/>
      </c>
      <c r="M98" s="145" t="inlineStr">
        <is>
          <t>IS-D20-BOM-SUM-1HP</t>
        </is>
      </c>
      <c r="N98" s="18" t="inlineStr">
        <is>
          <t>Instalaciones sanitarias (hidrosanitarias)</t>
        </is>
      </c>
      <c r="O98" s="18" t="inlineStr">
        <is>
          <t>Estimado DION · criterio de mercado Guayaquil 2026 (no verificado en tienda)</t>
        </is>
      </c>
      <c r="P98" s="18" t="inlineStr">
        <is>
          <t>oct-2026 (est.)</t>
        </is>
      </c>
      <c r="Q98" s="18" t="n"/>
    </row>
    <row r="99">
      <c r="A99" s="34" t="n">
        <v>82</v>
      </c>
      <c r="B99" s="35" t="inlineStr">
        <is>
          <t xml:space="preserve">        Tanque Hidroneumático Membrana 36 gal</t>
        </is>
      </c>
      <c r="C99" s="36" t="inlineStr">
        <is>
          <t>Residencial / Comercial</t>
        </is>
      </c>
      <c r="D99" s="34" t="inlineStr">
        <is>
          <t>Tanques Presión</t>
        </is>
      </c>
      <c r="E99" s="34" t="inlineStr">
        <is>
          <t>U</t>
        </is>
      </c>
      <c r="F99" s="37" t="n">
        <v>1</v>
      </c>
      <c r="G99" s="38" t="n">
        <v>165</v>
      </c>
      <c r="H99" s="38" t="n">
        <v>173.25</v>
      </c>
      <c r="I99" s="34" t="inlineStr">
        <is>
          <t>Megametales</t>
        </is>
      </c>
      <c r="J99" s="38" t="n">
        <v>181.5</v>
      </c>
      <c r="K99" s="34" t="inlineStr">
        <is>
          <t>Kywi / Megakywi</t>
        </is>
      </c>
      <c r="L99" s="39">
        <f>F99*G99</f>
        <v/>
      </c>
      <c r="M99" s="149" t="inlineStr">
        <is>
          <t>IS-D20-HID-036G</t>
        </is>
      </c>
      <c r="N99" s="34" t="inlineStr">
        <is>
          <t>Instalaciones sanitarias (hidrosanitarias)</t>
        </is>
      </c>
      <c r="O99" s="34" t="inlineStr">
        <is>
          <t>Estimado DION · criterio de mercado Guayaquil 2026 (no verificado en tienda)</t>
        </is>
      </c>
      <c r="P99" s="34" t="inlineStr">
        <is>
          <t>oct-2026 (est.)</t>
        </is>
      </c>
      <c r="Q99" s="34" t="n"/>
    </row>
    <row r="100">
      <c r="A100" s="18" t="n">
        <v>83</v>
      </c>
      <c r="B100" s="19" t="inlineStr">
        <is>
          <t xml:space="preserve">        Tanque Hidroneumático Membrana 44 gal</t>
        </is>
      </c>
      <c r="C100" s="20" t="inlineStr">
        <is>
          <t>Residencial / Comercial</t>
        </is>
      </c>
      <c r="D100" s="18" t="inlineStr">
        <is>
          <t>Tanques Presión</t>
        </is>
      </c>
      <c r="E100" s="18" t="inlineStr">
        <is>
          <t>U</t>
        </is>
      </c>
      <c r="F100" s="21" t="n">
        <v>1</v>
      </c>
      <c r="G100" s="22" t="n">
        <v>215</v>
      </c>
      <c r="H100" s="22" t="n">
        <v>219.3</v>
      </c>
      <c r="I100" s="18" t="inlineStr">
        <is>
          <t>Megametales</t>
        </is>
      </c>
      <c r="J100" s="22" t="n">
        <v>238.65</v>
      </c>
      <c r="K100" s="18" t="inlineStr">
        <is>
          <t>Ferrisariato</t>
        </is>
      </c>
      <c r="L100" s="8">
        <f>F100*G100</f>
        <v/>
      </c>
      <c r="M100" s="145" t="inlineStr">
        <is>
          <t>IS-D20-HID-044G</t>
        </is>
      </c>
      <c r="N100" s="18" t="inlineStr">
        <is>
          <t>Instalaciones sanitarias (hidrosanitarias)</t>
        </is>
      </c>
      <c r="O100" s="18" t="inlineStr">
        <is>
          <t>Estimado DION · criterio de mercado Guayaquil 2026 (no verificado en tienda)</t>
        </is>
      </c>
      <c r="P100" s="18" t="inlineStr">
        <is>
          <t>oct-2026 (est.)</t>
        </is>
      </c>
      <c r="Q100" s="18" t="n"/>
    </row>
    <row r="101">
      <c r="A101" s="34" t="n">
        <v>84</v>
      </c>
      <c r="B101" s="35" t="inlineStr">
        <is>
          <t xml:space="preserve">        Tanque Hidroneumático Membrana 62 gal</t>
        </is>
      </c>
      <c r="C101" s="36" t="inlineStr">
        <is>
          <t>Comercial / Industrial</t>
        </is>
      </c>
      <c r="D101" s="34" t="inlineStr">
        <is>
          <t>Tanques Presión</t>
        </is>
      </c>
      <c r="E101" s="34" t="inlineStr">
        <is>
          <t>U</t>
        </is>
      </c>
      <c r="F101" s="37" t="n">
        <v>1</v>
      </c>
      <c r="G101" s="38" t="n">
        <v>320</v>
      </c>
      <c r="H101" s="38" t="n">
        <v>326.4</v>
      </c>
      <c r="I101" s="34" t="inlineStr">
        <is>
          <t>Megametales</t>
        </is>
      </c>
      <c r="J101" s="38" t="n">
        <v>342.4</v>
      </c>
      <c r="K101" s="34" t="inlineStr">
        <is>
          <t>Kywi / Megakywi</t>
        </is>
      </c>
      <c r="L101" s="39">
        <f>F101*G101</f>
        <v/>
      </c>
      <c r="M101" s="149" t="inlineStr">
        <is>
          <t>IS-D20-HID-062G</t>
        </is>
      </c>
      <c r="N101" s="34" t="inlineStr">
        <is>
          <t>Instalaciones sanitarias (hidrosanitarias)</t>
        </is>
      </c>
      <c r="O101" s="34" t="inlineStr">
        <is>
          <t>Estimado DION · criterio de mercado Guayaquil 2026 (no verificado en tienda)</t>
        </is>
      </c>
      <c r="P101" s="34" t="inlineStr">
        <is>
          <t>oct-2026 (est.)</t>
        </is>
      </c>
      <c r="Q101" s="34" t="n"/>
    </row>
    <row r="102">
      <c r="A102" s="18" t="n">
        <v>85</v>
      </c>
      <c r="B102" s="19" t="inlineStr">
        <is>
          <t xml:space="preserve">        Tanque Hidroneumático Membrana 80 gal</t>
        </is>
      </c>
      <c r="C102" s="20" t="inlineStr">
        <is>
          <t>Comercial / Industrial</t>
        </is>
      </c>
      <c r="D102" s="18" t="inlineStr">
        <is>
          <t>Tanques Presión</t>
        </is>
      </c>
      <c r="E102" s="18" t="inlineStr">
        <is>
          <t>U</t>
        </is>
      </c>
      <c r="F102" s="21" t="n">
        <v>1</v>
      </c>
      <c r="G102" s="22" t="n">
        <v>410</v>
      </c>
      <c r="H102" s="22" t="n">
        <v>426.4</v>
      </c>
      <c r="I102" s="18" t="inlineStr">
        <is>
          <t>Megametales</t>
        </is>
      </c>
      <c r="J102" s="22" t="n">
        <v>455.1</v>
      </c>
      <c r="K102" s="18" t="inlineStr">
        <is>
          <t>Ferrisariato</t>
        </is>
      </c>
      <c r="L102" s="8">
        <f>F102*G102</f>
        <v/>
      </c>
      <c r="M102" s="145" t="inlineStr">
        <is>
          <t>IS-D20-HID-080G</t>
        </is>
      </c>
      <c r="N102" s="18" t="inlineStr">
        <is>
          <t>Instalaciones sanitarias (hidrosanitarias)</t>
        </is>
      </c>
      <c r="O102" s="18" t="inlineStr">
        <is>
          <t>Estimado DION · criterio de mercado Guayaquil 2026 (no verificado en tienda)</t>
        </is>
      </c>
      <c r="P102" s="18" t="inlineStr">
        <is>
          <t>oct-2026 (est.)</t>
        </is>
      </c>
      <c r="Q102" s="18" t="n"/>
    </row>
    <row r="103">
      <c r="A103" s="34" t="n">
        <v>86</v>
      </c>
      <c r="B103" s="35" t="inlineStr">
        <is>
          <t xml:space="preserve">        Tanque Hidroneumático Membrana 119 gal</t>
        </is>
      </c>
      <c r="C103" s="36" t="inlineStr">
        <is>
          <t>Comercial / Industrial</t>
        </is>
      </c>
      <c r="D103" s="34" t="inlineStr">
        <is>
          <t>Tanques Presión</t>
        </is>
      </c>
      <c r="E103" s="34" t="inlineStr">
        <is>
          <t>U</t>
        </is>
      </c>
      <c r="F103" s="37" t="n">
        <v>0</v>
      </c>
      <c r="G103" s="38" t="n">
        <v>620</v>
      </c>
      <c r="H103" s="38" t="n">
        <v>632.4</v>
      </c>
      <c r="I103" s="34" t="inlineStr">
        <is>
          <t>Megametales</t>
        </is>
      </c>
      <c r="J103" s="38" t="n">
        <v>669.6</v>
      </c>
      <c r="K103" s="34" t="inlineStr">
        <is>
          <t>Kywi / Megakywi</t>
        </is>
      </c>
      <c r="L103" s="39">
        <f>F103*G103</f>
        <v/>
      </c>
      <c r="M103" s="149" t="inlineStr">
        <is>
          <t>IS-D20-HID-119G</t>
        </is>
      </c>
      <c r="N103" s="34" t="inlineStr">
        <is>
          <t>Instalaciones sanitarias (hidrosanitarias)</t>
        </is>
      </c>
      <c r="O103" s="34" t="inlineStr">
        <is>
          <t>Estimado DION · criterio de mercado Guayaquil 2026 (no verificado en tienda)</t>
        </is>
      </c>
      <c r="P103" s="34" t="inlineStr">
        <is>
          <t>oct-2026 (est.)</t>
        </is>
      </c>
      <c r="Q103" s="34" t="n"/>
    </row>
    <row r="104">
      <c r="A104" s="18" t="n">
        <v>87</v>
      </c>
      <c r="B104" s="19" t="inlineStr">
        <is>
          <t xml:space="preserve">        Tanque Hidroneumático Membrana 211 gal</t>
        </is>
      </c>
      <c r="C104" s="20" t="inlineStr">
        <is>
          <t>Comercial / Industrial</t>
        </is>
      </c>
      <c r="D104" s="18" t="inlineStr">
        <is>
          <t>Tanques Presión</t>
        </is>
      </c>
      <c r="E104" s="18" t="inlineStr">
        <is>
          <t>U</t>
        </is>
      </c>
      <c r="F104" s="21" t="n">
        <v>0</v>
      </c>
      <c r="G104" s="22" t="n">
        <v>1150</v>
      </c>
      <c r="H104" s="22" t="n">
        <v>1184.5</v>
      </c>
      <c r="I104" s="18" t="inlineStr">
        <is>
          <t>Megametales</t>
        </is>
      </c>
      <c r="J104" s="22" t="n">
        <v>1253.5</v>
      </c>
      <c r="K104" s="18" t="inlineStr">
        <is>
          <t>Ferrisariato</t>
        </is>
      </c>
      <c r="L104" s="8">
        <f>F104*G104</f>
        <v/>
      </c>
      <c r="M104" s="145" t="inlineStr">
        <is>
          <t>IS-D20-HID-211G</t>
        </is>
      </c>
      <c r="N104" s="18" t="inlineStr">
        <is>
          <t>Instalaciones sanitarias (hidrosanitarias)</t>
        </is>
      </c>
      <c r="O104" s="18" t="inlineStr">
        <is>
          <t>Estimado DION · criterio de mercado Guayaquil 2026 (no verificado en tienda)</t>
        </is>
      </c>
      <c r="P104" s="18" t="inlineStr">
        <is>
          <t>oct-2026 (est.)</t>
        </is>
      </c>
      <c r="Q104" s="18" t="n"/>
    </row>
    <row r="105">
      <c r="A105" s="34" t="n">
        <v>88</v>
      </c>
      <c r="B105" s="35" t="inlineStr">
        <is>
          <t xml:space="preserve">        Tanque de Reserva Polietileno 500 L</t>
        </is>
      </c>
      <c r="C105" s="36" t="inlineStr">
        <is>
          <t>Residencial / Comercial</t>
        </is>
      </c>
      <c r="D105" s="34" t="inlineStr">
        <is>
          <t>Tanques Reserva</t>
        </is>
      </c>
      <c r="E105" s="34" t="inlineStr">
        <is>
          <t>U</t>
        </is>
      </c>
      <c r="F105" s="37" t="n">
        <v>1</v>
      </c>
      <c r="G105" s="38" t="n">
        <v>98</v>
      </c>
      <c r="H105" s="38" t="n">
        <v>100.94</v>
      </c>
      <c r="I105" s="34" t="inlineStr">
        <is>
          <t>Megametales</t>
        </is>
      </c>
      <c r="J105" s="38" t="n">
        <v>104.86</v>
      </c>
      <c r="K105" s="34" t="inlineStr">
        <is>
          <t>Kywi / Megakywi</t>
        </is>
      </c>
      <c r="L105" s="39">
        <f>F105*G105</f>
        <v/>
      </c>
      <c r="M105" s="149" t="inlineStr">
        <is>
          <t>IS-D20-CIS-PLA-00500L</t>
        </is>
      </c>
      <c r="N105" s="34" t="inlineStr">
        <is>
          <t>Instalaciones sanitarias (hidrosanitarias)</t>
        </is>
      </c>
      <c r="O105" s="34" t="inlineStr">
        <is>
          <t>Estimado DION · criterio de mercado Guayaquil 2026 (no verificado en tienda)</t>
        </is>
      </c>
      <c r="P105" s="34" t="inlineStr">
        <is>
          <t>oct-2026 (est.)</t>
        </is>
      </c>
      <c r="Q105" s="34" t="n"/>
    </row>
    <row r="106">
      <c r="A106" s="18" t="n">
        <v>89</v>
      </c>
      <c r="B106" s="19" t="inlineStr">
        <is>
          <t xml:space="preserve">        Tanque de Reserva Polietileno 1100 L</t>
        </is>
      </c>
      <c r="C106" s="20" t="inlineStr">
        <is>
          <t>Residencial / Comercial</t>
        </is>
      </c>
      <c r="D106" s="18" t="inlineStr">
        <is>
          <t>Tanques Reserva</t>
        </is>
      </c>
      <c r="E106" s="18" t="inlineStr">
        <is>
          <t>U</t>
        </is>
      </c>
      <c r="F106" s="21" t="n">
        <v>1</v>
      </c>
      <c r="G106" s="22" t="n">
        <v>195</v>
      </c>
      <c r="H106" s="22" t="n">
        <v>198.9</v>
      </c>
      <c r="I106" s="18" t="inlineStr">
        <is>
          <t>Megametales</t>
        </is>
      </c>
      <c r="J106" s="22" t="n">
        <v>208.65</v>
      </c>
      <c r="K106" s="18" t="inlineStr">
        <is>
          <t>Ferrisariato</t>
        </is>
      </c>
      <c r="L106" s="8">
        <f>F106*G106</f>
        <v/>
      </c>
      <c r="M106" s="145" t="inlineStr">
        <is>
          <t>IS-D20-CIS-PLA-01100L</t>
        </is>
      </c>
      <c r="N106" s="18" t="inlineStr">
        <is>
          <t>Instalaciones sanitarias (hidrosanitarias)</t>
        </is>
      </c>
      <c r="O106" s="18" t="inlineStr">
        <is>
          <t>Estimado DION · criterio de mercado Guayaquil 2026 (no verificado en tienda)</t>
        </is>
      </c>
      <c r="P106" s="18" t="inlineStr">
        <is>
          <t>oct-2026 (est.)</t>
        </is>
      </c>
      <c r="Q106" s="18" t="n"/>
    </row>
    <row r="107">
      <c r="A107" s="34" t="n">
        <v>90</v>
      </c>
      <c r="B107" s="35" t="inlineStr">
        <is>
          <t xml:space="preserve">        Tanque de Reserva Polietileno 2000 L</t>
        </is>
      </c>
      <c r="C107" s="36" t="inlineStr">
        <is>
          <t>Residencial / Comercial</t>
        </is>
      </c>
      <c r="D107" s="34" t="inlineStr">
        <is>
          <t>Tanques Reserva</t>
        </is>
      </c>
      <c r="E107" s="34" t="inlineStr">
        <is>
          <t>U</t>
        </is>
      </c>
      <c r="F107" s="37" t="n">
        <v>1</v>
      </c>
      <c r="G107" s="38" t="n">
        <v>345</v>
      </c>
      <c r="H107" s="38" t="n">
        <v>362.25</v>
      </c>
      <c r="I107" s="34" t="inlineStr">
        <is>
          <t>Megametales</t>
        </is>
      </c>
      <c r="J107" s="38" t="n">
        <v>376.05</v>
      </c>
      <c r="K107" s="34" t="inlineStr">
        <is>
          <t>Kywi / Megakywi</t>
        </is>
      </c>
      <c r="L107" s="39">
        <f>F107*G107</f>
        <v/>
      </c>
      <c r="M107" s="149" t="inlineStr">
        <is>
          <t>IS-D20-CIS-PLA-02000L</t>
        </is>
      </c>
      <c r="N107" s="34" t="inlineStr">
        <is>
          <t>Instalaciones sanitarias (hidrosanitarias)</t>
        </is>
      </c>
      <c r="O107" s="34" t="inlineStr">
        <is>
          <t>Estimado DION · criterio de mercado Guayaquil 2026 (no verificado en tienda)</t>
        </is>
      </c>
      <c r="P107" s="34" t="inlineStr">
        <is>
          <t>oct-2026 (est.)</t>
        </is>
      </c>
      <c r="Q107" s="34" t="n"/>
    </row>
    <row r="108">
      <c r="A108" s="18" t="n">
        <v>91</v>
      </c>
      <c r="B108" s="19" t="inlineStr">
        <is>
          <t xml:space="preserve">        Tanque de Reserva Polietileno 2500 L</t>
        </is>
      </c>
      <c r="C108" s="20" t="inlineStr">
        <is>
          <t>Residencial / Comercial</t>
        </is>
      </c>
      <c r="D108" s="18" t="inlineStr">
        <is>
          <t>Tanques Reserva</t>
        </is>
      </c>
      <c r="E108" s="18" t="inlineStr">
        <is>
          <t>U</t>
        </is>
      </c>
      <c r="F108" s="21" t="n">
        <v>1</v>
      </c>
      <c r="G108" s="22" t="n">
        <v>420</v>
      </c>
      <c r="H108" s="22" t="n">
        <v>441</v>
      </c>
      <c r="I108" s="18" t="inlineStr">
        <is>
          <t>Megametales</t>
        </is>
      </c>
      <c r="J108" s="22" t="n">
        <v>449.4</v>
      </c>
      <c r="K108" s="18" t="inlineStr">
        <is>
          <t>Ferrisariato</t>
        </is>
      </c>
      <c r="L108" s="8">
        <f>F108*G108</f>
        <v/>
      </c>
      <c r="M108" s="145" t="inlineStr">
        <is>
          <t>IS-D20-CIS-PLA-02500L</t>
        </is>
      </c>
      <c r="N108" s="18" t="inlineStr">
        <is>
          <t>Instalaciones sanitarias (hidrosanitarias)</t>
        </is>
      </c>
      <c r="O108" s="18" t="inlineStr">
        <is>
          <t>Estimado DION · criterio de mercado Guayaquil 2026 (no verificado en tienda)</t>
        </is>
      </c>
      <c r="P108" s="18" t="inlineStr">
        <is>
          <t>oct-2026 (est.)</t>
        </is>
      </c>
      <c r="Q108" s="18" t="n"/>
    </row>
    <row r="109">
      <c r="A109" s="34" t="n">
        <v>92</v>
      </c>
      <c r="B109" s="35" t="inlineStr">
        <is>
          <t xml:space="preserve">        Tanque de Reserva Polietileno 5000 L</t>
        </is>
      </c>
      <c r="C109" s="36" t="inlineStr">
        <is>
          <t>Residencial / Comercial</t>
        </is>
      </c>
      <c r="D109" s="34" t="inlineStr">
        <is>
          <t>Tanques Reserva</t>
        </is>
      </c>
      <c r="E109" s="34" t="inlineStr">
        <is>
          <t>U</t>
        </is>
      </c>
      <c r="F109" s="37" t="n">
        <v>0</v>
      </c>
      <c r="G109" s="38" t="n">
        <v>860</v>
      </c>
      <c r="H109" s="38" t="n">
        <v>903</v>
      </c>
      <c r="I109" s="34" t="inlineStr">
        <is>
          <t>Megametales</t>
        </is>
      </c>
      <c r="J109" s="38" t="n">
        <v>954.6</v>
      </c>
      <c r="K109" s="34" t="inlineStr">
        <is>
          <t>Kywi / Megakywi</t>
        </is>
      </c>
      <c r="L109" s="39">
        <f>F109*G109</f>
        <v/>
      </c>
      <c r="M109" s="149" t="inlineStr">
        <is>
          <t>IS-D20-CIS-PLA-05000L</t>
        </is>
      </c>
      <c r="N109" s="34" t="inlineStr">
        <is>
          <t>Instalaciones sanitarias (hidrosanitarias)</t>
        </is>
      </c>
      <c r="O109" s="34" t="inlineStr">
        <is>
          <t>Estimado DION · criterio de mercado Guayaquil 2026 (no verificado en tienda)</t>
        </is>
      </c>
      <c r="P109" s="34" t="inlineStr">
        <is>
          <t>oct-2026 (est.)</t>
        </is>
      </c>
      <c r="Q109" s="34" t="n"/>
    </row>
    <row r="110">
      <c r="A110" s="18" t="n">
        <v>93</v>
      </c>
      <c r="B110" s="19" t="inlineStr">
        <is>
          <t xml:space="preserve">        Tanque de Reserva Polietileno 10000 L</t>
        </is>
      </c>
      <c r="C110" s="20" t="inlineStr">
        <is>
          <t>Residencial / Comercial</t>
        </is>
      </c>
      <c r="D110" s="18" t="inlineStr">
        <is>
          <t>Tanques Reserva</t>
        </is>
      </c>
      <c r="E110" s="18" t="inlineStr">
        <is>
          <t>U</t>
        </is>
      </c>
      <c r="F110" s="21" t="n">
        <v>0</v>
      </c>
      <c r="G110" s="22" t="n">
        <v>1750</v>
      </c>
      <c r="H110" s="22" t="n">
        <v>1820</v>
      </c>
      <c r="I110" s="18" t="inlineStr">
        <is>
          <t>Megametales</t>
        </is>
      </c>
      <c r="J110" s="22" t="n">
        <v>1925</v>
      </c>
      <c r="K110" s="18" t="inlineStr">
        <is>
          <t>Ferrisariato</t>
        </is>
      </c>
      <c r="L110" s="8">
        <f>F110*G110</f>
        <v/>
      </c>
      <c r="M110" s="145" t="inlineStr">
        <is>
          <t>IS-D20-CIS-PLA-10000L</t>
        </is>
      </c>
      <c r="N110" s="18" t="inlineStr">
        <is>
          <t>Instalaciones sanitarias (hidrosanitarias)</t>
        </is>
      </c>
      <c r="O110" s="18" t="inlineStr">
        <is>
          <t>Estimado DION · criterio de mercado Guayaquil 2026 (no verificado en tienda)</t>
        </is>
      </c>
      <c r="P110" s="18" t="inlineStr">
        <is>
          <t>oct-2026 (est.)</t>
        </is>
      </c>
      <c r="Q110" s="18" t="n"/>
    </row>
    <row r="111">
      <c r="A111" s="34" t="n">
        <v>94</v>
      </c>
      <c r="B111" s="35" t="inlineStr">
        <is>
          <t xml:space="preserve">        Cisterna de Hormigón Armado 5 m³ (Construida, Referencial)</t>
        </is>
      </c>
      <c r="C111" s="36" t="inlineStr">
        <is>
          <t>Comercial / Industrial</t>
        </is>
      </c>
      <c r="D111" s="34" t="inlineStr">
        <is>
          <t>Cisternas H.A.</t>
        </is>
      </c>
      <c r="E111" s="34" t="inlineStr">
        <is>
          <t>U</t>
        </is>
      </c>
      <c r="F111" s="37" t="n">
        <v>0</v>
      </c>
      <c r="G111" s="38" t="n">
        <v>2600</v>
      </c>
      <c r="H111" s="38" t="n">
        <v>2678</v>
      </c>
      <c r="I111" s="34" t="inlineStr">
        <is>
          <t>Megametales</t>
        </is>
      </c>
      <c r="J111" s="38" t="n">
        <v>2886</v>
      </c>
      <c r="K111" s="34" t="inlineStr">
        <is>
          <t>Kywi / Megakywi</t>
        </is>
      </c>
      <c r="L111" s="39">
        <f>F111*G111</f>
        <v/>
      </c>
      <c r="M111" s="149" t="inlineStr">
        <is>
          <t>IS-D20-CIS-FND-005M3</t>
        </is>
      </c>
      <c r="N111" s="34" t="inlineStr">
        <is>
          <t>Instalaciones sanitarias (hidrosanitarias)</t>
        </is>
      </c>
      <c r="O111" s="34" t="inlineStr">
        <is>
          <t>Estimado DION · criterio de mercado Guayaquil 2026 (no verificado en tienda)</t>
        </is>
      </c>
      <c r="P111" s="34" t="inlineStr">
        <is>
          <t>oct-2026 (est.)</t>
        </is>
      </c>
      <c r="Q111" s="34" t="n"/>
    </row>
    <row r="112">
      <c r="A112" s="18" t="n">
        <v>95</v>
      </c>
      <c r="B112" s="19" t="inlineStr">
        <is>
          <t xml:space="preserve">        Cisterna de Hormigón Armado 10 m³ (Construida, Referencial)</t>
        </is>
      </c>
      <c r="C112" s="20" t="inlineStr">
        <is>
          <t>Comercial / Industrial</t>
        </is>
      </c>
      <c r="D112" s="18" t="inlineStr">
        <is>
          <t>Cisternas H.A.</t>
        </is>
      </c>
      <c r="E112" s="18" t="inlineStr">
        <is>
          <t>U</t>
        </is>
      </c>
      <c r="F112" s="21" t="n">
        <v>0</v>
      </c>
      <c r="G112" s="22" t="n">
        <v>4300</v>
      </c>
      <c r="H112" s="22" t="n">
        <v>4515</v>
      </c>
      <c r="I112" s="18" t="inlineStr">
        <is>
          <t>Megametales</t>
        </is>
      </c>
      <c r="J112" s="22" t="n">
        <v>4601</v>
      </c>
      <c r="K112" s="18" t="inlineStr">
        <is>
          <t>Ferrisariato</t>
        </is>
      </c>
      <c r="L112" s="8">
        <f>F112*G112</f>
        <v/>
      </c>
      <c r="M112" s="145" t="inlineStr">
        <is>
          <t>IS-D20-CIS-FND-010M3</t>
        </is>
      </c>
      <c r="N112" s="18" t="inlineStr">
        <is>
          <t>Instalaciones sanitarias (hidrosanitarias)</t>
        </is>
      </c>
      <c r="O112" s="18" t="inlineStr">
        <is>
          <t>Estimado DION · criterio de mercado Guayaquil 2026 (no verificado en tienda)</t>
        </is>
      </c>
      <c r="P112" s="18" t="inlineStr">
        <is>
          <t>oct-2026 (est.)</t>
        </is>
      </c>
      <c r="Q112" s="18" t="n"/>
    </row>
    <row r="113">
      <c r="A113" s="34" t="n">
        <v>96</v>
      </c>
      <c r="B113" s="35" t="inlineStr">
        <is>
          <t xml:space="preserve">        Cisterna de Hormigón Armado 20 m³ (Construida, Referencial)</t>
        </is>
      </c>
      <c r="C113" s="36" t="inlineStr">
        <is>
          <t>Comercial / Industrial</t>
        </is>
      </c>
      <c r="D113" s="34" t="inlineStr">
        <is>
          <t>Cisternas H.A.</t>
        </is>
      </c>
      <c r="E113" s="34" t="inlineStr">
        <is>
          <t>U</t>
        </is>
      </c>
      <c r="F113" s="37" t="n">
        <v>0</v>
      </c>
      <c r="G113" s="38" t="n">
        <v>7400</v>
      </c>
      <c r="H113" s="38" t="n">
        <v>7770</v>
      </c>
      <c r="I113" s="34" t="inlineStr">
        <is>
          <t>Megametales</t>
        </is>
      </c>
      <c r="J113" s="38" t="n">
        <v>8214</v>
      </c>
      <c r="K113" s="34" t="inlineStr">
        <is>
          <t>Kywi / Megakywi</t>
        </is>
      </c>
      <c r="L113" s="39">
        <f>F113*G113</f>
        <v/>
      </c>
      <c r="M113" s="149" t="inlineStr">
        <is>
          <t>IS-D20-CIS-FND-020M3</t>
        </is>
      </c>
      <c r="N113" s="34" t="inlineStr">
        <is>
          <t>Instalaciones sanitarias (hidrosanitarias)</t>
        </is>
      </c>
      <c r="O113" s="34" t="inlineStr">
        <is>
          <t>Estimado DION · criterio de mercado Guayaquil 2026 (no verificado en tienda)</t>
        </is>
      </c>
      <c r="P113" s="34" t="inlineStr">
        <is>
          <t>oct-2026 (est.)</t>
        </is>
      </c>
      <c r="Q113" s="34" t="n"/>
    </row>
    <row r="114">
      <c r="A114" s="18" t="n">
        <v>97</v>
      </c>
      <c r="B114" s="19" t="inlineStr">
        <is>
          <t xml:space="preserve">        Cisterna de Hormigón Armado 50 m³ (Construida, Referencial)</t>
        </is>
      </c>
      <c r="C114" s="20" t="inlineStr">
        <is>
          <t>Comercial / Industrial</t>
        </is>
      </c>
      <c r="D114" s="18" t="inlineStr">
        <is>
          <t>Cisternas H.A.</t>
        </is>
      </c>
      <c r="E114" s="18" t="inlineStr">
        <is>
          <t>U</t>
        </is>
      </c>
      <c r="F114" s="21" t="n">
        <v>0</v>
      </c>
      <c r="G114" s="22" t="n">
        <v>15800</v>
      </c>
      <c r="H114" s="22" t="n">
        <v>16432</v>
      </c>
      <c r="I114" s="18" t="inlineStr">
        <is>
          <t>Megametales</t>
        </is>
      </c>
      <c r="J114" s="22" t="n">
        <v>17380</v>
      </c>
      <c r="K114" s="18" t="inlineStr">
        <is>
          <t>Ferrisariato</t>
        </is>
      </c>
      <c r="L114" s="8">
        <f>F114*G114</f>
        <v/>
      </c>
      <c r="M114" s="145" t="inlineStr">
        <is>
          <t>IS-D20-CIS-FND-050M3</t>
        </is>
      </c>
      <c r="N114" s="18" t="inlineStr">
        <is>
          <t>Instalaciones sanitarias (hidrosanitarias)</t>
        </is>
      </c>
      <c r="O114" s="18" t="inlineStr">
        <is>
          <t>Estimado DION · criterio de mercado Guayaquil 2026 (no verificado en tienda)</t>
        </is>
      </c>
      <c r="P114" s="18" t="inlineStr">
        <is>
          <t>oct-2026 (est.)</t>
        </is>
      </c>
      <c r="Q114" s="18" t="n"/>
    </row>
    <row r="115">
      <c r="A115" s="34" t="n">
        <v>98</v>
      </c>
      <c r="B115" s="35" t="inlineStr">
        <is>
          <t xml:space="preserve">        Medidor de Agua Potable Chorro Único ½"</t>
        </is>
      </c>
      <c r="C115" s="36" t="inlineStr">
        <is>
          <t>Residencial / Comercial</t>
        </is>
      </c>
      <c r="D115" s="34" t="inlineStr">
        <is>
          <t>Medidores Agua</t>
        </is>
      </c>
      <c r="E115" s="34" t="inlineStr">
        <is>
          <t>U</t>
        </is>
      </c>
      <c r="F115" s="37" t="n">
        <v>1</v>
      </c>
      <c r="G115" s="38" t="n">
        <v>38</v>
      </c>
      <c r="H115" s="38" t="n">
        <v>39.14</v>
      </c>
      <c r="I115" s="34" t="inlineStr">
        <is>
          <t>Megametales</t>
        </is>
      </c>
      <c r="J115" s="38" t="n">
        <v>42.18</v>
      </c>
      <c r="K115" s="34" t="inlineStr">
        <is>
          <t>Kywi / Megakywi</t>
        </is>
      </c>
      <c r="L115" s="39">
        <f>F115*G115</f>
        <v/>
      </c>
      <c r="M115" s="149" t="inlineStr">
        <is>
          <t>IS-D20-MED-DN15</t>
        </is>
      </c>
      <c r="N115" s="34" t="inlineStr">
        <is>
          <t>Instalaciones sanitarias (hidrosanitarias)</t>
        </is>
      </c>
      <c r="O115" s="34" t="inlineStr">
        <is>
          <t>Estimado DION · criterio de mercado Guayaquil 2026 (no verificado en tienda)</t>
        </is>
      </c>
      <c r="P115" s="34" t="inlineStr">
        <is>
          <t>oct-2026 (est.)</t>
        </is>
      </c>
      <c r="Q115" s="34" t="n"/>
    </row>
    <row r="116">
      <c r="A116" s="18" t="n">
        <v>99</v>
      </c>
      <c r="B116" s="19" t="inlineStr">
        <is>
          <t xml:space="preserve">        Medidor de Agua Potable Chorro Único ¾"</t>
        </is>
      </c>
      <c r="C116" s="20" t="inlineStr">
        <is>
          <t>Residencial / Comercial</t>
        </is>
      </c>
      <c r="D116" s="18" t="inlineStr">
        <is>
          <t>Medidores Agua</t>
        </is>
      </c>
      <c r="E116" s="18" t="inlineStr">
        <is>
          <t>U</t>
        </is>
      </c>
      <c r="F116" s="21" t="n">
        <v>1</v>
      </c>
      <c r="G116" s="22" t="n">
        <v>52</v>
      </c>
      <c r="H116" s="22" t="n">
        <v>54.08</v>
      </c>
      <c r="I116" s="18" t="inlineStr">
        <is>
          <t>Megametales</t>
        </is>
      </c>
      <c r="J116" s="22" t="n">
        <v>56.68</v>
      </c>
      <c r="K116" s="18" t="inlineStr">
        <is>
          <t>Ferrisariato</t>
        </is>
      </c>
      <c r="L116" s="8">
        <f>F116*G116</f>
        <v/>
      </c>
      <c r="M116" s="145" t="inlineStr">
        <is>
          <t>IS-D20-MED-DN20</t>
        </is>
      </c>
      <c r="N116" s="18" t="inlineStr">
        <is>
          <t>Instalaciones sanitarias (hidrosanitarias)</t>
        </is>
      </c>
      <c r="O116" s="18" t="inlineStr">
        <is>
          <t>Estimado DION · criterio de mercado Guayaquil 2026 (no verificado en tienda)</t>
        </is>
      </c>
      <c r="P116" s="18" t="inlineStr">
        <is>
          <t>oct-2026 (est.)</t>
        </is>
      </c>
      <c r="Q116" s="18" t="n"/>
    </row>
    <row r="117">
      <c r="A117" s="34" t="n">
        <v>100</v>
      </c>
      <c r="B117" s="35" t="inlineStr">
        <is>
          <t xml:space="preserve">        Medidor de Agua Potable Chorro Único 1"</t>
        </is>
      </c>
      <c r="C117" s="36" t="inlineStr">
        <is>
          <t>Residencial / Comercial</t>
        </is>
      </c>
      <c r="D117" s="34" t="inlineStr">
        <is>
          <t>Medidores Agua</t>
        </is>
      </c>
      <c r="E117" s="34" t="inlineStr">
        <is>
          <t>U</t>
        </is>
      </c>
      <c r="F117" s="37" t="n">
        <v>1</v>
      </c>
      <c r="G117" s="38" t="n">
        <v>78</v>
      </c>
      <c r="H117" s="38" t="n">
        <v>81.12</v>
      </c>
      <c r="I117" s="34" t="inlineStr">
        <is>
          <t>Megametales</t>
        </is>
      </c>
      <c r="J117" s="38" t="n">
        <v>83.45999999999999</v>
      </c>
      <c r="K117" s="34" t="inlineStr">
        <is>
          <t>Kywi / Megakywi</t>
        </is>
      </c>
      <c r="L117" s="39">
        <f>F117*G117</f>
        <v/>
      </c>
      <c r="M117" s="149" t="inlineStr">
        <is>
          <t>IS-D20-MED-DN25</t>
        </is>
      </c>
      <c r="N117" s="34" t="inlineStr">
        <is>
          <t>Instalaciones sanitarias (hidrosanitarias)</t>
        </is>
      </c>
      <c r="O117" s="34" t="inlineStr">
        <is>
          <t>Estimado DION · criterio de mercado Guayaquil 2026 (no verificado en tienda)</t>
        </is>
      </c>
      <c r="P117" s="34" t="inlineStr">
        <is>
          <t>oct-2026 (est.)</t>
        </is>
      </c>
      <c r="Q117" s="34" t="n"/>
    </row>
    <row r="118">
      <c r="A118" s="18" t="n">
        <v>101</v>
      </c>
      <c r="B118" s="19" t="inlineStr">
        <is>
          <t xml:space="preserve">        Medidor de Agua Potable Chorro Único 2"</t>
        </is>
      </c>
      <c r="C118" s="20" t="inlineStr">
        <is>
          <t>Residencial / Comercial</t>
        </is>
      </c>
      <c r="D118" s="18" t="inlineStr">
        <is>
          <t>Medidores Agua</t>
        </is>
      </c>
      <c r="E118" s="18" t="inlineStr">
        <is>
          <t>U</t>
        </is>
      </c>
      <c r="F118" s="21" t="n">
        <v>1</v>
      </c>
      <c r="G118" s="22" t="n">
        <v>320</v>
      </c>
      <c r="H118" s="22" t="n">
        <v>332.8</v>
      </c>
      <c r="I118" s="18" t="inlineStr">
        <is>
          <t>Megametales</t>
        </is>
      </c>
      <c r="J118" s="22" t="n">
        <v>348.8</v>
      </c>
      <c r="K118" s="18" t="inlineStr">
        <is>
          <t>Ferrisariato</t>
        </is>
      </c>
      <c r="L118" s="8">
        <f>F118*G118</f>
        <v/>
      </c>
      <c r="M118" s="145" t="inlineStr">
        <is>
          <t>IS-D20-MED-DN50</t>
        </is>
      </c>
      <c r="N118" s="18" t="inlineStr">
        <is>
          <t>Instalaciones sanitarias (hidrosanitarias)</t>
        </is>
      </c>
      <c r="O118" s="18" t="inlineStr">
        <is>
          <t>Estimado DION · criterio de mercado Guayaquil 2026 (no verificado en tienda)</t>
        </is>
      </c>
      <c r="P118" s="18" t="inlineStr">
        <is>
          <t>oct-2026 (est.)</t>
        </is>
      </c>
      <c r="Q118" s="18" t="n"/>
    </row>
    <row r="119">
      <c r="A119" s="34" t="n">
        <v>102</v>
      </c>
      <c r="B119" s="35" t="inlineStr">
        <is>
          <t xml:space="preserve">        Caja de Medidor de Agua con Tapa (Interagua)</t>
        </is>
      </c>
      <c r="C119" s="36" t="inlineStr">
        <is>
          <t>Residencial / Comercial</t>
        </is>
      </c>
      <c r="D119" s="34" t="inlineStr">
        <is>
          <t>Cajas Medidor</t>
        </is>
      </c>
      <c r="E119" s="34" t="inlineStr">
        <is>
          <t>U</t>
        </is>
      </c>
      <c r="F119" s="37" t="n">
        <v>1</v>
      </c>
      <c r="G119" s="38" t="n">
        <v>32</v>
      </c>
      <c r="H119" s="38" t="n">
        <v>32.64</v>
      </c>
      <c r="I119" s="34" t="inlineStr">
        <is>
          <t>Megametales</t>
        </is>
      </c>
      <c r="J119" s="38" t="n">
        <v>34.24</v>
      </c>
      <c r="K119" s="34" t="inlineStr">
        <is>
          <t>Kywi / Megakywi</t>
        </is>
      </c>
      <c r="L119" s="39">
        <f>F119*G119</f>
        <v/>
      </c>
      <c r="M119" s="149" t="inlineStr">
        <is>
          <t>IS-D20-MED-CAJ-MED</t>
        </is>
      </c>
      <c r="N119" s="34" t="inlineStr">
        <is>
          <t>Instalaciones sanitarias (hidrosanitarias)</t>
        </is>
      </c>
      <c r="O119" s="34" t="inlineStr">
        <is>
          <t>Estimado DION · criterio de mercado Guayaquil 2026 (no verificado en tienda)</t>
        </is>
      </c>
      <c r="P119" s="34" t="inlineStr">
        <is>
          <t>oct-2026 (est.)</t>
        </is>
      </c>
      <c r="Q119" s="34" t="n"/>
    </row>
    <row r="120">
      <c r="A120" s="31" t="inlineStr">
        <is>
          <t>CONEXIONES</t>
        </is>
      </c>
      <c r="B120" s="143" t="n"/>
      <c r="C120" s="143" t="n"/>
      <c r="D120" s="143" t="n"/>
      <c r="E120" s="143" t="n"/>
      <c r="F120" s="143" t="n"/>
      <c r="G120" s="143" t="n"/>
      <c r="H120" s="143" t="n"/>
      <c r="I120" s="143" t="n"/>
      <c r="J120" s="143" t="n"/>
      <c r="K120" s="143" t="n"/>
      <c r="L120" s="143" t="n"/>
      <c r="M120" s="143" t="n"/>
      <c r="N120" s="143" t="n"/>
      <c r="O120" s="143" t="n"/>
      <c r="P120" s="143" t="n"/>
      <c r="Q120" s="144" t="n"/>
    </row>
    <row r="121">
      <c r="A121" s="32" t="inlineStr">
        <is>
          <t xml:space="preserve">  ► CATEGORÍA: CODOS, TEES, UNIONES Y VÁLVULAS FRÍAS</t>
        </is>
      </c>
      <c r="B121" s="143" t="n"/>
      <c r="C121" s="143" t="n"/>
      <c r="D121" s="143" t="n"/>
      <c r="E121" s="143" t="n"/>
      <c r="F121" s="143" t="n"/>
      <c r="G121" s="143" t="n"/>
      <c r="H121" s="143" t="n"/>
      <c r="I121" s="143" t="n"/>
      <c r="J121" s="143" t="n"/>
      <c r="K121" s="143" t="n"/>
      <c r="L121" s="143" t="n"/>
      <c r="M121" s="143" t="n"/>
      <c r="N121" s="143" t="n"/>
      <c r="O121" s="143" t="n"/>
      <c r="P121" s="143" t="n"/>
      <c r="Q121" s="144" t="n"/>
    </row>
    <row r="122">
      <c r="A122" s="33" t="inlineStr">
        <is>
          <t xml:space="preserve">      • Subcategoría Especificada: Conexiones PPR y Bronce</t>
        </is>
      </c>
      <c r="B122" s="143" t="n"/>
      <c r="C122" s="143" t="n"/>
      <c r="D122" s="143" t="n"/>
      <c r="E122" s="143" t="n"/>
      <c r="F122" s="143" t="n"/>
      <c r="G122" s="143" t="n"/>
      <c r="H122" s="143" t="n"/>
      <c r="I122" s="143" t="n"/>
      <c r="J122" s="143" t="n"/>
      <c r="K122" s="143" t="n"/>
      <c r="L122" s="143" t="n"/>
      <c r="M122" s="143" t="n"/>
      <c r="N122" s="143" t="n"/>
      <c r="O122" s="143" t="n"/>
      <c r="P122" s="143" t="n"/>
      <c r="Q122" s="144" t="n"/>
    </row>
    <row r="123">
      <c r="A123" s="18" t="n">
        <v>103</v>
      </c>
      <c r="B123" s="19" t="inlineStr">
        <is>
          <t xml:space="preserve">        Codo PPR 20mm / 25mm / 32mm x 90° Termofusión Fría</t>
        </is>
      </c>
      <c r="C123" s="20" t="inlineStr">
        <is>
          <t>Residencial / Comercial</t>
        </is>
      </c>
      <c r="D123" s="18" t="inlineStr">
        <is>
          <t>Codos PPR</t>
        </is>
      </c>
      <c r="E123" s="18" t="inlineStr">
        <is>
          <t>U</t>
        </is>
      </c>
      <c r="F123" s="21" t="n">
        <v>40</v>
      </c>
      <c r="G123" s="22" t="n">
        <v>0.55</v>
      </c>
      <c r="H123" s="22" t="n">
        <v>0.58</v>
      </c>
      <c r="I123" s="18" t="inlineStr">
        <is>
          <t>Megametales</t>
        </is>
      </c>
      <c r="J123" s="22" t="n">
        <v>0.65</v>
      </c>
      <c r="K123" s="18" t="inlineStr">
        <is>
          <t>Ferrisariato</t>
        </is>
      </c>
      <c r="L123" s="8">
        <f>F123*G123</f>
        <v/>
      </c>
      <c r="M123" s="145" t="inlineStr">
        <is>
          <t>IS-D20-ACF-PPR-C90-025</t>
        </is>
      </c>
      <c r="N123" s="18" t="inlineStr">
        <is>
          <t>Instalaciones sanitarias (hidrosanitarias)</t>
        </is>
      </c>
      <c r="O123" s="18" t="inlineStr">
        <is>
          <t>Estimado · base original del usuario (sin cotización verificada)</t>
        </is>
      </c>
      <c r="P123" s="18" t="inlineStr">
        <is>
          <t>oct-2026 (est.)</t>
        </is>
      </c>
      <c r="Q123" s="18" t="n"/>
    </row>
    <row r="124">
      <c r="A124" s="34" t="n">
        <v>104</v>
      </c>
      <c r="B124" s="35" t="inlineStr">
        <is>
          <t xml:space="preserve">        Tee PPR 20mm / 25mm / 32mm Termofusión Fría</t>
        </is>
      </c>
      <c r="C124" s="36" t="inlineStr">
        <is>
          <t>Residencial / Comercial</t>
        </is>
      </c>
      <c r="D124" s="34" t="inlineStr">
        <is>
          <t>Tees PPR</t>
        </is>
      </c>
      <c r="E124" s="34" t="inlineStr">
        <is>
          <t>U</t>
        </is>
      </c>
      <c r="F124" s="37" t="n">
        <v>25</v>
      </c>
      <c r="G124" s="38" t="n">
        <v>0.7</v>
      </c>
      <c r="H124" s="38" t="n">
        <v>0.72</v>
      </c>
      <c r="I124" s="34" t="inlineStr">
        <is>
          <t>Megametales</t>
        </is>
      </c>
      <c r="J124" s="38" t="n">
        <v>0.8</v>
      </c>
      <c r="K124" s="34" t="inlineStr">
        <is>
          <t>Kywi / Megakywi</t>
        </is>
      </c>
      <c r="L124" s="39">
        <f>F124*G124</f>
        <v/>
      </c>
      <c r="M124" s="149" t="inlineStr">
        <is>
          <t>IS-D20-ACF-PPR-TEE-025</t>
        </is>
      </c>
      <c r="N124" s="34" t="inlineStr">
        <is>
          <t>Instalaciones sanitarias (hidrosanitarias)</t>
        </is>
      </c>
      <c r="O124" s="34" t="inlineStr">
        <is>
          <t>Estimado · base original del usuario (sin cotización verificada)</t>
        </is>
      </c>
      <c r="P124" s="34" t="inlineStr">
        <is>
          <t>oct-2026 (est.)</t>
        </is>
      </c>
      <c r="Q124" s="34" t="n"/>
    </row>
    <row r="125">
      <c r="A125" s="18" t="n">
        <v>105</v>
      </c>
      <c r="B125" s="19" t="inlineStr">
        <is>
          <t xml:space="preserve">        Llave de Paso Bola Bronce ¾" Rosca NPT</t>
        </is>
      </c>
      <c r="C125" s="20" t="inlineStr">
        <is>
          <t>Residencial / Comercial</t>
        </is>
      </c>
      <c r="D125" s="18" t="inlineStr">
        <is>
          <t>Válvulas Bola</t>
        </is>
      </c>
      <c r="E125" s="18" t="inlineStr">
        <is>
          <t>U</t>
        </is>
      </c>
      <c r="F125" s="21" t="n">
        <v>6</v>
      </c>
      <c r="G125" s="22" t="n">
        <v>12.5</v>
      </c>
      <c r="H125" s="22" t="n">
        <v>12.8</v>
      </c>
      <c r="I125" s="18" t="inlineStr">
        <is>
          <t>Megametales</t>
        </is>
      </c>
      <c r="J125" s="22" t="n">
        <v>13.9</v>
      </c>
      <c r="K125" s="18" t="inlineStr">
        <is>
          <t>Kywi / Megakywi</t>
        </is>
      </c>
      <c r="L125" s="8">
        <f>F125*G125</f>
        <v/>
      </c>
      <c r="M125" s="145" t="inlineStr">
        <is>
          <t>IS-D20-VAL-BOL-DN20</t>
        </is>
      </c>
      <c r="N125" s="18" t="inlineStr">
        <is>
          <t>Instalaciones sanitarias (hidrosanitarias)</t>
        </is>
      </c>
      <c r="O125" s="18" t="inlineStr">
        <is>
          <t>Estimado · base original del usuario (sin cotización verificada)</t>
        </is>
      </c>
      <c r="P125" s="18" t="inlineStr">
        <is>
          <t>oct-2026 (est.)</t>
        </is>
      </c>
      <c r="Q125" s="18" t="n"/>
    </row>
    <row r="126">
      <c r="A126" s="34" t="n">
        <v>106</v>
      </c>
      <c r="B126" s="35" t="inlineStr">
        <is>
          <t xml:space="preserve">        Válvula Check Anti-retorno Bronce ¾"</t>
        </is>
      </c>
      <c r="C126" s="36" t="inlineStr">
        <is>
          <t>Residencial / Comercial / Ind</t>
        </is>
      </c>
      <c r="D126" s="34" t="inlineStr">
        <is>
          <t>Válvulas Check</t>
        </is>
      </c>
      <c r="E126" s="34" t="inlineStr">
        <is>
          <t>U</t>
        </is>
      </c>
      <c r="F126" s="37" t="n">
        <v>2</v>
      </c>
      <c r="G126" s="38" t="n">
        <v>14</v>
      </c>
      <c r="H126" s="38" t="n">
        <v>14.4</v>
      </c>
      <c r="I126" s="34" t="inlineStr">
        <is>
          <t>Megametales</t>
        </is>
      </c>
      <c r="J126" s="38" t="n">
        <v>15.2</v>
      </c>
      <c r="K126" s="34" t="inlineStr">
        <is>
          <t>Kywi / Megakywi</t>
        </is>
      </c>
      <c r="L126" s="39">
        <f>F126*G126</f>
        <v/>
      </c>
      <c r="M126" s="149" t="inlineStr">
        <is>
          <t>IS-D20-VAL-CHK-DN20</t>
        </is>
      </c>
      <c r="N126" s="34" t="inlineStr">
        <is>
          <t>Instalaciones sanitarias (hidrosanitarias)</t>
        </is>
      </c>
      <c r="O126" s="34" t="inlineStr">
        <is>
          <t>Estimado · base original del usuario (sin cotización verificada)</t>
        </is>
      </c>
      <c r="P126" s="34" t="inlineStr">
        <is>
          <t>oct-2026 (est.)</t>
        </is>
      </c>
      <c r="Q126" s="34" t="n"/>
    </row>
    <row r="127">
      <c r="A127" s="33" t="inlineStr">
        <is>
          <t xml:space="preserve">      • Subcategoría Especificada: Accesorios por Diámetro (PVC, PPR, HG, Cobre) y Valvulería Completa</t>
        </is>
      </c>
      <c r="B127" s="143" t="n"/>
      <c r="C127" s="143" t="n"/>
      <c r="D127" s="143" t="n"/>
      <c r="E127" s="143" t="n"/>
      <c r="F127" s="143" t="n"/>
      <c r="G127" s="143" t="n"/>
      <c r="H127" s="143" t="n"/>
      <c r="I127" s="143" t="n"/>
      <c r="J127" s="143" t="n"/>
      <c r="K127" s="143" t="n"/>
      <c r="L127" s="143" t="n"/>
      <c r="M127" s="143" t="n"/>
      <c r="N127" s="143" t="n"/>
      <c r="O127" s="143" t="n"/>
      <c r="P127" s="143" t="n"/>
      <c r="Q127" s="144" t="n"/>
    </row>
    <row r="128">
      <c r="A128" s="18" t="n">
        <v>107</v>
      </c>
      <c r="B128" s="19" t="inlineStr">
        <is>
          <t xml:space="preserve">        Codo 90° PVC Presión E/C Ø20 mm</t>
        </is>
      </c>
      <c r="C128" s="20" t="inlineStr">
        <is>
          <t>Residencial / Comercial</t>
        </is>
      </c>
      <c r="D128" s="18" t="inlineStr">
        <is>
          <t>Codo 90° PVC</t>
        </is>
      </c>
      <c r="E128" s="18" t="inlineStr">
        <is>
          <t>U</t>
        </is>
      </c>
      <c r="F128" s="21" t="n">
        <v>10</v>
      </c>
      <c r="G128" s="22" t="n">
        <v>0.38</v>
      </c>
      <c r="H128" s="22" t="n">
        <v>0.4</v>
      </c>
      <c r="I128" s="18" t="inlineStr">
        <is>
          <t>Megametales</t>
        </is>
      </c>
      <c r="J128" s="22" t="n">
        <v>0.41</v>
      </c>
      <c r="K128" s="18" t="inlineStr">
        <is>
          <t>Ferrisariato</t>
        </is>
      </c>
      <c r="L128" s="8">
        <f>F128*G128</f>
        <v/>
      </c>
      <c r="M128" s="145" t="inlineStr">
        <is>
          <t>IS-D20-ACF-PVC-C90-020</t>
        </is>
      </c>
      <c r="N128" s="18" t="inlineStr">
        <is>
          <t>Instalaciones sanitarias (hidrosanitarias)</t>
        </is>
      </c>
      <c r="O128" s="18" t="inlineStr">
        <is>
          <t>Estimado DION · criterio de mercado Guayaquil 2026 (no verificado en tienda)</t>
        </is>
      </c>
      <c r="P128" s="18" t="inlineStr">
        <is>
          <t>oct-2026 (est.)</t>
        </is>
      </c>
      <c r="Q128" s="18" t="n"/>
    </row>
    <row r="129">
      <c r="A129" s="34" t="n">
        <v>108</v>
      </c>
      <c r="B129" s="35" t="inlineStr">
        <is>
          <t xml:space="preserve">        Codo 45° PVC Presión E/C Ø20 mm</t>
        </is>
      </c>
      <c r="C129" s="36" t="inlineStr">
        <is>
          <t>Residencial / Comercial</t>
        </is>
      </c>
      <c r="D129" s="34" t="inlineStr">
        <is>
          <t>Codo 45° PVC</t>
        </is>
      </c>
      <c r="E129" s="34" t="inlineStr">
        <is>
          <t>U</t>
        </is>
      </c>
      <c r="F129" s="37" t="n">
        <v>10</v>
      </c>
      <c r="G129" s="38" t="n">
        <v>0.36</v>
      </c>
      <c r="H129" s="38" t="n">
        <v>0.37</v>
      </c>
      <c r="I129" s="34" t="inlineStr">
        <is>
          <t>Megametales</t>
        </is>
      </c>
      <c r="J129" s="38" t="n">
        <v>0.4</v>
      </c>
      <c r="K129" s="34" t="inlineStr">
        <is>
          <t>Kywi / Megakywi</t>
        </is>
      </c>
      <c r="L129" s="39">
        <f>F129*G129</f>
        <v/>
      </c>
      <c r="M129" s="149" t="inlineStr">
        <is>
          <t>IS-D20-ACF-PVC-C45-020</t>
        </is>
      </c>
      <c r="N129" s="34" t="inlineStr">
        <is>
          <t>Instalaciones sanitarias (hidrosanitarias)</t>
        </is>
      </c>
      <c r="O129" s="34" t="inlineStr">
        <is>
          <t>Estimado DION · criterio de mercado Guayaquil 2026 (no verificado en tienda)</t>
        </is>
      </c>
      <c r="P129" s="34" t="inlineStr">
        <is>
          <t>oct-2026 (est.)</t>
        </is>
      </c>
      <c r="Q129" s="34" t="n"/>
    </row>
    <row r="130">
      <c r="A130" s="18" t="n">
        <v>109</v>
      </c>
      <c r="B130" s="19" t="inlineStr">
        <is>
          <t xml:space="preserve">        Tee PVC Presión E/C Ø20 mm</t>
        </is>
      </c>
      <c r="C130" s="20" t="inlineStr">
        <is>
          <t>Residencial / Comercial</t>
        </is>
      </c>
      <c r="D130" s="18" t="inlineStr">
        <is>
          <t>Tee PVC</t>
        </is>
      </c>
      <c r="E130" s="18" t="inlineStr">
        <is>
          <t>U</t>
        </is>
      </c>
      <c r="F130" s="21" t="n">
        <v>10</v>
      </c>
      <c r="G130" s="22" t="n">
        <v>0.51</v>
      </c>
      <c r="H130" s="22" t="n">
        <v>0.53</v>
      </c>
      <c r="I130" s="18" t="inlineStr">
        <is>
          <t>Megametales</t>
        </is>
      </c>
      <c r="J130" s="22" t="n">
        <v>0.57</v>
      </c>
      <c r="K130" s="18" t="inlineStr">
        <is>
          <t>Ferrisariato</t>
        </is>
      </c>
      <c r="L130" s="8">
        <f>F130*G130</f>
        <v/>
      </c>
      <c r="M130" s="145" t="inlineStr">
        <is>
          <t>IS-D20-ACF-PVC-TEE-020</t>
        </is>
      </c>
      <c r="N130" s="18" t="inlineStr">
        <is>
          <t>Instalaciones sanitarias (hidrosanitarias)</t>
        </is>
      </c>
      <c r="O130" s="18" t="inlineStr">
        <is>
          <t>Estimado DION · criterio de mercado Guayaquil 2026 (no verificado en tienda)</t>
        </is>
      </c>
      <c r="P130" s="18" t="inlineStr">
        <is>
          <t>oct-2026 (est.)</t>
        </is>
      </c>
      <c r="Q130" s="18" t="n"/>
    </row>
    <row r="131">
      <c r="A131" s="34" t="n">
        <v>110</v>
      </c>
      <c r="B131" s="35" t="inlineStr">
        <is>
          <t xml:space="preserve">        Unión / Manguito PVC Presión E/C Ø20 mm</t>
        </is>
      </c>
      <c r="C131" s="36" t="inlineStr">
        <is>
          <t>Residencial / Comercial</t>
        </is>
      </c>
      <c r="D131" s="34" t="inlineStr">
        <is>
          <t>Unión PVC</t>
        </is>
      </c>
      <c r="E131" s="34" t="inlineStr">
        <is>
          <t>U</t>
        </is>
      </c>
      <c r="F131" s="37" t="n">
        <v>10</v>
      </c>
      <c r="G131" s="38" t="n">
        <v>0.23</v>
      </c>
      <c r="H131" s="38" t="n">
        <v>0.24</v>
      </c>
      <c r="I131" s="34" t="inlineStr">
        <is>
          <t>Megametales</t>
        </is>
      </c>
      <c r="J131" s="38" t="n">
        <v>0.26</v>
      </c>
      <c r="K131" s="34" t="inlineStr">
        <is>
          <t>Kywi / Megakywi</t>
        </is>
      </c>
      <c r="L131" s="39">
        <f>F131*G131</f>
        <v/>
      </c>
      <c r="M131" s="149" t="inlineStr">
        <is>
          <t>IS-D20-ACF-PVC-UNI-020</t>
        </is>
      </c>
      <c r="N131" s="34" t="inlineStr">
        <is>
          <t>Instalaciones sanitarias (hidrosanitarias)</t>
        </is>
      </c>
      <c r="O131" s="34" t="inlineStr">
        <is>
          <t>Estimado DION · criterio de mercado Guayaquil 2026 (no verificado en tienda)</t>
        </is>
      </c>
      <c r="P131" s="34" t="inlineStr">
        <is>
          <t>oct-2026 (est.)</t>
        </is>
      </c>
      <c r="Q131" s="34" t="n"/>
    </row>
    <row r="132">
      <c r="A132" s="18" t="n">
        <v>111</v>
      </c>
      <c r="B132" s="19" t="inlineStr">
        <is>
          <t xml:space="preserve">        Reducción PVC Presión E/C Ø20 mm</t>
        </is>
      </c>
      <c r="C132" s="20" t="inlineStr">
        <is>
          <t>Residencial / Comercial</t>
        </is>
      </c>
      <c r="D132" s="18" t="inlineStr">
        <is>
          <t>Reducción PVC</t>
        </is>
      </c>
      <c r="E132" s="18" t="inlineStr">
        <is>
          <t>U</t>
        </is>
      </c>
      <c r="F132" s="21" t="n">
        <v>10</v>
      </c>
      <c r="G132" s="22" t="n">
        <v>0.3</v>
      </c>
      <c r="H132" s="22" t="n">
        <v>0.32</v>
      </c>
      <c r="I132" s="18" t="inlineStr">
        <is>
          <t>Megametales</t>
        </is>
      </c>
      <c r="J132" s="22" t="n">
        <v>0.33</v>
      </c>
      <c r="K132" s="18" t="inlineStr">
        <is>
          <t>Ferrisariato</t>
        </is>
      </c>
      <c r="L132" s="8">
        <f>F132*G132</f>
        <v/>
      </c>
      <c r="M132" s="145" t="inlineStr">
        <is>
          <t>IS-D20-ACF-PVC-RED-020</t>
        </is>
      </c>
      <c r="N132" s="18" t="inlineStr">
        <is>
          <t>Instalaciones sanitarias (hidrosanitarias)</t>
        </is>
      </c>
      <c r="O132" s="18" t="inlineStr">
        <is>
          <t>Estimado DION · criterio de mercado Guayaquil 2026 (no verificado en tienda)</t>
        </is>
      </c>
      <c r="P132" s="18" t="inlineStr">
        <is>
          <t>oct-2026 (est.)</t>
        </is>
      </c>
      <c r="Q132" s="18" t="n"/>
    </row>
    <row r="133">
      <c r="A133" s="34" t="n">
        <v>112</v>
      </c>
      <c r="B133" s="35" t="inlineStr">
        <is>
          <t xml:space="preserve">        Tapón PVC Presión E/C Ø20 mm</t>
        </is>
      </c>
      <c r="C133" s="36" t="inlineStr">
        <is>
          <t>Residencial / Comercial</t>
        </is>
      </c>
      <c r="D133" s="34" t="inlineStr">
        <is>
          <t>Tapón PVC</t>
        </is>
      </c>
      <c r="E133" s="34" t="inlineStr">
        <is>
          <t>U</t>
        </is>
      </c>
      <c r="F133" s="37" t="n">
        <v>10</v>
      </c>
      <c r="G133" s="38" t="n">
        <v>0.17</v>
      </c>
      <c r="H133" s="38" t="n">
        <v>0.17</v>
      </c>
      <c r="I133" s="34" t="inlineStr">
        <is>
          <t>Megametales</t>
        </is>
      </c>
      <c r="J133" s="38" t="n">
        <v>0.19</v>
      </c>
      <c r="K133" s="34" t="inlineStr">
        <is>
          <t>Kywi / Megakywi</t>
        </is>
      </c>
      <c r="L133" s="39">
        <f>F133*G133</f>
        <v/>
      </c>
      <c r="M133" s="149" t="inlineStr">
        <is>
          <t>IS-D20-ACF-PVC-TAP-020</t>
        </is>
      </c>
      <c r="N133" s="34" t="inlineStr">
        <is>
          <t>Instalaciones sanitarias (hidrosanitarias)</t>
        </is>
      </c>
      <c r="O133" s="34" t="inlineStr">
        <is>
          <t>Estimado DION · criterio de mercado Guayaquil 2026 (no verificado en tienda)</t>
        </is>
      </c>
      <c r="P133" s="34" t="inlineStr">
        <is>
          <t>oct-2026 (est.)</t>
        </is>
      </c>
      <c r="Q133" s="34" t="n"/>
    </row>
    <row r="134">
      <c r="A134" s="18" t="n">
        <v>113</v>
      </c>
      <c r="B134" s="19" t="inlineStr">
        <is>
          <t xml:space="preserve">        Adaptador Macho PVC Presión E/C Ø20 mm</t>
        </is>
      </c>
      <c r="C134" s="20" t="inlineStr">
        <is>
          <t>Residencial / Comercial</t>
        </is>
      </c>
      <c r="D134" s="18" t="inlineStr">
        <is>
          <t>Adaptador Macho PVC</t>
        </is>
      </c>
      <c r="E134" s="18" t="inlineStr">
        <is>
          <t>U</t>
        </is>
      </c>
      <c r="F134" s="21" t="n">
        <v>10</v>
      </c>
      <c r="G134" s="22" t="n">
        <v>0.27</v>
      </c>
      <c r="H134" s="22" t="n">
        <v>0.28</v>
      </c>
      <c r="I134" s="18" t="inlineStr">
        <is>
          <t>Megametales</t>
        </is>
      </c>
      <c r="J134" s="22" t="n">
        <v>0.29</v>
      </c>
      <c r="K134" s="18" t="inlineStr">
        <is>
          <t>Ferrisariato</t>
        </is>
      </c>
      <c r="L134" s="8">
        <f>F134*G134</f>
        <v/>
      </c>
      <c r="M134" s="145" t="inlineStr">
        <is>
          <t>IS-D20-ACF-PVC-ADM-020</t>
        </is>
      </c>
      <c r="N134" s="18" t="inlineStr">
        <is>
          <t>Instalaciones sanitarias (hidrosanitarias)</t>
        </is>
      </c>
      <c r="O134" s="18" t="inlineStr">
        <is>
          <t>Estimado DION · criterio de mercado Guayaquil 2026 (no verificado en tienda)</t>
        </is>
      </c>
      <c r="P134" s="18" t="inlineStr">
        <is>
          <t>oct-2026 (est.)</t>
        </is>
      </c>
      <c r="Q134" s="18" t="n"/>
    </row>
    <row r="135">
      <c r="A135" s="34" t="n">
        <v>114</v>
      </c>
      <c r="B135" s="35" t="inlineStr">
        <is>
          <t xml:space="preserve">        Universal PVC Presión E/C Ø20 mm</t>
        </is>
      </c>
      <c r="C135" s="36" t="inlineStr">
        <is>
          <t>Residencial / Comercial</t>
        </is>
      </c>
      <c r="D135" s="34" t="inlineStr">
        <is>
          <t>Universal PVC</t>
        </is>
      </c>
      <c r="E135" s="34" t="inlineStr">
        <is>
          <t>U</t>
        </is>
      </c>
      <c r="F135" s="37" t="n">
        <v>10</v>
      </c>
      <c r="G135" s="38" t="n">
        <v>1.14</v>
      </c>
      <c r="H135" s="38" t="n">
        <v>1.17</v>
      </c>
      <c r="I135" s="34" t="inlineStr">
        <is>
          <t>Megametales</t>
        </is>
      </c>
      <c r="J135" s="38" t="n">
        <v>1.27</v>
      </c>
      <c r="K135" s="34" t="inlineStr">
        <is>
          <t>Kywi / Megakywi</t>
        </is>
      </c>
      <c r="L135" s="39">
        <f>F135*G135</f>
        <v/>
      </c>
      <c r="M135" s="149" t="inlineStr">
        <is>
          <t>IS-D20-ACF-PVC-UNV-020</t>
        </is>
      </c>
      <c r="N135" s="34" t="inlineStr">
        <is>
          <t>Instalaciones sanitarias (hidrosanitarias)</t>
        </is>
      </c>
      <c r="O135" s="34" t="inlineStr">
        <is>
          <t>Estimado DION · criterio de mercado Guayaquil 2026 (no verificado en tienda)</t>
        </is>
      </c>
      <c r="P135" s="34" t="inlineStr">
        <is>
          <t>oct-2026 (est.)</t>
        </is>
      </c>
      <c r="Q135" s="34" t="n"/>
    </row>
    <row r="136">
      <c r="A136" s="18" t="n">
        <v>115</v>
      </c>
      <c r="B136" s="19" t="inlineStr">
        <is>
          <t xml:space="preserve">        Codo 90° PVC Presión E/C Ø25 mm</t>
        </is>
      </c>
      <c r="C136" s="20" t="inlineStr">
        <is>
          <t>Residencial / Comercial</t>
        </is>
      </c>
      <c r="D136" s="18" t="inlineStr">
        <is>
          <t>Codo 90° PVC</t>
        </is>
      </c>
      <c r="E136" s="18" t="inlineStr">
        <is>
          <t>U</t>
        </is>
      </c>
      <c r="F136" s="21" t="n">
        <v>10</v>
      </c>
      <c r="G136" s="22" t="n">
        <v>0.58</v>
      </c>
      <c r="H136" s="22" t="n">
        <v>0.61</v>
      </c>
      <c r="I136" s="18" t="inlineStr">
        <is>
          <t>Megametales</t>
        </is>
      </c>
      <c r="J136" s="22" t="n">
        <v>0.64</v>
      </c>
      <c r="K136" s="18" t="inlineStr">
        <is>
          <t>Ferrisariato</t>
        </is>
      </c>
      <c r="L136" s="8">
        <f>F136*G136</f>
        <v/>
      </c>
      <c r="M136" s="145" t="inlineStr">
        <is>
          <t>IS-D20-ACF-PVC-C90-025</t>
        </is>
      </c>
      <c r="N136" s="18" t="inlineStr">
        <is>
          <t>Instalaciones sanitarias (hidrosanitarias)</t>
        </is>
      </c>
      <c r="O136" s="18" t="inlineStr">
        <is>
          <t>Estimado DION · criterio de mercado Guayaquil 2026 (no verificado en tienda)</t>
        </is>
      </c>
      <c r="P136" s="18" t="inlineStr">
        <is>
          <t>oct-2026 (est.)</t>
        </is>
      </c>
      <c r="Q136" s="18" t="n"/>
    </row>
    <row r="137">
      <c r="A137" s="34" t="n">
        <v>116</v>
      </c>
      <c r="B137" s="35" t="inlineStr">
        <is>
          <t xml:space="preserve">        Codo 45° PVC Presión E/C Ø25 mm</t>
        </is>
      </c>
      <c r="C137" s="36" t="inlineStr">
        <is>
          <t>Residencial / Comercial</t>
        </is>
      </c>
      <c r="D137" s="34" t="inlineStr">
        <is>
          <t>Codo 45° PVC</t>
        </is>
      </c>
      <c r="E137" s="34" t="inlineStr">
        <is>
          <t>U</t>
        </is>
      </c>
      <c r="F137" s="37" t="n">
        <v>10</v>
      </c>
      <c r="G137" s="38" t="n">
        <v>0.55</v>
      </c>
      <c r="H137" s="38" t="n">
        <v>0.57</v>
      </c>
      <c r="I137" s="34" t="inlineStr">
        <is>
          <t>Megametales</t>
        </is>
      </c>
      <c r="J137" s="38" t="n">
        <v>0.61</v>
      </c>
      <c r="K137" s="34" t="inlineStr">
        <is>
          <t>Kywi / Megakywi</t>
        </is>
      </c>
      <c r="L137" s="39">
        <f>F137*G137</f>
        <v/>
      </c>
      <c r="M137" s="149" t="inlineStr">
        <is>
          <t>IS-D20-ACF-PVC-C45-025</t>
        </is>
      </c>
      <c r="N137" s="34" t="inlineStr">
        <is>
          <t>Instalaciones sanitarias (hidrosanitarias)</t>
        </is>
      </c>
      <c r="O137" s="34" t="inlineStr">
        <is>
          <t>Estimado DION · criterio de mercado Guayaquil 2026 (no verificado en tienda)</t>
        </is>
      </c>
      <c r="P137" s="34" t="inlineStr">
        <is>
          <t>oct-2026 (est.)</t>
        </is>
      </c>
      <c r="Q137" s="34" t="n"/>
    </row>
    <row r="138">
      <c r="A138" s="18" t="n">
        <v>117</v>
      </c>
      <c r="B138" s="19" t="inlineStr">
        <is>
          <t xml:space="preserve">        Tee PVC Presión E/C Ø25 mm</t>
        </is>
      </c>
      <c r="C138" s="20" t="inlineStr">
        <is>
          <t>Residencial / Comercial</t>
        </is>
      </c>
      <c r="D138" s="18" t="inlineStr">
        <is>
          <t>Tee PVC</t>
        </is>
      </c>
      <c r="E138" s="18" t="inlineStr">
        <is>
          <t>U</t>
        </is>
      </c>
      <c r="F138" s="21" t="n">
        <v>10</v>
      </c>
      <c r="G138" s="22" t="n">
        <v>0.78</v>
      </c>
      <c r="H138" s="22" t="n">
        <v>0.8100000000000001</v>
      </c>
      <c r="I138" s="18" t="inlineStr">
        <is>
          <t>Megametales</t>
        </is>
      </c>
      <c r="J138" s="22" t="n">
        <v>0.84</v>
      </c>
      <c r="K138" s="18" t="inlineStr">
        <is>
          <t>Ferrisariato</t>
        </is>
      </c>
      <c r="L138" s="8">
        <f>F138*G138</f>
        <v/>
      </c>
      <c r="M138" s="145" t="inlineStr">
        <is>
          <t>IS-D20-ACF-PVC-TEE-025</t>
        </is>
      </c>
      <c r="N138" s="18" t="inlineStr">
        <is>
          <t>Instalaciones sanitarias (hidrosanitarias)</t>
        </is>
      </c>
      <c r="O138" s="18" t="inlineStr">
        <is>
          <t>Estimado DION · criterio de mercado Guayaquil 2026 (no verificado en tienda)</t>
        </is>
      </c>
      <c r="P138" s="18" t="inlineStr">
        <is>
          <t>oct-2026 (est.)</t>
        </is>
      </c>
      <c r="Q138" s="18" t="n"/>
    </row>
    <row r="139">
      <c r="A139" s="34" t="n">
        <v>118</v>
      </c>
      <c r="B139" s="35" t="inlineStr">
        <is>
          <t xml:space="preserve">        Unión / Manguito PVC Presión E/C Ø25 mm</t>
        </is>
      </c>
      <c r="C139" s="36" t="inlineStr">
        <is>
          <t>Residencial / Comercial</t>
        </is>
      </c>
      <c r="D139" s="34" t="inlineStr">
        <is>
          <t>Unión PVC</t>
        </is>
      </c>
      <c r="E139" s="34" t="inlineStr">
        <is>
          <t>U</t>
        </is>
      </c>
      <c r="F139" s="37" t="n">
        <v>10</v>
      </c>
      <c r="G139" s="38" t="n">
        <v>0.35</v>
      </c>
      <c r="H139" s="38" t="n">
        <v>0.36</v>
      </c>
      <c r="I139" s="34" t="inlineStr">
        <is>
          <t>Megametales</t>
        </is>
      </c>
      <c r="J139" s="38" t="n">
        <v>0.38</v>
      </c>
      <c r="K139" s="34" t="inlineStr">
        <is>
          <t>Kywi / Megakywi</t>
        </is>
      </c>
      <c r="L139" s="39">
        <f>F139*G139</f>
        <v/>
      </c>
      <c r="M139" s="149" t="inlineStr">
        <is>
          <t>IS-D20-ACF-PVC-UNI-025</t>
        </is>
      </c>
      <c r="N139" s="34" t="inlineStr">
        <is>
          <t>Instalaciones sanitarias (hidrosanitarias)</t>
        </is>
      </c>
      <c r="O139" s="34" t="inlineStr">
        <is>
          <t>Estimado DION · criterio de mercado Guayaquil 2026 (no verificado en tienda)</t>
        </is>
      </c>
      <c r="P139" s="34" t="inlineStr">
        <is>
          <t>oct-2026 (est.)</t>
        </is>
      </c>
      <c r="Q139" s="34" t="n"/>
    </row>
    <row r="140">
      <c r="A140" s="18" t="n">
        <v>119</v>
      </c>
      <c r="B140" s="19" t="inlineStr">
        <is>
          <t xml:space="preserve">        Reducción PVC Presión E/C Ø25 mm</t>
        </is>
      </c>
      <c r="C140" s="20" t="inlineStr">
        <is>
          <t>Residencial / Comercial</t>
        </is>
      </c>
      <c r="D140" s="18" t="inlineStr">
        <is>
          <t>Reducción PVC</t>
        </is>
      </c>
      <c r="E140" s="18" t="inlineStr">
        <is>
          <t>U</t>
        </is>
      </c>
      <c r="F140" s="21" t="n">
        <v>10</v>
      </c>
      <c r="G140" s="22" t="n">
        <v>0.46</v>
      </c>
      <c r="H140" s="22" t="n">
        <v>0.48</v>
      </c>
      <c r="I140" s="18" t="inlineStr">
        <is>
          <t>Megametales</t>
        </is>
      </c>
      <c r="J140" s="22" t="n">
        <v>0.5</v>
      </c>
      <c r="K140" s="18" t="inlineStr">
        <is>
          <t>Ferrisariato</t>
        </is>
      </c>
      <c r="L140" s="8">
        <f>F140*G140</f>
        <v/>
      </c>
      <c r="M140" s="145" t="inlineStr">
        <is>
          <t>IS-D20-ACF-PVC-RED-025</t>
        </is>
      </c>
      <c r="N140" s="18" t="inlineStr">
        <is>
          <t>Instalaciones sanitarias (hidrosanitarias)</t>
        </is>
      </c>
      <c r="O140" s="18" t="inlineStr">
        <is>
          <t>Estimado DION · criterio de mercado Guayaquil 2026 (no verificado en tienda)</t>
        </is>
      </c>
      <c r="P140" s="18" t="inlineStr">
        <is>
          <t>oct-2026 (est.)</t>
        </is>
      </c>
      <c r="Q140" s="18" t="n"/>
    </row>
    <row r="141">
      <c r="A141" s="34" t="n">
        <v>120</v>
      </c>
      <c r="B141" s="35" t="inlineStr">
        <is>
          <t xml:space="preserve">        Tapón PVC Presión E/C Ø25 mm</t>
        </is>
      </c>
      <c r="C141" s="36" t="inlineStr">
        <is>
          <t>Residencial / Comercial</t>
        </is>
      </c>
      <c r="D141" s="34" t="inlineStr">
        <is>
          <t>Tapón PVC</t>
        </is>
      </c>
      <c r="E141" s="34" t="inlineStr">
        <is>
          <t>U</t>
        </is>
      </c>
      <c r="F141" s="37" t="n">
        <v>10</v>
      </c>
      <c r="G141" s="38" t="n">
        <v>0.26</v>
      </c>
      <c r="H141" s="38" t="n">
        <v>0.27</v>
      </c>
      <c r="I141" s="34" t="inlineStr">
        <is>
          <t>Megametales</t>
        </is>
      </c>
      <c r="J141" s="38" t="n">
        <v>0.29</v>
      </c>
      <c r="K141" s="34" t="inlineStr">
        <is>
          <t>Kywi / Megakywi</t>
        </is>
      </c>
      <c r="L141" s="39">
        <f>F141*G141</f>
        <v/>
      </c>
      <c r="M141" s="149" t="inlineStr">
        <is>
          <t>IS-D20-ACF-PVC-TAP-025</t>
        </is>
      </c>
      <c r="N141" s="34" t="inlineStr">
        <is>
          <t>Instalaciones sanitarias (hidrosanitarias)</t>
        </is>
      </c>
      <c r="O141" s="34" t="inlineStr">
        <is>
          <t>Estimado DION · criterio de mercado Guayaquil 2026 (no verificado en tienda)</t>
        </is>
      </c>
      <c r="P141" s="34" t="inlineStr">
        <is>
          <t>oct-2026 (est.)</t>
        </is>
      </c>
      <c r="Q141" s="34" t="n"/>
    </row>
    <row r="142">
      <c r="A142" s="18" t="n">
        <v>121</v>
      </c>
      <c r="B142" s="19" t="inlineStr">
        <is>
          <t xml:space="preserve">        Adaptador Macho PVC Presión E/C Ø25 mm</t>
        </is>
      </c>
      <c r="C142" s="20" t="inlineStr">
        <is>
          <t>Residencial / Comercial</t>
        </is>
      </c>
      <c r="D142" s="18" t="inlineStr">
        <is>
          <t>Adaptador Macho PVC</t>
        </is>
      </c>
      <c r="E142" s="18" t="inlineStr">
        <is>
          <t>U</t>
        </is>
      </c>
      <c r="F142" s="21" t="n">
        <v>10</v>
      </c>
      <c r="G142" s="22" t="n">
        <v>0.41</v>
      </c>
      <c r="H142" s="22" t="n">
        <v>0.42</v>
      </c>
      <c r="I142" s="18" t="inlineStr">
        <is>
          <t>Megametales</t>
        </is>
      </c>
      <c r="J142" s="22" t="n">
        <v>0.44</v>
      </c>
      <c r="K142" s="18" t="inlineStr">
        <is>
          <t>Ferrisariato</t>
        </is>
      </c>
      <c r="L142" s="8">
        <f>F142*G142</f>
        <v/>
      </c>
      <c r="M142" s="145" t="inlineStr">
        <is>
          <t>IS-D20-ACF-PVC-ADM-025</t>
        </is>
      </c>
      <c r="N142" s="18" t="inlineStr">
        <is>
          <t>Instalaciones sanitarias (hidrosanitarias)</t>
        </is>
      </c>
      <c r="O142" s="18" t="inlineStr">
        <is>
          <t>Estimado DION · criterio de mercado Guayaquil 2026 (no verificado en tienda)</t>
        </is>
      </c>
      <c r="P142" s="18" t="inlineStr">
        <is>
          <t>oct-2026 (est.)</t>
        </is>
      </c>
      <c r="Q142" s="18" t="n"/>
    </row>
    <row r="143">
      <c r="A143" s="34" t="n">
        <v>122</v>
      </c>
      <c r="B143" s="35" t="inlineStr">
        <is>
          <t xml:space="preserve">        Universal PVC Presión E/C Ø25 mm</t>
        </is>
      </c>
      <c r="C143" s="36" t="inlineStr">
        <is>
          <t>Residencial / Comercial</t>
        </is>
      </c>
      <c r="D143" s="34" t="inlineStr">
        <is>
          <t>Universal PVC</t>
        </is>
      </c>
      <c r="E143" s="34" t="inlineStr">
        <is>
          <t>U</t>
        </is>
      </c>
      <c r="F143" s="37" t="n">
        <v>10</v>
      </c>
      <c r="G143" s="38" t="n">
        <v>1.74</v>
      </c>
      <c r="H143" s="38" t="n">
        <v>1.79</v>
      </c>
      <c r="I143" s="34" t="inlineStr">
        <is>
          <t>Megametales</t>
        </is>
      </c>
      <c r="J143" s="38" t="n">
        <v>1.86</v>
      </c>
      <c r="K143" s="34" t="inlineStr">
        <is>
          <t>Kywi / Megakywi</t>
        </is>
      </c>
      <c r="L143" s="39">
        <f>F143*G143</f>
        <v/>
      </c>
      <c r="M143" s="149" t="inlineStr">
        <is>
          <t>IS-D20-ACF-PVC-UNV-025</t>
        </is>
      </c>
      <c r="N143" s="34" t="inlineStr">
        <is>
          <t>Instalaciones sanitarias (hidrosanitarias)</t>
        </is>
      </c>
      <c r="O143" s="34" t="inlineStr">
        <is>
          <t>Estimado DION · criterio de mercado Guayaquil 2026 (no verificado en tienda)</t>
        </is>
      </c>
      <c r="P143" s="34" t="inlineStr">
        <is>
          <t>oct-2026 (est.)</t>
        </is>
      </c>
      <c r="Q143" s="34" t="n"/>
    </row>
    <row r="144">
      <c r="A144" s="18" t="n">
        <v>123</v>
      </c>
      <c r="B144" s="19" t="inlineStr">
        <is>
          <t xml:space="preserve">        Codo 90° PVC Presión E/C Ø32 mm</t>
        </is>
      </c>
      <c r="C144" s="20" t="inlineStr">
        <is>
          <t>Residencial / Comercial</t>
        </is>
      </c>
      <c r="D144" s="18" t="inlineStr">
        <is>
          <t>Codo 90° PVC</t>
        </is>
      </c>
      <c r="E144" s="18" t="inlineStr">
        <is>
          <t>U</t>
        </is>
      </c>
      <c r="F144" s="21" t="n">
        <v>10</v>
      </c>
      <c r="G144" s="22" t="n">
        <v>0.98</v>
      </c>
      <c r="H144" s="22" t="n">
        <v>1</v>
      </c>
      <c r="I144" s="18" t="inlineStr">
        <is>
          <t>Megametales</t>
        </is>
      </c>
      <c r="J144" s="22" t="n">
        <v>1.09</v>
      </c>
      <c r="K144" s="18" t="inlineStr">
        <is>
          <t>Ferrisariato</t>
        </is>
      </c>
      <c r="L144" s="8">
        <f>F144*G144</f>
        <v/>
      </c>
      <c r="M144" s="145" t="inlineStr">
        <is>
          <t>IS-D20-ACF-PVC-C90-032</t>
        </is>
      </c>
      <c r="N144" s="18" t="inlineStr">
        <is>
          <t>Instalaciones sanitarias (hidrosanitarias)</t>
        </is>
      </c>
      <c r="O144" s="18" t="inlineStr">
        <is>
          <t>Estimado DION · criterio de mercado Guayaquil 2026 (no verificado en tienda)</t>
        </is>
      </c>
      <c r="P144" s="18" t="inlineStr">
        <is>
          <t>oct-2026 (est.)</t>
        </is>
      </c>
      <c r="Q144" s="18" t="n"/>
    </row>
    <row r="145">
      <c r="A145" s="34" t="n">
        <v>124</v>
      </c>
      <c r="B145" s="35" t="inlineStr">
        <is>
          <t xml:space="preserve">        Codo 45° PVC Presión E/C Ø32 mm</t>
        </is>
      </c>
      <c r="C145" s="36" t="inlineStr">
        <is>
          <t>Residencial / Comercial</t>
        </is>
      </c>
      <c r="D145" s="34" t="inlineStr">
        <is>
          <t>Codo 45° PVC</t>
        </is>
      </c>
      <c r="E145" s="34" t="inlineStr">
        <is>
          <t>U</t>
        </is>
      </c>
      <c r="F145" s="37" t="n">
        <v>10</v>
      </c>
      <c r="G145" s="38" t="n">
        <v>0.93</v>
      </c>
      <c r="H145" s="38" t="n">
        <v>0.96</v>
      </c>
      <c r="I145" s="34" t="inlineStr">
        <is>
          <t>Megametales</t>
        </is>
      </c>
      <c r="J145" s="38" t="n">
        <v>1.02</v>
      </c>
      <c r="K145" s="34" t="inlineStr">
        <is>
          <t>Kywi / Megakywi</t>
        </is>
      </c>
      <c r="L145" s="39">
        <f>F145*G145</f>
        <v/>
      </c>
      <c r="M145" s="149" t="inlineStr">
        <is>
          <t>IS-D20-ACF-PVC-C45-032</t>
        </is>
      </c>
      <c r="N145" s="34" t="inlineStr">
        <is>
          <t>Instalaciones sanitarias (hidrosanitarias)</t>
        </is>
      </c>
      <c r="O145" s="34" t="inlineStr">
        <is>
          <t>Estimado DION · criterio de mercado Guayaquil 2026 (no verificado en tienda)</t>
        </is>
      </c>
      <c r="P145" s="34" t="inlineStr">
        <is>
          <t>oct-2026 (est.)</t>
        </is>
      </c>
      <c r="Q145" s="34" t="n"/>
    </row>
    <row r="146">
      <c r="A146" s="18" t="n">
        <v>125</v>
      </c>
      <c r="B146" s="19" t="inlineStr">
        <is>
          <t xml:space="preserve">        Tee PVC Presión E/C Ø32 mm</t>
        </is>
      </c>
      <c r="C146" s="20" t="inlineStr">
        <is>
          <t>Residencial / Comercial</t>
        </is>
      </c>
      <c r="D146" s="18" t="inlineStr">
        <is>
          <t>Tee PVC</t>
        </is>
      </c>
      <c r="E146" s="18" t="inlineStr">
        <is>
          <t>U</t>
        </is>
      </c>
      <c r="F146" s="21" t="n">
        <v>10</v>
      </c>
      <c r="G146" s="22" t="n">
        <v>1.32</v>
      </c>
      <c r="H146" s="22" t="n">
        <v>1.37</v>
      </c>
      <c r="I146" s="18" t="inlineStr">
        <is>
          <t>Megametales</t>
        </is>
      </c>
      <c r="J146" s="22" t="n">
        <v>1.41</v>
      </c>
      <c r="K146" s="18" t="inlineStr">
        <is>
          <t>Ferrisariato</t>
        </is>
      </c>
      <c r="L146" s="8">
        <f>F146*G146</f>
        <v/>
      </c>
      <c r="M146" s="145" t="inlineStr">
        <is>
          <t>IS-D20-ACF-PVC-TEE-032</t>
        </is>
      </c>
      <c r="N146" s="18" t="inlineStr">
        <is>
          <t>Instalaciones sanitarias (hidrosanitarias)</t>
        </is>
      </c>
      <c r="O146" s="18" t="inlineStr">
        <is>
          <t>Estimado DION · criterio de mercado Guayaquil 2026 (no verificado en tienda)</t>
        </is>
      </c>
      <c r="P146" s="18" t="inlineStr">
        <is>
          <t>oct-2026 (est.)</t>
        </is>
      </c>
      <c r="Q146" s="18" t="n"/>
    </row>
    <row r="147">
      <c r="A147" s="34" t="n">
        <v>126</v>
      </c>
      <c r="B147" s="35" t="inlineStr">
        <is>
          <t xml:space="preserve">        Unión / Manguito PVC Presión E/C Ø32 mm</t>
        </is>
      </c>
      <c r="C147" s="36" t="inlineStr">
        <is>
          <t>Residencial / Comercial</t>
        </is>
      </c>
      <c r="D147" s="34" t="inlineStr">
        <is>
          <t>Unión PVC</t>
        </is>
      </c>
      <c r="E147" s="34" t="inlineStr">
        <is>
          <t>U</t>
        </is>
      </c>
      <c r="F147" s="37" t="n">
        <v>10</v>
      </c>
      <c r="G147" s="38" t="n">
        <v>0.59</v>
      </c>
      <c r="H147" s="38" t="n">
        <v>0.61</v>
      </c>
      <c r="I147" s="34" t="inlineStr">
        <is>
          <t>Megametales</t>
        </is>
      </c>
      <c r="J147" s="38" t="n">
        <v>0.64</v>
      </c>
      <c r="K147" s="34" t="inlineStr">
        <is>
          <t>Kywi / Megakywi</t>
        </is>
      </c>
      <c r="L147" s="39">
        <f>F147*G147</f>
        <v/>
      </c>
      <c r="M147" s="149" t="inlineStr">
        <is>
          <t>IS-D20-ACF-PVC-UNI-032</t>
        </is>
      </c>
      <c r="N147" s="34" t="inlineStr">
        <is>
          <t>Instalaciones sanitarias (hidrosanitarias)</t>
        </is>
      </c>
      <c r="O147" s="34" t="inlineStr">
        <is>
          <t>Estimado DION · criterio de mercado Guayaquil 2026 (no verificado en tienda)</t>
        </is>
      </c>
      <c r="P147" s="34" t="inlineStr">
        <is>
          <t>oct-2026 (est.)</t>
        </is>
      </c>
      <c r="Q147" s="34" t="n"/>
    </row>
    <row r="148">
      <c r="A148" s="18" t="n">
        <v>127</v>
      </c>
      <c r="B148" s="19" t="inlineStr">
        <is>
          <t xml:space="preserve">        Reducción PVC Presión E/C Ø32 mm</t>
        </is>
      </c>
      <c r="C148" s="20" t="inlineStr">
        <is>
          <t>Residencial / Comercial</t>
        </is>
      </c>
      <c r="D148" s="18" t="inlineStr">
        <is>
          <t>Reducción PVC</t>
        </is>
      </c>
      <c r="E148" s="18" t="inlineStr">
        <is>
          <t>U</t>
        </is>
      </c>
      <c r="F148" s="21" t="n">
        <v>10</v>
      </c>
      <c r="G148" s="22" t="n">
        <v>0.78</v>
      </c>
      <c r="H148" s="22" t="n">
        <v>0.8</v>
      </c>
      <c r="I148" s="18" t="inlineStr">
        <is>
          <t>Megametales</t>
        </is>
      </c>
      <c r="J148" s="22" t="n">
        <v>0.85</v>
      </c>
      <c r="K148" s="18" t="inlineStr">
        <is>
          <t>Ferrisariato</t>
        </is>
      </c>
      <c r="L148" s="8">
        <f>F148*G148</f>
        <v/>
      </c>
      <c r="M148" s="145" t="inlineStr">
        <is>
          <t>IS-D20-ACF-PVC-RED-032</t>
        </is>
      </c>
      <c r="N148" s="18" t="inlineStr">
        <is>
          <t>Instalaciones sanitarias (hidrosanitarias)</t>
        </is>
      </c>
      <c r="O148" s="18" t="inlineStr">
        <is>
          <t>Estimado DION · criterio de mercado Guayaquil 2026 (no verificado en tienda)</t>
        </is>
      </c>
      <c r="P148" s="18" t="inlineStr">
        <is>
          <t>oct-2026 (est.)</t>
        </is>
      </c>
      <c r="Q148" s="18" t="n"/>
    </row>
    <row r="149">
      <c r="A149" s="34" t="n">
        <v>128</v>
      </c>
      <c r="B149" s="35" t="inlineStr">
        <is>
          <t xml:space="preserve">        Tapón PVC Presión E/C Ø32 mm</t>
        </is>
      </c>
      <c r="C149" s="36" t="inlineStr">
        <is>
          <t>Residencial / Comercial</t>
        </is>
      </c>
      <c r="D149" s="34" t="inlineStr">
        <is>
          <t>Tapón PVC</t>
        </is>
      </c>
      <c r="E149" s="34" t="inlineStr">
        <is>
          <t>U</t>
        </is>
      </c>
      <c r="F149" s="37" t="n">
        <v>10</v>
      </c>
      <c r="G149" s="38" t="n">
        <v>0.44</v>
      </c>
      <c r="H149" s="38" t="n">
        <v>0.45</v>
      </c>
      <c r="I149" s="34" t="inlineStr">
        <is>
          <t>Megametales</t>
        </is>
      </c>
      <c r="J149" s="38" t="n">
        <v>0.49</v>
      </c>
      <c r="K149" s="34" t="inlineStr">
        <is>
          <t>Kywi / Megakywi</t>
        </is>
      </c>
      <c r="L149" s="39">
        <f>F149*G149</f>
        <v/>
      </c>
      <c r="M149" s="149" t="inlineStr">
        <is>
          <t>IS-D20-ACF-PVC-TAP-032</t>
        </is>
      </c>
      <c r="N149" s="34" t="inlineStr">
        <is>
          <t>Instalaciones sanitarias (hidrosanitarias)</t>
        </is>
      </c>
      <c r="O149" s="34" t="inlineStr">
        <is>
          <t>Estimado DION · criterio de mercado Guayaquil 2026 (no verificado en tienda)</t>
        </is>
      </c>
      <c r="P149" s="34" t="inlineStr">
        <is>
          <t>oct-2026 (est.)</t>
        </is>
      </c>
      <c r="Q149" s="34" t="n"/>
    </row>
    <row r="150">
      <c r="A150" s="18" t="n">
        <v>129</v>
      </c>
      <c r="B150" s="19" t="inlineStr">
        <is>
          <t xml:space="preserve">        Adaptador Macho PVC Presión E/C Ø32 mm</t>
        </is>
      </c>
      <c r="C150" s="20" t="inlineStr">
        <is>
          <t>Residencial / Comercial</t>
        </is>
      </c>
      <c r="D150" s="18" t="inlineStr">
        <is>
          <t>Adaptador Macho PVC</t>
        </is>
      </c>
      <c r="E150" s="18" t="inlineStr">
        <is>
          <t>U</t>
        </is>
      </c>
      <c r="F150" s="21" t="n">
        <v>10</v>
      </c>
      <c r="G150" s="22" t="n">
        <v>0.6899999999999999</v>
      </c>
      <c r="H150" s="22" t="n">
        <v>0.72</v>
      </c>
      <c r="I150" s="18" t="inlineStr">
        <is>
          <t>Megametales</t>
        </is>
      </c>
      <c r="J150" s="22" t="n">
        <v>0.76</v>
      </c>
      <c r="K150" s="18" t="inlineStr">
        <is>
          <t>Ferrisariato</t>
        </is>
      </c>
      <c r="L150" s="8">
        <f>F150*G150</f>
        <v/>
      </c>
      <c r="M150" s="145" t="inlineStr">
        <is>
          <t>IS-D20-ACF-PVC-ADM-032</t>
        </is>
      </c>
      <c r="N150" s="18" t="inlineStr">
        <is>
          <t>Instalaciones sanitarias (hidrosanitarias)</t>
        </is>
      </c>
      <c r="O150" s="18" t="inlineStr">
        <is>
          <t>Estimado DION · criterio de mercado Guayaquil 2026 (no verificado en tienda)</t>
        </is>
      </c>
      <c r="P150" s="18" t="inlineStr">
        <is>
          <t>oct-2026 (est.)</t>
        </is>
      </c>
      <c r="Q150" s="18" t="n"/>
    </row>
    <row r="151">
      <c r="A151" s="34" t="n">
        <v>130</v>
      </c>
      <c r="B151" s="35" t="inlineStr">
        <is>
          <t xml:space="preserve">        Universal PVC Presión E/C Ø32 mm</t>
        </is>
      </c>
      <c r="C151" s="36" t="inlineStr">
        <is>
          <t>Residencial / Comercial</t>
        </is>
      </c>
      <c r="D151" s="34" t="inlineStr">
        <is>
          <t>Universal PVC</t>
        </is>
      </c>
      <c r="E151" s="34" t="inlineStr">
        <is>
          <t>U</t>
        </is>
      </c>
      <c r="F151" s="37" t="n">
        <v>10</v>
      </c>
      <c r="G151" s="38" t="n">
        <v>2.94</v>
      </c>
      <c r="H151" s="38" t="n">
        <v>3.06</v>
      </c>
      <c r="I151" s="34" t="inlineStr">
        <is>
          <t>Megametales</t>
        </is>
      </c>
      <c r="J151" s="38" t="n">
        <v>3.15</v>
      </c>
      <c r="K151" s="34" t="inlineStr">
        <is>
          <t>Kywi / Megakywi</t>
        </is>
      </c>
      <c r="L151" s="39">
        <f>F151*G151</f>
        <v/>
      </c>
      <c r="M151" s="149" t="inlineStr">
        <is>
          <t>IS-D20-ACF-PVC-UNV-032</t>
        </is>
      </c>
      <c r="N151" s="34" t="inlineStr">
        <is>
          <t>Instalaciones sanitarias (hidrosanitarias)</t>
        </is>
      </c>
      <c r="O151" s="34" t="inlineStr">
        <is>
          <t>Estimado DION · criterio de mercado Guayaquil 2026 (no verificado en tienda)</t>
        </is>
      </c>
      <c r="P151" s="34" t="inlineStr">
        <is>
          <t>oct-2026 (est.)</t>
        </is>
      </c>
      <c r="Q151" s="34" t="n"/>
    </row>
    <row r="152">
      <c r="A152" s="18" t="n">
        <v>131</v>
      </c>
      <c r="B152" s="19" t="inlineStr">
        <is>
          <t xml:space="preserve">        Codo 90° PVC Presión E/C Ø40 mm</t>
        </is>
      </c>
      <c r="C152" s="20" t="inlineStr">
        <is>
          <t>Residencial / Comercial</t>
        </is>
      </c>
      <c r="D152" s="18" t="inlineStr">
        <is>
          <t>Codo 90° PVC</t>
        </is>
      </c>
      <c r="E152" s="18" t="inlineStr">
        <is>
          <t>U</t>
        </is>
      </c>
      <c r="F152" s="21" t="n">
        <v>2</v>
      </c>
      <c r="G152" s="22" t="n">
        <v>1.65</v>
      </c>
      <c r="H152" s="22" t="n">
        <v>1.73</v>
      </c>
      <c r="I152" s="18" t="inlineStr">
        <is>
          <t>Megametales</t>
        </is>
      </c>
      <c r="J152" s="22" t="n">
        <v>1.78</v>
      </c>
      <c r="K152" s="18" t="inlineStr">
        <is>
          <t>Ferrisariato</t>
        </is>
      </c>
      <c r="L152" s="8">
        <f>F152*G152</f>
        <v/>
      </c>
      <c r="M152" s="145" t="inlineStr">
        <is>
          <t>IS-D20-ACF-PVC-C90-040</t>
        </is>
      </c>
      <c r="N152" s="18" t="inlineStr">
        <is>
          <t>Instalaciones sanitarias (hidrosanitarias)</t>
        </is>
      </c>
      <c r="O152" s="18" t="inlineStr">
        <is>
          <t>Estimado DION · criterio de mercado Guayaquil 2026 (no verificado en tienda)</t>
        </is>
      </c>
      <c r="P152" s="18" t="inlineStr">
        <is>
          <t>oct-2026 (est.)</t>
        </is>
      </c>
      <c r="Q152" s="18" t="n"/>
    </row>
    <row r="153">
      <c r="A153" s="34" t="n">
        <v>132</v>
      </c>
      <c r="B153" s="35" t="inlineStr">
        <is>
          <t xml:space="preserve">        Codo 45° PVC Presión E/C Ø40 mm</t>
        </is>
      </c>
      <c r="C153" s="36" t="inlineStr">
        <is>
          <t>Residencial / Comercial</t>
        </is>
      </c>
      <c r="D153" s="34" t="inlineStr">
        <is>
          <t>Codo 45° PVC</t>
        </is>
      </c>
      <c r="E153" s="34" t="inlineStr">
        <is>
          <t>U</t>
        </is>
      </c>
      <c r="F153" s="37" t="n">
        <v>2</v>
      </c>
      <c r="G153" s="38" t="n">
        <v>1.57</v>
      </c>
      <c r="H153" s="38" t="n">
        <v>1.63</v>
      </c>
      <c r="I153" s="34" t="inlineStr">
        <is>
          <t>Megametales</t>
        </is>
      </c>
      <c r="J153" s="38" t="n">
        <v>1.7</v>
      </c>
      <c r="K153" s="34" t="inlineStr">
        <is>
          <t>Kywi / Megakywi</t>
        </is>
      </c>
      <c r="L153" s="39">
        <f>F153*G153</f>
        <v/>
      </c>
      <c r="M153" s="149" t="inlineStr">
        <is>
          <t>IS-D20-ACF-PVC-C45-040</t>
        </is>
      </c>
      <c r="N153" s="34" t="inlineStr">
        <is>
          <t>Instalaciones sanitarias (hidrosanitarias)</t>
        </is>
      </c>
      <c r="O153" s="34" t="inlineStr">
        <is>
          <t>Estimado DION · criterio de mercado Guayaquil 2026 (no verificado en tienda)</t>
        </is>
      </c>
      <c r="P153" s="34" t="inlineStr">
        <is>
          <t>oct-2026 (est.)</t>
        </is>
      </c>
      <c r="Q153" s="34" t="n"/>
    </row>
    <row r="154">
      <c r="A154" s="18" t="n">
        <v>133</v>
      </c>
      <c r="B154" s="19" t="inlineStr">
        <is>
          <t xml:space="preserve">        Tee PVC Presión E/C Ø40 mm</t>
        </is>
      </c>
      <c r="C154" s="20" t="inlineStr">
        <is>
          <t>Residencial / Comercial</t>
        </is>
      </c>
      <c r="D154" s="18" t="inlineStr">
        <is>
          <t>Tee PVC</t>
        </is>
      </c>
      <c r="E154" s="18" t="inlineStr">
        <is>
          <t>U</t>
        </is>
      </c>
      <c r="F154" s="21" t="n">
        <v>2</v>
      </c>
      <c r="G154" s="22" t="n">
        <v>2.23</v>
      </c>
      <c r="H154" s="22" t="n">
        <v>2.3</v>
      </c>
      <c r="I154" s="18" t="inlineStr">
        <is>
          <t>Megametales</t>
        </is>
      </c>
      <c r="J154" s="22" t="n">
        <v>2.43</v>
      </c>
      <c r="K154" s="18" t="inlineStr">
        <is>
          <t>Ferrisariato</t>
        </is>
      </c>
      <c r="L154" s="8">
        <f>F154*G154</f>
        <v/>
      </c>
      <c r="M154" s="145" t="inlineStr">
        <is>
          <t>IS-D20-ACF-PVC-TEE-040</t>
        </is>
      </c>
      <c r="N154" s="18" t="inlineStr">
        <is>
          <t>Instalaciones sanitarias (hidrosanitarias)</t>
        </is>
      </c>
      <c r="O154" s="18" t="inlineStr">
        <is>
          <t>Estimado DION · criterio de mercado Guayaquil 2026 (no verificado en tienda)</t>
        </is>
      </c>
      <c r="P154" s="18" t="inlineStr">
        <is>
          <t>oct-2026 (est.)</t>
        </is>
      </c>
      <c r="Q154" s="18" t="n"/>
    </row>
    <row r="155">
      <c r="A155" s="34" t="n">
        <v>134</v>
      </c>
      <c r="B155" s="35" t="inlineStr">
        <is>
          <t xml:space="preserve">        Unión / Manguito PVC Presión E/C Ø40 mm</t>
        </is>
      </c>
      <c r="C155" s="36" t="inlineStr">
        <is>
          <t>Residencial / Comercial</t>
        </is>
      </c>
      <c r="D155" s="34" t="inlineStr">
        <is>
          <t>Unión PVC</t>
        </is>
      </c>
      <c r="E155" s="34" t="inlineStr">
        <is>
          <t>U</t>
        </is>
      </c>
      <c r="F155" s="37" t="n">
        <v>2</v>
      </c>
      <c r="G155" s="38" t="n">
        <v>0.99</v>
      </c>
      <c r="H155" s="38" t="n">
        <v>1.02</v>
      </c>
      <c r="I155" s="34" t="inlineStr">
        <is>
          <t>Megametales</t>
        </is>
      </c>
      <c r="J155" s="38" t="n">
        <v>1.1</v>
      </c>
      <c r="K155" s="34" t="inlineStr">
        <is>
          <t>Kywi / Megakywi</t>
        </is>
      </c>
      <c r="L155" s="39">
        <f>F155*G155</f>
        <v/>
      </c>
      <c r="M155" s="149" t="inlineStr">
        <is>
          <t>IS-D20-ACF-PVC-UNI-040</t>
        </is>
      </c>
      <c r="N155" s="34" t="inlineStr">
        <is>
          <t>Instalaciones sanitarias (hidrosanitarias)</t>
        </is>
      </c>
      <c r="O155" s="34" t="inlineStr">
        <is>
          <t>Estimado DION · criterio de mercado Guayaquil 2026 (no verificado en tienda)</t>
        </is>
      </c>
      <c r="P155" s="34" t="inlineStr">
        <is>
          <t>oct-2026 (est.)</t>
        </is>
      </c>
      <c r="Q155" s="34" t="n"/>
    </row>
    <row r="156">
      <c r="A156" s="18" t="n">
        <v>135</v>
      </c>
      <c r="B156" s="19" t="inlineStr">
        <is>
          <t xml:space="preserve">        Reducción PVC Presión E/C Ø40 mm</t>
        </is>
      </c>
      <c r="C156" s="20" t="inlineStr">
        <is>
          <t>Residencial / Comercial</t>
        </is>
      </c>
      <c r="D156" s="18" t="inlineStr">
        <is>
          <t>Reducción PVC</t>
        </is>
      </c>
      <c r="E156" s="18" t="inlineStr">
        <is>
          <t>U</t>
        </is>
      </c>
      <c r="F156" s="21" t="n">
        <v>2</v>
      </c>
      <c r="G156" s="22" t="n">
        <v>1.32</v>
      </c>
      <c r="H156" s="22" t="n">
        <v>1.39</v>
      </c>
      <c r="I156" s="18" t="inlineStr">
        <is>
          <t>Megametales</t>
        </is>
      </c>
      <c r="J156" s="22" t="n">
        <v>1.45</v>
      </c>
      <c r="K156" s="18" t="inlineStr">
        <is>
          <t>Ferrisariato</t>
        </is>
      </c>
      <c r="L156" s="8">
        <f>F156*G156</f>
        <v/>
      </c>
      <c r="M156" s="145" t="inlineStr">
        <is>
          <t>IS-D20-ACF-PVC-RED-040</t>
        </is>
      </c>
      <c r="N156" s="18" t="inlineStr">
        <is>
          <t>Instalaciones sanitarias (hidrosanitarias)</t>
        </is>
      </c>
      <c r="O156" s="18" t="inlineStr">
        <is>
          <t>Estimado DION · criterio de mercado Guayaquil 2026 (no verificado en tienda)</t>
        </is>
      </c>
      <c r="P156" s="18" t="inlineStr">
        <is>
          <t>oct-2026 (est.)</t>
        </is>
      </c>
      <c r="Q156" s="18" t="n"/>
    </row>
    <row r="157">
      <c r="A157" s="34" t="n">
        <v>136</v>
      </c>
      <c r="B157" s="35" t="inlineStr">
        <is>
          <t xml:space="preserve">        Tapón PVC Presión E/C Ø40 mm</t>
        </is>
      </c>
      <c r="C157" s="36" t="inlineStr">
        <is>
          <t>Residencial / Comercial</t>
        </is>
      </c>
      <c r="D157" s="34" t="inlineStr">
        <is>
          <t>Tapón PVC</t>
        </is>
      </c>
      <c r="E157" s="34" t="inlineStr">
        <is>
          <t>U</t>
        </is>
      </c>
      <c r="F157" s="37" t="n">
        <v>2</v>
      </c>
      <c r="G157" s="38" t="n">
        <v>0.74</v>
      </c>
      <c r="H157" s="38" t="n">
        <v>0.77</v>
      </c>
      <c r="I157" s="34" t="inlineStr">
        <is>
          <t>Megametales</t>
        </is>
      </c>
      <c r="J157" s="38" t="n">
        <v>0.8100000000000001</v>
      </c>
      <c r="K157" s="34" t="inlineStr">
        <is>
          <t>Kywi / Megakywi</t>
        </is>
      </c>
      <c r="L157" s="39">
        <f>F157*G157</f>
        <v/>
      </c>
      <c r="M157" s="149" t="inlineStr">
        <is>
          <t>IS-D20-ACF-PVC-TAP-040</t>
        </is>
      </c>
      <c r="N157" s="34" t="inlineStr">
        <is>
          <t>Instalaciones sanitarias (hidrosanitarias)</t>
        </is>
      </c>
      <c r="O157" s="34" t="inlineStr">
        <is>
          <t>Estimado DION · criterio de mercado Guayaquil 2026 (no verificado en tienda)</t>
        </is>
      </c>
      <c r="P157" s="34" t="inlineStr">
        <is>
          <t>oct-2026 (est.)</t>
        </is>
      </c>
      <c r="Q157" s="34" t="n"/>
    </row>
    <row r="158">
      <c r="A158" s="18" t="n">
        <v>137</v>
      </c>
      <c r="B158" s="19" t="inlineStr">
        <is>
          <t xml:space="preserve">        Adaptador Macho PVC Presión E/C Ø40 mm</t>
        </is>
      </c>
      <c r="C158" s="20" t="inlineStr">
        <is>
          <t>Residencial / Comercial</t>
        </is>
      </c>
      <c r="D158" s="18" t="inlineStr">
        <is>
          <t>Adaptador Macho PVC</t>
        </is>
      </c>
      <c r="E158" s="18" t="inlineStr">
        <is>
          <t>U</t>
        </is>
      </c>
      <c r="F158" s="21" t="n">
        <v>2</v>
      </c>
      <c r="G158" s="22" t="n">
        <v>1.15</v>
      </c>
      <c r="H158" s="22" t="n">
        <v>1.21</v>
      </c>
      <c r="I158" s="18" t="inlineStr">
        <is>
          <t>Megametales</t>
        </is>
      </c>
      <c r="J158" s="22" t="n">
        <v>1.24</v>
      </c>
      <c r="K158" s="18" t="inlineStr">
        <is>
          <t>Ferrisariato</t>
        </is>
      </c>
      <c r="L158" s="8">
        <f>F158*G158</f>
        <v/>
      </c>
      <c r="M158" s="145" t="inlineStr">
        <is>
          <t>IS-D20-ACF-PVC-ADM-040</t>
        </is>
      </c>
      <c r="N158" s="18" t="inlineStr">
        <is>
          <t>Instalaciones sanitarias (hidrosanitarias)</t>
        </is>
      </c>
      <c r="O158" s="18" t="inlineStr">
        <is>
          <t>Estimado DION · criterio de mercado Guayaquil 2026 (no verificado en tienda)</t>
        </is>
      </c>
      <c r="P158" s="18" t="inlineStr">
        <is>
          <t>oct-2026 (est.)</t>
        </is>
      </c>
      <c r="Q158" s="18" t="n"/>
    </row>
    <row r="159">
      <c r="A159" s="34" t="n">
        <v>138</v>
      </c>
      <c r="B159" s="35" t="inlineStr">
        <is>
          <t xml:space="preserve">        Universal PVC Presión E/C Ø40 mm</t>
        </is>
      </c>
      <c r="C159" s="36" t="inlineStr">
        <is>
          <t>Residencial / Comercial</t>
        </is>
      </c>
      <c r="D159" s="34" t="inlineStr">
        <is>
          <t>Universal PVC</t>
        </is>
      </c>
      <c r="E159" s="34" t="inlineStr">
        <is>
          <t>U</t>
        </is>
      </c>
      <c r="F159" s="37" t="n">
        <v>2</v>
      </c>
      <c r="G159" s="38" t="n">
        <v>4.95</v>
      </c>
      <c r="H159" s="38" t="n">
        <v>5.1</v>
      </c>
      <c r="I159" s="34" t="inlineStr">
        <is>
          <t>Megametales</t>
        </is>
      </c>
      <c r="J159" s="38" t="n">
        <v>5.4</v>
      </c>
      <c r="K159" s="34" t="inlineStr">
        <is>
          <t>Kywi / Megakywi</t>
        </is>
      </c>
      <c r="L159" s="39">
        <f>F159*G159</f>
        <v/>
      </c>
      <c r="M159" s="149" t="inlineStr">
        <is>
          <t>IS-D20-ACF-PVC-UNV-040</t>
        </is>
      </c>
      <c r="N159" s="34" t="inlineStr">
        <is>
          <t>Instalaciones sanitarias (hidrosanitarias)</t>
        </is>
      </c>
      <c r="O159" s="34" t="inlineStr">
        <is>
          <t>Estimado DION · criterio de mercado Guayaquil 2026 (no verificado en tienda)</t>
        </is>
      </c>
      <c r="P159" s="34" t="inlineStr">
        <is>
          <t>oct-2026 (est.)</t>
        </is>
      </c>
      <c r="Q159" s="34" t="n"/>
    </row>
    <row r="160">
      <c r="A160" s="18" t="n">
        <v>139</v>
      </c>
      <c r="B160" s="19" t="inlineStr">
        <is>
          <t xml:space="preserve">        Codo 90° PVC Presión E/C Ø50 mm</t>
        </is>
      </c>
      <c r="C160" s="20" t="inlineStr">
        <is>
          <t>Residencial / Comercial</t>
        </is>
      </c>
      <c r="D160" s="18" t="inlineStr">
        <is>
          <t>Codo 90° PVC</t>
        </is>
      </c>
      <c r="E160" s="18" t="inlineStr">
        <is>
          <t>U</t>
        </is>
      </c>
      <c r="F160" s="21" t="n">
        <v>2</v>
      </c>
      <c r="G160" s="22" t="n">
        <v>2.6</v>
      </c>
      <c r="H160" s="22" t="n">
        <v>2.7</v>
      </c>
      <c r="I160" s="18" t="inlineStr">
        <is>
          <t>Megametales</t>
        </is>
      </c>
      <c r="J160" s="22" t="n">
        <v>2.89</v>
      </c>
      <c r="K160" s="18" t="inlineStr">
        <is>
          <t>Ferrisariato</t>
        </is>
      </c>
      <c r="L160" s="8">
        <f>F160*G160</f>
        <v/>
      </c>
      <c r="M160" s="145" t="inlineStr">
        <is>
          <t>IS-D20-ACF-PVC-C90-050</t>
        </is>
      </c>
      <c r="N160" s="18" t="inlineStr">
        <is>
          <t>Instalaciones sanitarias (hidrosanitarias)</t>
        </is>
      </c>
      <c r="O160" s="18" t="inlineStr">
        <is>
          <t>Estimado DION · criterio de mercado Guayaquil 2026 (no verificado en tienda)</t>
        </is>
      </c>
      <c r="P160" s="18" t="inlineStr">
        <is>
          <t>oct-2026 (est.)</t>
        </is>
      </c>
      <c r="Q160" s="18" t="n"/>
    </row>
    <row r="161">
      <c r="A161" s="34" t="n">
        <v>140</v>
      </c>
      <c r="B161" s="35" t="inlineStr">
        <is>
          <t xml:space="preserve">        Codo 45° PVC Presión E/C Ø50 mm</t>
        </is>
      </c>
      <c r="C161" s="36" t="inlineStr">
        <is>
          <t>Residencial / Comercial</t>
        </is>
      </c>
      <c r="D161" s="34" t="inlineStr">
        <is>
          <t>Codo 45° PVC</t>
        </is>
      </c>
      <c r="E161" s="34" t="inlineStr">
        <is>
          <t>U</t>
        </is>
      </c>
      <c r="F161" s="37" t="n">
        <v>2</v>
      </c>
      <c r="G161" s="38" t="n">
        <v>2.47</v>
      </c>
      <c r="H161" s="38" t="n">
        <v>2.59</v>
      </c>
      <c r="I161" s="34" t="inlineStr">
        <is>
          <t>Megametales</t>
        </is>
      </c>
      <c r="J161" s="38" t="n">
        <v>2.67</v>
      </c>
      <c r="K161" s="34" t="inlineStr">
        <is>
          <t>Kywi / Megakywi</t>
        </is>
      </c>
      <c r="L161" s="39">
        <f>F161*G161</f>
        <v/>
      </c>
      <c r="M161" s="149" t="inlineStr">
        <is>
          <t>IS-D20-ACF-PVC-C45-050</t>
        </is>
      </c>
      <c r="N161" s="34" t="inlineStr">
        <is>
          <t>Instalaciones sanitarias (hidrosanitarias)</t>
        </is>
      </c>
      <c r="O161" s="34" t="inlineStr">
        <is>
          <t>Estimado DION · criterio de mercado Guayaquil 2026 (no verificado en tienda)</t>
        </is>
      </c>
      <c r="P161" s="34" t="inlineStr">
        <is>
          <t>oct-2026 (est.)</t>
        </is>
      </c>
      <c r="Q161" s="34" t="n"/>
    </row>
    <row r="162">
      <c r="A162" s="18" t="n">
        <v>141</v>
      </c>
      <c r="B162" s="19" t="inlineStr">
        <is>
          <t xml:space="preserve">        Tee PVC Presión E/C Ø50 mm</t>
        </is>
      </c>
      <c r="C162" s="20" t="inlineStr">
        <is>
          <t>Residencial / Comercial</t>
        </is>
      </c>
      <c r="D162" s="18" t="inlineStr">
        <is>
          <t>Tee PVC</t>
        </is>
      </c>
      <c r="E162" s="18" t="inlineStr">
        <is>
          <t>U</t>
        </is>
      </c>
      <c r="F162" s="21" t="n">
        <v>2</v>
      </c>
      <c r="G162" s="22" t="n">
        <v>3.51</v>
      </c>
      <c r="H162" s="22" t="n">
        <v>3.62</v>
      </c>
      <c r="I162" s="18" t="inlineStr">
        <is>
          <t>Megametales</t>
        </is>
      </c>
      <c r="J162" s="22" t="n">
        <v>3.83</v>
      </c>
      <c r="K162" s="18" t="inlineStr">
        <is>
          <t>Ferrisariato</t>
        </is>
      </c>
      <c r="L162" s="8">
        <f>F162*G162</f>
        <v/>
      </c>
      <c r="M162" s="145" t="inlineStr">
        <is>
          <t>IS-D20-ACF-PVC-TEE-050</t>
        </is>
      </c>
      <c r="N162" s="18" t="inlineStr">
        <is>
          <t>Instalaciones sanitarias (hidrosanitarias)</t>
        </is>
      </c>
      <c r="O162" s="18" t="inlineStr">
        <is>
          <t>Estimado DION · criterio de mercado Guayaquil 2026 (no verificado en tienda)</t>
        </is>
      </c>
      <c r="P162" s="18" t="inlineStr">
        <is>
          <t>oct-2026 (est.)</t>
        </is>
      </c>
      <c r="Q162" s="18" t="n"/>
    </row>
    <row r="163">
      <c r="A163" s="34" t="n">
        <v>142</v>
      </c>
      <c r="B163" s="35" t="inlineStr">
        <is>
          <t xml:space="preserve">        Unión / Manguito PVC Presión E/C Ø50 mm</t>
        </is>
      </c>
      <c r="C163" s="36" t="inlineStr">
        <is>
          <t>Residencial / Comercial</t>
        </is>
      </c>
      <c r="D163" s="34" t="inlineStr">
        <is>
          <t>Unión PVC</t>
        </is>
      </c>
      <c r="E163" s="34" t="inlineStr">
        <is>
          <t>U</t>
        </is>
      </c>
      <c r="F163" s="37" t="n">
        <v>2</v>
      </c>
      <c r="G163" s="38" t="n">
        <v>1.56</v>
      </c>
      <c r="H163" s="38" t="n">
        <v>1.64</v>
      </c>
      <c r="I163" s="34" t="inlineStr">
        <is>
          <t>Megametales</t>
        </is>
      </c>
      <c r="J163" s="38" t="n">
        <v>1.73</v>
      </c>
      <c r="K163" s="34" t="inlineStr">
        <is>
          <t>Kywi / Megakywi</t>
        </is>
      </c>
      <c r="L163" s="39">
        <f>F163*G163</f>
        <v/>
      </c>
      <c r="M163" s="149" t="inlineStr">
        <is>
          <t>IS-D20-ACF-PVC-UNI-050</t>
        </is>
      </c>
      <c r="N163" s="34" t="inlineStr">
        <is>
          <t>Instalaciones sanitarias (hidrosanitarias)</t>
        </is>
      </c>
      <c r="O163" s="34" t="inlineStr">
        <is>
          <t>Estimado DION · criterio de mercado Guayaquil 2026 (no verificado en tienda)</t>
        </is>
      </c>
      <c r="P163" s="34" t="inlineStr">
        <is>
          <t>oct-2026 (est.)</t>
        </is>
      </c>
      <c r="Q163" s="34" t="n"/>
    </row>
    <row r="164">
      <c r="A164" s="18" t="n">
        <v>143</v>
      </c>
      <c r="B164" s="19" t="inlineStr">
        <is>
          <t xml:space="preserve">        Reducción PVC Presión E/C Ø50 mm</t>
        </is>
      </c>
      <c r="C164" s="20" t="inlineStr">
        <is>
          <t>Residencial / Comercial</t>
        </is>
      </c>
      <c r="D164" s="18" t="inlineStr">
        <is>
          <t>Reducción PVC</t>
        </is>
      </c>
      <c r="E164" s="18" t="inlineStr">
        <is>
          <t>U</t>
        </is>
      </c>
      <c r="F164" s="21" t="n">
        <v>2</v>
      </c>
      <c r="G164" s="22" t="n">
        <v>2.08</v>
      </c>
      <c r="H164" s="22" t="n">
        <v>2.12</v>
      </c>
      <c r="I164" s="18" t="inlineStr">
        <is>
          <t>Megametales</t>
        </is>
      </c>
      <c r="J164" s="22" t="n">
        <v>2.23</v>
      </c>
      <c r="K164" s="18" t="inlineStr">
        <is>
          <t>Ferrisariato</t>
        </is>
      </c>
      <c r="L164" s="8">
        <f>F164*G164</f>
        <v/>
      </c>
      <c r="M164" s="145" t="inlineStr">
        <is>
          <t>IS-D20-ACF-PVC-RED-050</t>
        </is>
      </c>
      <c r="N164" s="18" t="inlineStr">
        <is>
          <t>Instalaciones sanitarias (hidrosanitarias)</t>
        </is>
      </c>
      <c r="O164" s="18" t="inlineStr">
        <is>
          <t>Estimado DION · criterio de mercado Guayaquil 2026 (no verificado en tienda)</t>
        </is>
      </c>
      <c r="P164" s="18" t="inlineStr">
        <is>
          <t>oct-2026 (est.)</t>
        </is>
      </c>
      <c r="Q164" s="18" t="n"/>
    </row>
    <row r="165">
      <c r="A165" s="34" t="n">
        <v>144</v>
      </c>
      <c r="B165" s="35" t="inlineStr">
        <is>
          <t xml:space="preserve">        Tapón PVC Presión E/C Ø50 mm</t>
        </is>
      </c>
      <c r="C165" s="36" t="inlineStr">
        <is>
          <t>Residencial / Comercial</t>
        </is>
      </c>
      <c r="D165" s="34" t="inlineStr">
        <is>
          <t>Tapón PVC</t>
        </is>
      </c>
      <c r="E165" s="34" t="inlineStr">
        <is>
          <t>U</t>
        </is>
      </c>
      <c r="F165" s="37" t="n">
        <v>2</v>
      </c>
      <c r="G165" s="38" t="n">
        <v>1.17</v>
      </c>
      <c r="H165" s="38" t="n">
        <v>1.21</v>
      </c>
      <c r="I165" s="34" t="inlineStr">
        <is>
          <t>Megametales</t>
        </is>
      </c>
      <c r="J165" s="38" t="n">
        <v>1.26</v>
      </c>
      <c r="K165" s="34" t="inlineStr">
        <is>
          <t>Kywi / Megakywi</t>
        </is>
      </c>
      <c r="L165" s="39">
        <f>F165*G165</f>
        <v/>
      </c>
      <c r="M165" s="149" t="inlineStr">
        <is>
          <t>IS-D20-ACF-PVC-TAP-050</t>
        </is>
      </c>
      <c r="N165" s="34" t="inlineStr">
        <is>
          <t>Instalaciones sanitarias (hidrosanitarias)</t>
        </is>
      </c>
      <c r="O165" s="34" t="inlineStr">
        <is>
          <t>Estimado DION · criterio de mercado Guayaquil 2026 (no verificado en tienda)</t>
        </is>
      </c>
      <c r="P165" s="34" t="inlineStr">
        <is>
          <t>oct-2026 (est.)</t>
        </is>
      </c>
      <c r="Q165" s="34" t="n"/>
    </row>
    <row r="166">
      <c r="A166" s="18" t="n">
        <v>145</v>
      </c>
      <c r="B166" s="19" t="inlineStr">
        <is>
          <t xml:space="preserve">        Adaptador Macho PVC Presión E/C Ø50 mm</t>
        </is>
      </c>
      <c r="C166" s="20" t="inlineStr">
        <is>
          <t>Residencial / Comercial</t>
        </is>
      </c>
      <c r="D166" s="18" t="inlineStr">
        <is>
          <t>Adaptador Macho PVC</t>
        </is>
      </c>
      <c r="E166" s="18" t="inlineStr">
        <is>
          <t>U</t>
        </is>
      </c>
      <c r="F166" s="21" t="n">
        <v>2</v>
      </c>
      <c r="G166" s="22" t="n">
        <v>1.82</v>
      </c>
      <c r="H166" s="22" t="n">
        <v>1.87</v>
      </c>
      <c r="I166" s="18" t="inlineStr">
        <is>
          <t>Megametales</t>
        </is>
      </c>
      <c r="J166" s="22" t="n">
        <v>2.02</v>
      </c>
      <c r="K166" s="18" t="inlineStr">
        <is>
          <t>Ferrisariato</t>
        </is>
      </c>
      <c r="L166" s="8">
        <f>F166*G166</f>
        <v/>
      </c>
      <c r="M166" s="145" t="inlineStr">
        <is>
          <t>IS-D20-ACF-PVC-ADM-050</t>
        </is>
      </c>
      <c r="N166" s="18" t="inlineStr">
        <is>
          <t>Instalaciones sanitarias (hidrosanitarias)</t>
        </is>
      </c>
      <c r="O166" s="18" t="inlineStr">
        <is>
          <t>Estimado DION · criterio de mercado Guayaquil 2026 (no verificado en tienda)</t>
        </is>
      </c>
      <c r="P166" s="18" t="inlineStr">
        <is>
          <t>oct-2026 (est.)</t>
        </is>
      </c>
      <c r="Q166" s="18" t="n"/>
    </row>
    <row r="167">
      <c r="A167" s="34" t="n">
        <v>146</v>
      </c>
      <c r="B167" s="35" t="inlineStr">
        <is>
          <t xml:space="preserve">        Universal PVC Presión E/C Ø50 mm</t>
        </is>
      </c>
      <c r="C167" s="36" t="inlineStr">
        <is>
          <t>Residencial / Comercial</t>
        </is>
      </c>
      <c r="D167" s="34" t="inlineStr">
        <is>
          <t>Universal PVC</t>
        </is>
      </c>
      <c r="E167" s="34" t="inlineStr">
        <is>
          <t>U</t>
        </is>
      </c>
      <c r="F167" s="37" t="n">
        <v>2</v>
      </c>
      <c r="G167" s="38" t="n">
        <v>7.8</v>
      </c>
      <c r="H167" s="38" t="n">
        <v>7.96</v>
      </c>
      <c r="I167" s="34" t="inlineStr">
        <is>
          <t>Megametales</t>
        </is>
      </c>
      <c r="J167" s="38" t="n">
        <v>8.5</v>
      </c>
      <c r="K167" s="34" t="inlineStr">
        <is>
          <t>Kywi / Megakywi</t>
        </is>
      </c>
      <c r="L167" s="39">
        <f>F167*G167</f>
        <v/>
      </c>
      <c r="M167" s="149" t="inlineStr">
        <is>
          <t>IS-D20-ACF-PVC-UNV-050</t>
        </is>
      </c>
      <c r="N167" s="34" t="inlineStr">
        <is>
          <t>Instalaciones sanitarias (hidrosanitarias)</t>
        </is>
      </c>
      <c r="O167" s="34" t="inlineStr">
        <is>
          <t>Estimado DION · criterio de mercado Guayaquil 2026 (no verificado en tienda)</t>
        </is>
      </c>
      <c r="P167" s="34" t="inlineStr">
        <is>
          <t>oct-2026 (est.)</t>
        </is>
      </c>
      <c r="Q167" s="34" t="n"/>
    </row>
    <row r="168">
      <c r="A168" s="18" t="n">
        <v>147</v>
      </c>
      <c r="B168" s="19" t="inlineStr">
        <is>
          <t xml:space="preserve">        Codo 90° PVC Presión E/C Ø63 mm</t>
        </is>
      </c>
      <c r="C168" s="20" t="inlineStr">
        <is>
          <t>Residencial / Comercial</t>
        </is>
      </c>
      <c r="D168" s="18" t="inlineStr">
        <is>
          <t>Codo 90° PVC</t>
        </is>
      </c>
      <c r="E168" s="18" t="inlineStr">
        <is>
          <t>U</t>
        </is>
      </c>
      <c r="F168" s="21" t="n">
        <v>2</v>
      </c>
      <c r="G168" s="22" t="n">
        <v>4.6</v>
      </c>
      <c r="H168" s="22" t="n">
        <v>4.83</v>
      </c>
      <c r="I168" s="18" t="inlineStr">
        <is>
          <t>Megametales</t>
        </is>
      </c>
      <c r="J168" s="22" t="n">
        <v>5.01</v>
      </c>
      <c r="K168" s="18" t="inlineStr">
        <is>
          <t>Ferrisariato</t>
        </is>
      </c>
      <c r="L168" s="8">
        <f>F168*G168</f>
        <v/>
      </c>
      <c r="M168" s="145" t="inlineStr">
        <is>
          <t>IS-D20-ACF-PVC-C90-063</t>
        </is>
      </c>
      <c r="N168" s="18" t="inlineStr">
        <is>
          <t>Instalaciones sanitarias (hidrosanitarias)</t>
        </is>
      </c>
      <c r="O168" s="18" t="inlineStr">
        <is>
          <t>Estimado DION · criterio de mercado Guayaquil 2026 (no verificado en tienda)</t>
        </is>
      </c>
      <c r="P168" s="18" t="inlineStr">
        <is>
          <t>oct-2026 (est.)</t>
        </is>
      </c>
      <c r="Q168" s="18" t="n"/>
    </row>
    <row r="169">
      <c r="A169" s="34" t="n">
        <v>148</v>
      </c>
      <c r="B169" s="35" t="inlineStr">
        <is>
          <t xml:space="preserve">        Codo 45° PVC Presión E/C Ø63 mm</t>
        </is>
      </c>
      <c r="C169" s="36" t="inlineStr">
        <is>
          <t>Residencial / Comercial</t>
        </is>
      </c>
      <c r="D169" s="34" t="inlineStr">
        <is>
          <t>Codo 45° PVC</t>
        </is>
      </c>
      <c r="E169" s="34" t="inlineStr">
        <is>
          <t>U</t>
        </is>
      </c>
      <c r="F169" s="37" t="n">
        <v>2</v>
      </c>
      <c r="G169" s="38" t="n">
        <v>4.37</v>
      </c>
      <c r="H169" s="38" t="n">
        <v>4.54</v>
      </c>
      <c r="I169" s="34" t="inlineStr">
        <is>
          <t>Megametales</t>
        </is>
      </c>
      <c r="J169" s="38" t="n">
        <v>4.68</v>
      </c>
      <c r="K169" s="34" t="inlineStr">
        <is>
          <t>Kywi / Megakywi</t>
        </is>
      </c>
      <c r="L169" s="39">
        <f>F169*G169</f>
        <v/>
      </c>
      <c r="M169" s="149" t="inlineStr">
        <is>
          <t>IS-D20-ACF-PVC-C45-063</t>
        </is>
      </c>
      <c r="N169" s="34" t="inlineStr">
        <is>
          <t>Instalaciones sanitarias (hidrosanitarias)</t>
        </is>
      </c>
      <c r="O169" s="34" t="inlineStr">
        <is>
          <t>Estimado DION · criterio de mercado Guayaquil 2026 (no verificado en tienda)</t>
        </is>
      </c>
      <c r="P169" s="34" t="inlineStr">
        <is>
          <t>oct-2026 (est.)</t>
        </is>
      </c>
      <c r="Q169" s="34" t="n"/>
    </row>
    <row r="170">
      <c r="A170" s="18" t="n">
        <v>149</v>
      </c>
      <c r="B170" s="19" t="inlineStr">
        <is>
          <t xml:space="preserve">        Tee PVC Presión E/C Ø63 mm</t>
        </is>
      </c>
      <c r="C170" s="20" t="inlineStr">
        <is>
          <t>Residencial / Comercial</t>
        </is>
      </c>
      <c r="D170" s="18" t="inlineStr">
        <is>
          <t>Tee PVC</t>
        </is>
      </c>
      <c r="E170" s="18" t="inlineStr">
        <is>
          <t>U</t>
        </is>
      </c>
      <c r="F170" s="21" t="n">
        <v>2</v>
      </c>
      <c r="G170" s="22" t="n">
        <v>6.21</v>
      </c>
      <c r="H170" s="22" t="n">
        <v>6.52</v>
      </c>
      <c r="I170" s="18" t="inlineStr">
        <is>
          <t>Megametales</t>
        </is>
      </c>
      <c r="J170" s="22" t="n">
        <v>6.71</v>
      </c>
      <c r="K170" s="18" t="inlineStr">
        <is>
          <t>Ferrisariato</t>
        </is>
      </c>
      <c r="L170" s="8">
        <f>F170*G170</f>
        <v/>
      </c>
      <c r="M170" s="145" t="inlineStr">
        <is>
          <t>IS-D20-ACF-PVC-TEE-063</t>
        </is>
      </c>
      <c r="N170" s="18" t="inlineStr">
        <is>
          <t>Instalaciones sanitarias (hidrosanitarias)</t>
        </is>
      </c>
      <c r="O170" s="18" t="inlineStr">
        <is>
          <t>Estimado DION · criterio de mercado Guayaquil 2026 (no verificado en tienda)</t>
        </is>
      </c>
      <c r="P170" s="18" t="inlineStr">
        <is>
          <t>oct-2026 (est.)</t>
        </is>
      </c>
      <c r="Q170" s="18" t="n"/>
    </row>
    <row r="171">
      <c r="A171" s="34" t="n">
        <v>150</v>
      </c>
      <c r="B171" s="35" t="inlineStr">
        <is>
          <t xml:space="preserve">        Unión / Manguito PVC Presión E/C Ø63 mm</t>
        </is>
      </c>
      <c r="C171" s="36" t="inlineStr">
        <is>
          <t>Residencial / Comercial</t>
        </is>
      </c>
      <c r="D171" s="34" t="inlineStr">
        <is>
          <t>Unión PVC</t>
        </is>
      </c>
      <c r="E171" s="34" t="inlineStr">
        <is>
          <t>U</t>
        </is>
      </c>
      <c r="F171" s="37" t="n">
        <v>2</v>
      </c>
      <c r="G171" s="38" t="n">
        <v>2.76</v>
      </c>
      <c r="H171" s="38" t="n">
        <v>2.87</v>
      </c>
      <c r="I171" s="34" t="inlineStr">
        <is>
          <t>Megametales</t>
        </is>
      </c>
      <c r="J171" s="38" t="n">
        <v>3.04</v>
      </c>
      <c r="K171" s="34" t="inlineStr">
        <is>
          <t>Kywi / Megakywi</t>
        </is>
      </c>
      <c r="L171" s="39">
        <f>F171*G171</f>
        <v/>
      </c>
      <c r="M171" s="149" t="inlineStr">
        <is>
          <t>IS-D20-ACF-PVC-UNI-063</t>
        </is>
      </c>
      <c r="N171" s="34" t="inlineStr">
        <is>
          <t>Instalaciones sanitarias (hidrosanitarias)</t>
        </is>
      </c>
      <c r="O171" s="34" t="inlineStr">
        <is>
          <t>Estimado DION · criterio de mercado Guayaquil 2026 (no verificado en tienda)</t>
        </is>
      </c>
      <c r="P171" s="34" t="inlineStr">
        <is>
          <t>oct-2026 (est.)</t>
        </is>
      </c>
      <c r="Q171" s="34" t="n"/>
    </row>
    <row r="172">
      <c r="A172" s="18" t="n">
        <v>151</v>
      </c>
      <c r="B172" s="19" t="inlineStr">
        <is>
          <t xml:space="preserve">        Reducción PVC Presión E/C Ø63 mm</t>
        </is>
      </c>
      <c r="C172" s="20" t="inlineStr">
        <is>
          <t>Residencial / Comercial</t>
        </is>
      </c>
      <c r="D172" s="18" t="inlineStr">
        <is>
          <t>Reducción PVC</t>
        </is>
      </c>
      <c r="E172" s="18" t="inlineStr">
        <is>
          <t>U</t>
        </is>
      </c>
      <c r="F172" s="21" t="n">
        <v>2</v>
      </c>
      <c r="G172" s="22" t="n">
        <v>3.68</v>
      </c>
      <c r="H172" s="22" t="n">
        <v>3.75</v>
      </c>
      <c r="I172" s="18" t="inlineStr">
        <is>
          <t>Megametales</t>
        </is>
      </c>
      <c r="J172" s="22" t="n">
        <v>3.97</v>
      </c>
      <c r="K172" s="18" t="inlineStr">
        <is>
          <t>Ferrisariato</t>
        </is>
      </c>
      <c r="L172" s="8">
        <f>F172*G172</f>
        <v/>
      </c>
      <c r="M172" s="145" t="inlineStr">
        <is>
          <t>IS-D20-ACF-PVC-RED-063</t>
        </is>
      </c>
      <c r="N172" s="18" t="inlineStr">
        <is>
          <t>Instalaciones sanitarias (hidrosanitarias)</t>
        </is>
      </c>
      <c r="O172" s="18" t="inlineStr">
        <is>
          <t>Estimado DION · criterio de mercado Guayaquil 2026 (no verificado en tienda)</t>
        </is>
      </c>
      <c r="P172" s="18" t="inlineStr">
        <is>
          <t>oct-2026 (est.)</t>
        </is>
      </c>
      <c r="Q172" s="18" t="n"/>
    </row>
    <row r="173">
      <c r="A173" s="34" t="n">
        <v>152</v>
      </c>
      <c r="B173" s="35" t="inlineStr">
        <is>
          <t xml:space="preserve">        Tapón PVC Presión E/C Ø63 mm</t>
        </is>
      </c>
      <c r="C173" s="36" t="inlineStr">
        <is>
          <t>Residencial / Comercial</t>
        </is>
      </c>
      <c r="D173" s="34" t="inlineStr">
        <is>
          <t>Tapón PVC</t>
        </is>
      </c>
      <c r="E173" s="34" t="inlineStr">
        <is>
          <t>U</t>
        </is>
      </c>
      <c r="F173" s="37" t="n">
        <v>2</v>
      </c>
      <c r="G173" s="38" t="n">
        <v>2.07</v>
      </c>
      <c r="H173" s="38" t="n">
        <v>2.13</v>
      </c>
      <c r="I173" s="34" t="inlineStr">
        <is>
          <t>Megametales</t>
        </is>
      </c>
      <c r="J173" s="38" t="n">
        <v>2.28</v>
      </c>
      <c r="K173" s="34" t="inlineStr">
        <is>
          <t>Kywi / Megakywi</t>
        </is>
      </c>
      <c r="L173" s="39">
        <f>F173*G173</f>
        <v/>
      </c>
      <c r="M173" s="149" t="inlineStr">
        <is>
          <t>IS-D20-ACF-PVC-TAP-063</t>
        </is>
      </c>
      <c r="N173" s="34" t="inlineStr">
        <is>
          <t>Instalaciones sanitarias (hidrosanitarias)</t>
        </is>
      </c>
      <c r="O173" s="34" t="inlineStr">
        <is>
          <t>Estimado DION · criterio de mercado Guayaquil 2026 (no verificado en tienda)</t>
        </is>
      </c>
      <c r="P173" s="34" t="inlineStr">
        <is>
          <t>oct-2026 (est.)</t>
        </is>
      </c>
      <c r="Q173" s="34" t="n"/>
    </row>
    <row r="174">
      <c r="A174" s="18" t="n">
        <v>153</v>
      </c>
      <c r="B174" s="19" t="inlineStr">
        <is>
          <t xml:space="preserve">        Adaptador Macho PVC Presión E/C Ø63 mm</t>
        </is>
      </c>
      <c r="C174" s="20" t="inlineStr">
        <is>
          <t>Residencial / Comercial</t>
        </is>
      </c>
      <c r="D174" s="18" t="inlineStr">
        <is>
          <t>Adaptador Macho PVC</t>
        </is>
      </c>
      <c r="E174" s="18" t="inlineStr">
        <is>
          <t>U</t>
        </is>
      </c>
      <c r="F174" s="21" t="n">
        <v>2</v>
      </c>
      <c r="G174" s="22" t="n">
        <v>3.22</v>
      </c>
      <c r="H174" s="22" t="n">
        <v>3.35</v>
      </c>
      <c r="I174" s="18" t="inlineStr">
        <is>
          <t>Megametales</t>
        </is>
      </c>
      <c r="J174" s="22" t="n">
        <v>3.54</v>
      </c>
      <c r="K174" s="18" t="inlineStr">
        <is>
          <t>Ferrisariato</t>
        </is>
      </c>
      <c r="L174" s="8">
        <f>F174*G174</f>
        <v/>
      </c>
      <c r="M174" s="145" t="inlineStr">
        <is>
          <t>IS-D20-ACF-PVC-ADM-063</t>
        </is>
      </c>
      <c r="N174" s="18" t="inlineStr">
        <is>
          <t>Instalaciones sanitarias (hidrosanitarias)</t>
        </is>
      </c>
      <c r="O174" s="18" t="inlineStr">
        <is>
          <t>Estimado DION · criterio de mercado Guayaquil 2026 (no verificado en tienda)</t>
        </is>
      </c>
      <c r="P174" s="18" t="inlineStr">
        <is>
          <t>oct-2026 (est.)</t>
        </is>
      </c>
      <c r="Q174" s="18" t="n"/>
    </row>
    <row r="175">
      <c r="A175" s="34" t="n">
        <v>154</v>
      </c>
      <c r="B175" s="35" t="inlineStr">
        <is>
          <t xml:space="preserve">        Universal PVC Presión E/C Ø63 mm</t>
        </is>
      </c>
      <c r="C175" s="36" t="inlineStr">
        <is>
          <t>Residencial / Comercial</t>
        </is>
      </c>
      <c r="D175" s="34" t="inlineStr">
        <is>
          <t>Universal PVC</t>
        </is>
      </c>
      <c r="E175" s="34" t="inlineStr">
        <is>
          <t>U</t>
        </is>
      </c>
      <c r="F175" s="37" t="n">
        <v>2</v>
      </c>
      <c r="G175" s="38" t="n">
        <v>13.8</v>
      </c>
      <c r="H175" s="38" t="n">
        <v>14.21</v>
      </c>
      <c r="I175" s="34" t="inlineStr">
        <is>
          <t>Megametales</t>
        </is>
      </c>
      <c r="J175" s="38" t="n">
        <v>15.32</v>
      </c>
      <c r="K175" s="34" t="inlineStr">
        <is>
          <t>Kywi / Megakywi</t>
        </is>
      </c>
      <c r="L175" s="39">
        <f>F175*G175</f>
        <v/>
      </c>
      <c r="M175" s="149" t="inlineStr">
        <is>
          <t>IS-D20-ACF-PVC-UNV-063</t>
        </is>
      </c>
      <c r="N175" s="34" t="inlineStr">
        <is>
          <t>Instalaciones sanitarias (hidrosanitarias)</t>
        </is>
      </c>
      <c r="O175" s="34" t="inlineStr">
        <is>
          <t>Estimado DION · criterio de mercado Guayaquil 2026 (no verificado en tienda)</t>
        </is>
      </c>
      <c r="P175" s="34" t="inlineStr">
        <is>
          <t>oct-2026 (est.)</t>
        </is>
      </c>
      <c r="Q175" s="34" t="n"/>
    </row>
    <row r="176">
      <c r="A176" s="18" t="n">
        <v>155</v>
      </c>
      <c r="B176" s="19" t="inlineStr">
        <is>
          <t xml:space="preserve">        Codo 90° PVC Presión E/C Ø75 mm</t>
        </is>
      </c>
      <c r="C176" s="20" t="inlineStr">
        <is>
          <t>Residencial / Comercial</t>
        </is>
      </c>
      <c r="D176" s="18" t="inlineStr">
        <is>
          <t>Codo 90° PVC</t>
        </is>
      </c>
      <c r="E176" s="18" t="inlineStr">
        <is>
          <t>U</t>
        </is>
      </c>
      <c r="F176" s="21" t="n">
        <v>2</v>
      </c>
      <c r="G176" s="22" t="n">
        <v>7.6</v>
      </c>
      <c r="H176" s="22" t="n">
        <v>7.83</v>
      </c>
      <c r="I176" s="18" t="inlineStr">
        <is>
          <t>Megametales</t>
        </is>
      </c>
      <c r="J176" s="22" t="n">
        <v>8.130000000000001</v>
      </c>
      <c r="K176" s="18" t="inlineStr">
        <is>
          <t>Ferrisariato</t>
        </is>
      </c>
      <c r="L176" s="8">
        <f>F176*G176</f>
        <v/>
      </c>
      <c r="M176" s="145" t="inlineStr">
        <is>
          <t>IS-D20-ACF-PVC-C90-075</t>
        </is>
      </c>
      <c r="N176" s="18" t="inlineStr">
        <is>
          <t>Instalaciones sanitarias (hidrosanitarias)</t>
        </is>
      </c>
      <c r="O176" s="18" t="inlineStr">
        <is>
          <t>Estimado DION · criterio de mercado Guayaquil 2026 (no verificado en tienda)</t>
        </is>
      </c>
      <c r="P176" s="18" t="inlineStr">
        <is>
          <t>oct-2026 (est.)</t>
        </is>
      </c>
      <c r="Q176" s="18" t="n"/>
    </row>
    <row r="177">
      <c r="A177" s="34" t="n">
        <v>156</v>
      </c>
      <c r="B177" s="35" t="inlineStr">
        <is>
          <t xml:space="preserve">        Codo 45° PVC Presión E/C Ø75 mm</t>
        </is>
      </c>
      <c r="C177" s="36" t="inlineStr">
        <is>
          <t>Residencial / Comercial</t>
        </is>
      </c>
      <c r="D177" s="34" t="inlineStr">
        <is>
          <t>Codo 45° PVC</t>
        </is>
      </c>
      <c r="E177" s="34" t="inlineStr">
        <is>
          <t>U</t>
        </is>
      </c>
      <c r="F177" s="37" t="n">
        <v>2</v>
      </c>
      <c r="G177" s="38" t="n">
        <v>7.22</v>
      </c>
      <c r="H177" s="38" t="n">
        <v>7.36</v>
      </c>
      <c r="I177" s="34" t="inlineStr">
        <is>
          <t>Megametales</t>
        </is>
      </c>
      <c r="J177" s="38" t="n">
        <v>7.94</v>
      </c>
      <c r="K177" s="34" t="inlineStr">
        <is>
          <t>Kywi / Megakywi</t>
        </is>
      </c>
      <c r="L177" s="39">
        <f>F177*G177</f>
        <v/>
      </c>
      <c r="M177" s="149" t="inlineStr">
        <is>
          <t>IS-D20-ACF-PVC-C45-075</t>
        </is>
      </c>
      <c r="N177" s="34" t="inlineStr">
        <is>
          <t>Instalaciones sanitarias (hidrosanitarias)</t>
        </is>
      </c>
      <c r="O177" s="34" t="inlineStr">
        <is>
          <t>Estimado DION · criterio de mercado Guayaquil 2026 (no verificado en tienda)</t>
        </is>
      </c>
      <c r="P177" s="34" t="inlineStr">
        <is>
          <t>oct-2026 (est.)</t>
        </is>
      </c>
      <c r="Q177" s="34" t="n"/>
    </row>
    <row r="178">
      <c r="A178" s="18" t="n">
        <v>157</v>
      </c>
      <c r="B178" s="19" t="inlineStr">
        <is>
          <t xml:space="preserve">        Tee PVC Presión E/C Ø75 mm</t>
        </is>
      </c>
      <c r="C178" s="20" t="inlineStr">
        <is>
          <t>Residencial / Comercial</t>
        </is>
      </c>
      <c r="D178" s="18" t="inlineStr">
        <is>
          <t>Tee PVC</t>
        </is>
      </c>
      <c r="E178" s="18" t="inlineStr">
        <is>
          <t>U</t>
        </is>
      </c>
      <c r="F178" s="21" t="n">
        <v>2</v>
      </c>
      <c r="G178" s="22" t="n">
        <v>10.26</v>
      </c>
      <c r="H178" s="22" t="n">
        <v>10.67</v>
      </c>
      <c r="I178" s="18" t="inlineStr">
        <is>
          <t>Megametales</t>
        </is>
      </c>
      <c r="J178" s="22" t="n">
        <v>10.98</v>
      </c>
      <c r="K178" s="18" t="inlineStr">
        <is>
          <t>Ferrisariato</t>
        </is>
      </c>
      <c r="L178" s="8">
        <f>F178*G178</f>
        <v/>
      </c>
      <c r="M178" s="145" t="inlineStr">
        <is>
          <t>IS-D20-ACF-PVC-TEE-075</t>
        </is>
      </c>
      <c r="N178" s="18" t="inlineStr">
        <is>
          <t>Instalaciones sanitarias (hidrosanitarias)</t>
        </is>
      </c>
      <c r="O178" s="18" t="inlineStr">
        <is>
          <t>Estimado DION · criterio de mercado Guayaquil 2026 (no verificado en tienda)</t>
        </is>
      </c>
      <c r="P178" s="18" t="inlineStr">
        <is>
          <t>oct-2026 (est.)</t>
        </is>
      </c>
      <c r="Q178" s="18" t="n"/>
    </row>
    <row r="179">
      <c r="A179" s="34" t="n">
        <v>158</v>
      </c>
      <c r="B179" s="35" t="inlineStr">
        <is>
          <t xml:space="preserve">        Unión / Manguito PVC Presión E/C Ø75 mm</t>
        </is>
      </c>
      <c r="C179" s="36" t="inlineStr">
        <is>
          <t>Residencial / Comercial</t>
        </is>
      </c>
      <c r="D179" s="34" t="inlineStr">
        <is>
          <t>Unión PVC</t>
        </is>
      </c>
      <c r="E179" s="34" t="inlineStr">
        <is>
          <t>U</t>
        </is>
      </c>
      <c r="F179" s="37" t="n">
        <v>2</v>
      </c>
      <c r="G179" s="38" t="n">
        <v>4.56</v>
      </c>
      <c r="H179" s="38" t="n">
        <v>4.79</v>
      </c>
      <c r="I179" s="34" t="inlineStr">
        <is>
          <t>Megametales</t>
        </is>
      </c>
      <c r="J179" s="38" t="n">
        <v>4.88</v>
      </c>
      <c r="K179" s="34" t="inlineStr">
        <is>
          <t>Kywi / Megakywi</t>
        </is>
      </c>
      <c r="L179" s="39">
        <f>F179*G179</f>
        <v/>
      </c>
      <c r="M179" s="149" t="inlineStr">
        <is>
          <t>IS-D20-ACF-PVC-UNI-075</t>
        </is>
      </c>
      <c r="N179" s="34" t="inlineStr">
        <is>
          <t>Instalaciones sanitarias (hidrosanitarias)</t>
        </is>
      </c>
      <c r="O179" s="34" t="inlineStr">
        <is>
          <t>Estimado DION · criterio de mercado Guayaquil 2026 (no verificado en tienda)</t>
        </is>
      </c>
      <c r="P179" s="34" t="inlineStr">
        <is>
          <t>oct-2026 (est.)</t>
        </is>
      </c>
      <c r="Q179" s="34" t="n"/>
    </row>
    <row r="180">
      <c r="A180" s="18" t="n">
        <v>159</v>
      </c>
      <c r="B180" s="19" t="inlineStr">
        <is>
          <t xml:space="preserve">        Reducción PVC Presión E/C Ø75 mm</t>
        </is>
      </c>
      <c r="C180" s="20" t="inlineStr">
        <is>
          <t>Residencial / Comercial</t>
        </is>
      </c>
      <c r="D180" s="18" t="inlineStr">
        <is>
          <t>Reducción PVC</t>
        </is>
      </c>
      <c r="E180" s="18" t="inlineStr">
        <is>
          <t>U</t>
        </is>
      </c>
      <c r="F180" s="21" t="n">
        <v>2</v>
      </c>
      <c r="G180" s="22" t="n">
        <v>6.08</v>
      </c>
      <c r="H180" s="22" t="n">
        <v>6.38</v>
      </c>
      <c r="I180" s="18" t="inlineStr">
        <is>
          <t>Megametales</t>
        </is>
      </c>
      <c r="J180" s="22" t="n">
        <v>6.57</v>
      </c>
      <c r="K180" s="18" t="inlineStr">
        <is>
          <t>Ferrisariato</t>
        </is>
      </c>
      <c r="L180" s="8">
        <f>F180*G180</f>
        <v/>
      </c>
      <c r="M180" s="145" t="inlineStr">
        <is>
          <t>IS-D20-ACF-PVC-RED-075</t>
        </is>
      </c>
      <c r="N180" s="18" t="inlineStr">
        <is>
          <t>Instalaciones sanitarias (hidrosanitarias)</t>
        </is>
      </c>
      <c r="O180" s="18" t="inlineStr">
        <is>
          <t>Estimado DION · criterio de mercado Guayaquil 2026 (no verificado en tienda)</t>
        </is>
      </c>
      <c r="P180" s="18" t="inlineStr">
        <is>
          <t>oct-2026 (est.)</t>
        </is>
      </c>
      <c r="Q180" s="18" t="n"/>
    </row>
    <row r="181">
      <c r="A181" s="34" t="n">
        <v>160</v>
      </c>
      <c r="B181" s="35" t="inlineStr">
        <is>
          <t xml:space="preserve">        Tapón PVC Presión E/C Ø75 mm</t>
        </is>
      </c>
      <c r="C181" s="36" t="inlineStr">
        <is>
          <t>Residencial / Comercial</t>
        </is>
      </c>
      <c r="D181" s="34" t="inlineStr">
        <is>
          <t>Tapón PVC</t>
        </is>
      </c>
      <c r="E181" s="34" t="inlineStr">
        <is>
          <t>U</t>
        </is>
      </c>
      <c r="F181" s="37" t="n">
        <v>2</v>
      </c>
      <c r="G181" s="38" t="n">
        <v>3.42</v>
      </c>
      <c r="H181" s="38" t="n">
        <v>3.52</v>
      </c>
      <c r="I181" s="34" t="inlineStr">
        <is>
          <t>Megametales</t>
        </is>
      </c>
      <c r="J181" s="38" t="n">
        <v>3.69</v>
      </c>
      <c r="K181" s="34" t="inlineStr">
        <is>
          <t>Kywi / Megakywi</t>
        </is>
      </c>
      <c r="L181" s="39">
        <f>F181*G181</f>
        <v/>
      </c>
      <c r="M181" s="149" t="inlineStr">
        <is>
          <t>IS-D20-ACF-PVC-TAP-075</t>
        </is>
      </c>
      <c r="N181" s="34" t="inlineStr">
        <is>
          <t>Instalaciones sanitarias (hidrosanitarias)</t>
        </is>
      </c>
      <c r="O181" s="34" t="inlineStr">
        <is>
          <t>Estimado DION · criterio de mercado Guayaquil 2026 (no verificado en tienda)</t>
        </is>
      </c>
      <c r="P181" s="34" t="inlineStr">
        <is>
          <t>oct-2026 (est.)</t>
        </is>
      </c>
      <c r="Q181" s="34" t="n"/>
    </row>
    <row r="182">
      <c r="A182" s="18" t="n">
        <v>161</v>
      </c>
      <c r="B182" s="19" t="inlineStr">
        <is>
          <t xml:space="preserve">        Adaptador Macho PVC Presión E/C Ø75 mm</t>
        </is>
      </c>
      <c r="C182" s="20" t="inlineStr">
        <is>
          <t>Residencial / Comercial</t>
        </is>
      </c>
      <c r="D182" s="18" t="inlineStr">
        <is>
          <t>Adaptador Macho PVC</t>
        </is>
      </c>
      <c r="E182" s="18" t="inlineStr">
        <is>
          <t>U</t>
        </is>
      </c>
      <c r="F182" s="21" t="n">
        <v>2</v>
      </c>
      <c r="G182" s="22" t="n">
        <v>5.32</v>
      </c>
      <c r="H182" s="22" t="n">
        <v>5.48</v>
      </c>
      <c r="I182" s="18" t="inlineStr">
        <is>
          <t>Megametales</t>
        </is>
      </c>
      <c r="J182" s="22" t="n">
        <v>5.8</v>
      </c>
      <c r="K182" s="18" t="inlineStr">
        <is>
          <t>Ferrisariato</t>
        </is>
      </c>
      <c r="L182" s="8">
        <f>F182*G182</f>
        <v/>
      </c>
      <c r="M182" s="145" t="inlineStr">
        <is>
          <t>IS-D20-ACF-PVC-ADM-075</t>
        </is>
      </c>
      <c r="N182" s="18" t="inlineStr">
        <is>
          <t>Instalaciones sanitarias (hidrosanitarias)</t>
        </is>
      </c>
      <c r="O182" s="18" t="inlineStr">
        <is>
          <t>Estimado DION · criterio de mercado Guayaquil 2026 (no verificado en tienda)</t>
        </is>
      </c>
      <c r="P182" s="18" t="inlineStr">
        <is>
          <t>oct-2026 (est.)</t>
        </is>
      </c>
      <c r="Q182" s="18" t="n"/>
    </row>
    <row r="183">
      <c r="A183" s="34" t="n">
        <v>162</v>
      </c>
      <c r="B183" s="35" t="inlineStr">
        <is>
          <t xml:space="preserve">        Codo 90° PVC Presión E/C Ø90 mm</t>
        </is>
      </c>
      <c r="C183" s="36" t="inlineStr">
        <is>
          <t>Residencial / Comercial</t>
        </is>
      </c>
      <c r="D183" s="34" t="inlineStr">
        <is>
          <t>Codo 90° PVC</t>
        </is>
      </c>
      <c r="E183" s="34" t="inlineStr">
        <is>
          <t>U</t>
        </is>
      </c>
      <c r="F183" s="37" t="n">
        <v>2</v>
      </c>
      <c r="G183" s="38" t="n">
        <v>11.5</v>
      </c>
      <c r="H183" s="38" t="n">
        <v>11.96</v>
      </c>
      <c r="I183" s="34" t="inlineStr">
        <is>
          <t>Megametales</t>
        </is>
      </c>
      <c r="J183" s="38" t="n">
        <v>12.77</v>
      </c>
      <c r="K183" s="34" t="inlineStr">
        <is>
          <t>Kywi / Megakywi</t>
        </is>
      </c>
      <c r="L183" s="39">
        <f>F183*G183</f>
        <v/>
      </c>
      <c r="M183" s="149" t="inlineStr">
        <is>
          <t>IS-D20-ACF-PVC-C90-090</t>
        </is>
      </c>
      <c r="N183" s="34" t="inlineStr">
        <is>
          <t>Instalaciones sanitarias (hidrosanitarias)</t>
        </is>
      </c>
      <c r="O183" s="34" t="inlineStr">
        <is>
          <t>Estimado DION · criterio de mercado Guayaquil 2026 (no verificado en tienda)</t>
        </is>
      </c>
      <c r="P183" s="34" t="inlineStr">
        <is>
          <t>oct-2026 (est.)</t>
        </is>
      </c>
      <c r="Q183" s="34" t="n"/>
    </row>
    <row r="184">
      <c r="A184" s="18" t="n">
        <v>163</v>
      </c>
      <c r="B184" s="19" t="inlineStr">
        <is>
          <t xml:space="preserve">        Codo 45° PVC Presión E/C Ø90 mm</t>
        </is>
      </c>
      <c r="C184" s="20" t="inlineStr">
        <is>
          <t>Residencial / Comercial</t>
        </is>
      </c>
      <c r="D184" s="18" t="inlineStr">
        <is>
          <t>Codo 45° PVC</t>
        </is>
      </c>
      <c r="E184" s="18" t="inlineStr">
        <is>
          <t>U</t>
        </is>
      </c>
      <c r="F184" s="21" t="n">
        <v>2</v>
      </c>
      <c r="G184" s="22" t="n">
        <v>10.92</v>
      </c>
      <c r="H184" s="22" t="n">
        <v>11.47</v>
      </c>
      <c r="I184" s="18" t="inlineStr">
        <is>
          <t>Megametales</t>
        </is>
      </c>
      <c r="J184" s="22" t="n">
        <v>11.9</v>
      </c>
      <c r="K184" s="18" t="inlineStr">
        <is>
          <t>Ferrisariato</t>
        </is>
      </c>
      <c r="L184" s="8">
        <f>F184*G184</f>
        <v/>
      </c>
      <c r="M184" s="145" t="inlineStr">
        <is>
          <t>IS-D20-ACF-PVC-C45-090</t>
        </is>
      </c>
      <c r="N184" s="18" t="inlineStr">
        <is>
          <t>Instalaciones sanitarias (hidrosanitarias)</t>
        </is>
      </c>
      <c r="O184" s="18" t="inlineStr">
        <is>
          <t>Estimado DION · criterio de mercado Guayaquil 2026 (no verificado en tienda)</t>
        </is>
      </c>
      <c r="P184" s="18" t="inlineStr">
        <is>
          <t>oct-2026 (est.)</t>
        </is>
      </c>
      <c r="Q184" s="18" t="n"/>
    </row>
    <row r="185">
      <c r="A185" s="34" t="n">
        <v>164</v>
      </c>
      <c r="B185" s="35" t="inlineStr">
        <is>
          <t xml:space="preserve">        Tee PVC Presión E/C Ø90 mm</t>
        </is>
      </c>
      <c r="C185" s="36" t="inlineStr">
        <is>
          <t>Residencial / Comercial</t>
        </is>
      </c>
      <c r="D185" s="34" t="inlineStr">
        <is>
          <t>Tee PVC</t>
        </is>
      </c>
      <c r="E185" s="34" t="inlineStr">
        <is>
          <t>U</t>
        </is>
      </c>
      <c r="F185" s="37" t="n">
        <v>2</v>
      </c>
      <c r="G185" s="38" t="n">
        <v>15.53</v>
      </c>
      <c r="H185" s="38" t="n">
        <v>16</v>
      </c>
      <c r="I185" s="34" t="inlineStr">
        <is>
          <t>Megametales</t>
        </is>
      </c>
      <c r="J185" s="38" t="n">
        <v>16.93</v>
      </c>
      <c r="K185" s="34" t="inlineStr">
        <is>
          <t>Kywi / Megakywi</t>
        </is>
      </c>
      <c r="L185" s="39">
        <f>F185*G185</f>
        <v/>
      </c>
      <c r="M185" s="149" t="inlineStr">
        <is>
          <t>IS-D20-ACF-PVC-TEE-090</t>
        </is>
      </c>
      <c r="N185" s="34" t="inlineStr">
        <is>
          <t>Instalaciones sanitarias (hidrosanitarias)</t>
        </is>
      </c>
      <c r="O185" s="34" t="inlineStr">
        <is>
          <t>Estimado DION · criterio de mercado Guayaquil 2026 (no verificado en tienda)</t>
        </is>
      </c>
      <c r="P185" s="34" t="inlineStr">
        <is>
          <t>oct-2026 (est.)</t>
        </is>
      </c>
      <c r="Q185" s="34" t="n"/>
    </row>
    <row r="186">
      <c r="A186" s="18" t="n">
        <v>165</v>
      </c>
      <c r="B186" s="19" t="inlineStr">
        <is>
          <t xml:space="preserve">        Unión / Manguito PVC Presión E/C Ø90 mm</t>
        </is>
      </c>
      <c r="C186" s="20" t="inlineStr">
        <is>
          <t>Residencial / Comercial</t>
        </is>
      </c>
      <c r="D186" s="18" t="inlineStr">
        <is>
          <t>Unión PVC</t>
        </is>
      </c>
      <c r="E186" s="18" t="inlineStr">
        <is>
          <t>U</t>
        </is>
      </c>
      <c r="F186" s="21" t="n">
        <v>2</v>
      </c>
      <c r="G186" s="22" t="n">
        <v>6.9</v>
      </c>
      <c r="H186" s="22" t="n">
        <v>7.25</v>
      </c>
      <c r="I186" s="18" t="inlineStr">
        <is>
          <t>Megametales</t>
        </is>
      </c>
      <c r="J186" s="22" t="n">
        <v>7.66</v>
      </c>
      <c r="K186" s="18" t="inlineStr">
        <is>
          <t>Ferrisariato</t>
        </is>
      </c>
      <c r="L186" s="8">
        <f>F186*G186</f>
        <v/>
      </c>
      <c r="M186" s="145" t="inlineStr">
        <is>
          <t>IS-D20-ACF-PVC-UNI-090</t>
        </is>
      </c>
      <c r="N186" s="18" t="inlineStr">
        <is>
          <t>Instalaciones sanitarias (hidrosanitarias)</t>
        </is>
      </c>
      <c r="O186" s="18" t="inlineStr">
        <is>
          <t>Estimado DION · criterio de mercado Guayaquil 2026 (no verificado en tienda)</t>
        </is>
      </c>
      <c r="P186" s="18" t="inlineStr">
        <is>
          <t>oct-2026 (est.)</t>
        </is>
      </c>
      <c r="Q186" s="18" t="n"/>
    </row>
    <row r="187">
      <c r="A187" s="34" t="n">
        <v>166</v>
      </c>
      <c r="B187" s="35" t="inlineStr">
        <is>
          <t xml:space="preserve">        Reducción PVC Presión E/C Ø90 mm</t>
        </is>
      </c>
      <c r="C187" s="36" t="inlineStr">
        <is>
          <t>Residencial / Comercial</t>
        </is>
      </c>
      <c r="D187" s="34" t="inlineStr">
        <is>
          <t>Reducción PVC</t>
        </is>
      </c>
      <c r="E187" s="34" t="inlineStr">
        <is>
          <t>U</t>
        </is>
      </c>
      <c r="F187" s="37" t="n">
        <v>2</v>
      </c>
      <c r="G187" s="38" t="n">
        <v>9.199999999999999</v>
      </c>
      <c r="H187" s="38" t="n">
        <v>9.380000000000001</v>
      </c>
      <c r="I187" s="34" t="inlineStr">
        <is>
          <t>Megametales</t>
        </is>
      </c>
      <c r="J187" s="38" t="n">
        <v>9.84</v>
      </c>
      <c r="K187" s="34" t="inlineStr">
        <is>
          <t>Kywi / Megakywi</t>
        </is>
      </c>
      <c r="L187" s="39">
        <f>F187*G187</f>
        <v/>
      </c>
      <c r="M187" s="149" t="inlineStr">
        <is>
          <t>IS-D20-ACF-PVC-RED-090</t>
        </is>
      </c>
      <c r="N187" s="34" t="inlineStr">
        <is>
          <t>Instalaciones sanitarias (hidrosanitarias)</t>
        </is>
      </c>
      <c r="O187" s="34" t="inlineStr">
        <is>
          <t>Estimado DION · criterio de mercado Guayaquil 2026 (no verificado en tienda)</t>
        </is>
      </c>
      <c r="P187" s="34" t="inlineStr">
        <is>
          <t>oct-2026 (est.)</t>
        </is>
      </c>
      <c r="Q187" s="34" t="n"/>
    </row>
    <row r="188">
      <c r="A188" s="18" t="n">
        <v>167</v>
      </c>
      <c r="B188" s="19" t="inlineStr">
        <is>
          <t xml:space="preserve">        Tapón PVC Presión E/C Ø90 mm</t>
        </is>
      </c>
      <c r="C188" s="20" t="inlineStr">
        <is>
          <t>Residencial / Comercial</t>
        </is>
      </c>
      <c r="D188" s="18" t="inlineStr">
        <is>
          <t>Tapón PVC</t>
        </is>
      </c>
      <c r="E188" s="18" t="inlineStr">
        <is>
          <t>U</t>
        </is>
      </c>
      <c r="F188" s="21" t="n">
        <v>2</v>
      </c>
      <c r="G188" s="22" t="n">
        <v>5.17</v>
      </c>
      <c r="H188" s="22" t="n">
        <v>5.33</v>
      </c>
      <c r="I188" s="18" t="inlineStr">
        <is>
          <t>Megametales</t>
        </is>
      </c>
      <c r="J188" s="22" t="n">
        <v>5.53</v>
      </c>
      <c r="K188" s="18" t="inlineStr">
        <is>
          <t>Ferrisariato</t>
        </is>
      </c>
      <c r="L188" s="8">
        <f>F188*G188</f>
        <v/>
      </c>
      <c r="M188" s="145" t="inlineStr">
        <is>
          <t>IS-D20-ACF-PVC-TAP-090</t>
        </is>
      </c>
      <c r="N188" s="18" t="inlineStr">
        <is>
          <t>Instalaciones sanitarias (hidrosanitarias)</t>
        </is>
      </c>
      <c r="O188" s="18" t="inlineStr">
        <is>
          <t>Estimado DION · criterio de mercado Guayaquil 2026 (no verificado en tienda)</t>
        </is>
      </c>
      <c r="P188" s="18" t="inlineStr">
        <is>
          <t>oct-2026 (est.)</t>
        </is>
      </c>
      <c r="Q188" s="18" t="n"/>
    </row>
    <row r="189">
      <c r="A189" s="34" t="n">
        <v>168</v>
      </c>
      <c r="B189" s="35" t="inlineStr">
        <is>
          <t xml:space="preserve">        Adaptador Macho PVC Presión E/C Ø90 mm</t>
        </is>
      </c>
      <c r="C189" s="36" t="inlineStr">
        <is>
          <t>Residencial / Comercial</t>
        </is>
      </c>
      <c r="D189" s="34" t="inlineStr">
        <is>
          <t>Adaptador Macho PVC</t>
        </is>
      </c>
      <c r="E189" s="34" t="inlineStr">
        <is>
          <t>U</t>
        </is>
      </c>
      <c r="F189" s="37" t="n">
        <v>2</v>
      </c>
      <c r="G189" s="38" t="n">
        <v>8.050000000000001</v>
      </c>
      <c r="H189" s="38" t="n">
        <v>8.210000000000001</v>
      </c>
      <c r="I189" s="34" t="inlineStr">
        <is>
          <t>Megametales</t>
        </is>
      </c>
      <c r="J189" s="38" t="n">
        <v>8.94</v>
      </c>
      <c r="K189" s="34" t="inlineStr">
        <is>
          <t>Kywi / Megakywi</t>
        </is>
      </c>
      <c r="L189" s="39">
        <f>F189*G189</f>
        <v/>
      </c>
      <c r="M189" s="149" t="inlineStr">
        <is>
          <t>IS-D20-ACF-PVC-ADM-090</t>
        </is>
      </c>
      <c r="N189" s="34" t="inlineStr">
        <is>
          <t>Instalaciones sanitarias (hidrosanitarias)</t>
        </is>
      </c>
      <c r="O189" s="34" t="inlineStr">
        <is>
          <t>Estimado DION · criterio de mercado Guayaquil 2026 (no verificado en tienda)</t>
        </is>
      </c>
      <c r="P189" s="34" t="inlineStr">
        <is>
          <t>oct-2026 (est.)</t>
        </is>
      </c>
      <c r="Q189" s="34" t="n"/>
    </row>
    <row r="190">
      <c r="A190" s="18" t="n">
        <v>169</v>
      </c>
      <c r="B190" s="19" t="inlineStr">
        <is>
          <t xml:space="preserve">        Codo 90° PVC Presión E/C Ø110 mm</t>
        </is>
      </c>
      <c r="C190" s="20" t="inlineStr">
        <is>
          <t>Residencial / Comercial</t>
        </is>
      </c>
      <c r="D190" s="18" t="inlineStr">
        <is>
          <t>Codo 90° PVC</t>
        </is>
      </c>
      <c r="E190" s="18" t="inlineStr">
        <is>
          <t>U</t>
        </is>
      </c>
      <c r="F190" s="21" t="n">
        <v>2</v>
      </c>
      <c r="G190" s="22" t="n">
        <v>17.5</v>
      </c>
      <c r="H190" s="22" t="n">
        <v>18.38</v>
      </c>
      <c r="I190" s="18" t="inlineStr">
        <is>
          <t>Megametales</t>
        </is>
      </c>
      <c r="J190" s="22" t="n">
        <v>19.25</v>
      </c>
      <c r="K190" s="18" t="inlineStr">
        <is>
          <t>Ferrisariato</t>
        </is>
      </c>
      <c r="L190" s="8">
        <f>F190*G190</f>
        <v/>
      </c>
      <c r="M190" s="145" t="inlineStr">
        <is>
          <t>IS-D20-ACF-PVC-C90-110</t>
        </is>
      </c>
      <c r="N190" s="18" t="inlineStr">
        <is>
          <t>Instalaciones sanitarias (hidrosanitarias)</t>
        </is>
      </c>
      <c r="O190" s="18" t="inlineStr">
        <is>
          <t>Estimado DION · criterio de mercado Guayaquil 2026 (no verificado en tienda)</t>
        </is>
      </c>
      <c r="P190" s="18" t="inlineStr">
        <is>
          <t>oct-2026 (est.)</t>
        </is>
      </c>
      <c r="Q190" s="18" t="n"/>
    </row>
    <row r="191">
      <c r="A191" s="34" t="n">
        <v>170</v>
      </c>
      <c r="B191" s="35" t="inlineStr">
        <is>
          <t xml:space="preserve">        Codo 45° PVC Presión E/C Ø110 mm</t>
        </is>
      </c>
      <c r="C191" s="36" t="inlineStr">
        <is>
          <t>Residencial / Comercial</t>
        </is>
      </c>
      <c r="D191" s="34" t="inlineStr">
        <is>
          <t>Codo 45° PVC</t>
        </is>
      </c>
      <c r="E191" s="34" t="inlineStr">
        <is>
          <t>U</t>
        </is>
      </c>
      <c r="F191" s="37" t="n">
        <v>2</v>
      </c>
      <c r="G191" s="38" t="n">
        <v>16.62</v>
      </c>
      <c r="H191" s="38" t="n">
        <v>16.95</v>
      </c>
      <c r="I191" s="34" t="inlineStr">
        <is>
          <t>Megametales</t>
        </is>
      </c>
      <c r="J191" s="38" t="n">
        <v>17.95</v>
      </c>
      <c r="K191" s="34" t="inlineStr">
        <is>
          <t>Kywi / Megakywi</t>
        </is>
      </c>
      <c r="L191" s="39">
        <f>F191*G191</f>
        <v/>
      </c>
      <c r="M191" s="149" t="inlineStr">
        <is>
          <t>IS-D20-ACF-PVC-C45-110</t>
        </is>
      </c>
      <c r="N191" s="34" t="inlineStr">
        <is>
          <t>Instalaciones sanitarias (hidrosanitarias)</t>
        </is>
      </c>
      <c r="O191" s="34" t="inlineStr">
        <is>
          <t>Estimado DION · criterio de mercado Guayaquil 2026 (no verificado en tienda)</t>
        </is>
      </c>
      <c r="P191" s="34" t="inlineStr">
        <is>
          <t>oct-2026 (est.)</t>
        </is>
      </c>
      <c r="Q191" s="34" t="n"/>
    </row>
    <row r="192">
      <c r="A192" s="18" t="n">
        <v>171</v>
      </c>
      <c r="B192" s="19" t="inlineStr">
        <is>
          <t xml:space="preserve">        Tee PVC Presión E/C Ø110 mm</t>
        </is>
      </c>
      <c r="C192" s="20" t="inlineStr">
        <is>
          <t>Residencial / Comercial</t>
        </is>
      </c>
      <c r="D192" s="18" t="inlineStr">
        <is>
          <t>Tee PVC</t>
        </is>
      </c>
      <c r="E192" s="18" t="inlineStr">
        <is>
          <t>U</t>
        </is>
      </c>
      <c r="F192" s="21" t="n">
        <v>2</v>
      </c>
      <c r="G192" s="22" t="n">
        <v>23.62</v>
      </c>
      <c r="H192" s="22" t="n">
        <v>24.8</v>
      </c>
      <c r="I192" s="18" t="inlineStr">
        <is>
          <t>Megametales</t>
        </is>
      </c>
      <c r="J192" s="22" t="n">
        <v>25.98</v>
      </c>
      <c r="K192" s="18" t="inlineStr">
        <is>
          <t>Ferrisariato</t>
        </is>
      </c>
      <c r="L192" s="8">
        <f>F192*G192</f>
        <v/>
      </c>
      <c r="M192" s="145" t="inlineStr">
        <is>
          <t>IS-D20-ACF-PVC-TEE-110</t>
        </is>
      </c>
      <c r="N192" s="18" t="inlineStr">
        <is>
          <t>Instalaciones sanitarias (hidrosanitarias)</t>
        </is>
      </c>
      <c r="O192" s="18" t="inlineStr">
        <is>
          <t>Estimado DION · criterio de mercado Guayaquil 2026 (no verificado en tienda)</t>
        </is>
      </c>
      <c r="P192" s="18" t="inlineStr">
        <is>
          <t>oct-2026 (est.)</t>
        </is>
      </c>
      <c r="Q192" s="18" t="n"/>
    </row>
    <row r="193">
      <c r="A193" s="34" t="n">
        <v>172</v>
      </c>
      <c r="B193" s="35" t="inlineStr">
        <is>
          <t xml:space="preserve">        Unión / Manguito PVC Presión E/C Ø110 mm</t>
        </is>
      </c>
      <c r="C193" s="36" t="inlineStr">
        <is>
          <t>Residencial / Comercial</t>
        </is>
      </c>
      <c r="D193" s="34" t="inlineStr">
        <is>
          <t>Unión PVC</t>
        </is>
      </c>
      <c r="E193" s="34" t="inlineStr">
        <is>
          <t>U</t>
        </is>
      </c>
      <c r="F193" s="37" t="n">
        <v>2</v>
      </c>
      <c r="G193" s="38" t="n">
        <v>10.5</v>
      </c>
      <c r="H193" s="38" t="n">
        <v>10.71</v>
      </c>
      <c r="I193" s="34" t="inlineStr">
        <is>
          <t>Megametales</t>
        </is>
      </c>
      <c r="J193" s="38" t="n">
        <v>11.24</v>
      </c>
      <c r="K193" s="34" t="inlineStr">
        <is>
          <t>Kywi / Megakywi</t>
        </is>
      </c>
      <c r="L193" s="39">
        <f>F193*G193</f>
        <v/>
      </c>
      <c r="M193" s="149" t="inlineStr">
        <is>
          <t>IS-D20-ACF-PVC-UNI-110</t>
        </is>
      </c>
      <c r="N193" s="34" t="inlineStr">
        <is>
          <t>Instalaciones sanitarias (hidrosanitarias)</t>
        </is>
      </c>
      <c r="O193" s="34" t="inlineStr">
        <is>
          <t>Estimado DION · criterio de mercado Guayaquil 2026 (no verificado en tienda)</t>
        </is>
      </c>
      <c r="P193" s="34" t="inlineStr">
        <is>
          <t>oct-2026 (est.)</t>
        </is>
      </c>
      <c r="Q193" s="34" t="n"/>
    </row>
    <row r="194">
      <c r="A194" s="18" t="n">
        <v>173</v>
      </c>
      <c r="B194" s="19" t="inlineStr">
        <is>
          <t xml:space="preserve">        Reducción PVC Presión E/C Ø110 mm</t>
        </is>
      </c>
      <c r="C194" s="20" t="inlineStr">
        <is>
          <t>Residencial / Comercial</t>
        </is>
      </c>
      <c r="D194" s="18" t="inlineStr">
        <is>
          <t>Reducción PVC</t>
        </is>
      </c>
      <c r="E194" s="18" t="inlineStr">
        <is>
          <t>U</t>
        </is>
      </c>
      <c r="F194" s="21" t="n">
        <v>2</v>
      </c>
      <c r="G194" s="22" t="n">
        <v>14</v>
      </c>
      <c r="H194" s="22" t="n">
        <v>14.56</v>
      </c>
      <c r="I194" s="18" t="inlineStr">
        <is>
          <t>Megametales</t>
        </is>
      </c>
      <c r="J194" s="22" t="n">
        <v>14.98</v>
      </c>
      <c r="K194" s="18" t="inlineStr">
        <is>
          <t>Ferrisariato</t>
        </is>
      </c>
      <c r="L194" s="8">
        <f>F194*G194</f>
        <v/>
      </c>
      <c r="M194" s="145" t="inlineStr">
        <is>
          <t>IS-D20-ACF-PVC-RED-110</t>
        </is>
      </c>
      <c r="N194" s="18" t="inlineStr">
        <is>
          <t>Instalaciones sanitarias (hidrosanitarias)</t>
        </is>
      </c>
      <c r="O194" s="18" t="inlineStr">
        <is>
          <t>Estimado DION · criterio de mercado Guayaquil 2026 (no verificado en tienda)</t>
        </is>
      </c>
      <c r="P194" s="18" t="inlineStr">
        <is>
          <t>oct-2026 (est.)</t>
        </is>
      </c>
      <c r="Q194" s="18" t="n"/>
    </row>
    <row r="195">
      <c r="A195" s="34" t="n">
        <v>174</v>
      </c>
      <c r="B195" s="35" t="inlineStr">
        <is>
          <t xml:space="preserve">        Tapón PVC Presión E/C Ø110 mm</t>
        </is>
      </c>
      <c r="C195" s="36" t="inlineStr">
        <is>
          <t>Residencial / Comercial</t>
        </is>
      </c>
      <c r="D195" s="34" t="inlineStr">
        <is>
          <t>Tapón PVC</t>
        </is>
      </c>
      <c r="E195" s="34" t="inlineStr">
        <is>
          <t>U</t>
        </is>
      </c>
      <c r="F195" s="37" t="n">
        <v>2</v>
      </c>
      <c r="G195" s="38" t="n">
        <v>7.88</v>
      </c>
      <c r="H195" s="38" t="n">
        <v>8.039999999999999</v>
      </c>
      <c r="I195" s="34" t="inlineStr">
        <is>
          <t>Megametales</t>
        </is>
      </c>
      <c r="J195" s="38" t="n">
        <v>8.51</v>
      </c>
      <c r="K195" s="34" t="inlineStr">
        <is>
          <t>Kywi / Megakywi</t>
        </is>
      </c>
      <c r="L195" s="39">
        <f>F195*G195</f>
        <v/>
      </c>
      <c r="M195" s="149" t="inlineStr">
        <is>
          <t>IS-D20-ACF-PVC-TAP-110</t>
        </is>
      </c>
      <c r="N195" s="34" t="inlineStr">
        <is>
          <t>Instalaciones sanitarias (hidrosanitarias)</t>
        </is>
      </c>
      <c r="O195" s="34" t="inlineStr">
        <is>
          <t>Estimado DION · criterio de mercado Guayaquil 2026 (no verificado en tienda)</t>
        </is>
      </c>
      <c r="P195" s="34" t="inlineStr">
        <is>
          <t>oct-2026 (est.)</t>
        </is>
      </c>
      <c r="Q195" s="34" t="n"/>
    </row>
    <row r="196">
      <c r="A196" s="18" t="n">
        <v>175</v>
      </c>
      <c r="B196" s="19" t="inlineStr">
        <is>
          <t xml:space="preserve">        Adaptador Macho PVC Presión E/C Ø110 mm</t>
        </is>
      </c>
      <c r="C196" s="20" t="inlineStr">
        <is>
          <t>Residencial / Comercial</t>
        </is>
      </c>
      <c r="D196" s="18" t="inlineStr">
        <is>
          <t>Adaptador Macho PVC</t>
        </is>
      </c>
      <c r="E196" s="18" t="inlineStr">
        <is>
          <t>U</t>
        </is>
      </c>
      <c r="F196" s="21" t="n">
        <v>2</v>
      </c>
      <c r="G196" s="22" t="n">
        <v>12.25</v>
      </c>
      <c r="H196" s="22" t="n">
        <v>12.74</v>
      </c>
      <c r="I196" s="18" t="inlineStr">
        <is>
          <t>Megametales</t>
        </is>
      </c>
      <c r="J196" s="22" t="n">
        <v>13.6</v>
      </c>
      <c r="K196" s="18" t="inlineStr">
        <is>
          <t>Ferrisariato</t>
        </is>
      </c>
      <c r="L196" s="8">
        <f>F196*G196</f>
        <v/>
      </c>
      <c r="M196" s="145" t="inlineStr">
        <is>
          <t>IS-D20-ACF-PVC-ADM-110</t>
        </is>
      </c>
      <c r="N196" s="18" t="inlineStr">
        <is>
          <t>Instalaciones sanitarias (hidrosanitarias)</t>
        </is>
      </c>
      <c r="O196" s="18" t="inlineStr">
        <is>
          <t>Estimado DION · criterio de mercado Guayaquil 2026 (no verificado en tienda)</t>
        </is>
      </c>
      <c r="P196" s="18" t="inlineStr">
        <is>
          <t>oct-2026 (est.)</t>
        </is>
      </c>
      <c r="Q196" s="18" t="n"/>
    </row>
    <row r="197">
      <c r="A197" s="34" t="n">
        <v>176</v>
      </c>
      <c r="B197" s="35" t="inlineStr">
        <is>
          <t xml:space="preserve">        Codo 90° PPR Termofusión Ø20 mm</t>
        </is>
      </c>
      <c r="C197" s="36" t="inlineStr">
        <is>
          <t>Residencial / Comercial</t>
        </is>
      </c>
      <c r="D197" s="34" t="inlineStr">
        <is>
          <t>Codo 90° PPR</t>
        </is>
      </c>
      <c r="E197" s="34" t="inlineStr">
        <is>
          <t>U</t>
        </is>
      </c>
      <c r="F197" s="37" t="n">
        <v>10</v>
      </c>
      <c r="G197" s="38" t="n">
        <v>0.45</v>
      </c>
      <c r="H197" s="38" t="n">
        <v>0.47</v>
      </c>
      <c r="I197" s="34" t="inlineStr">
        <is>
          <t>Megametales</t>
        </is>
      </c>
      <c r="J197" s="38" t="n">
        <v>0.49</v>
      </c>
      <c r="K197" s="34" t="inlineStr">
        <is>
          <t>Kywi / Megakywi</t>
        </is>
      </c>
      <c r="L197" s="39">
        <f>F197*G197</f>
        <v/>
      </c>
      <c r="M197" s="149" t="inlineStr">
        <is>
          <t>IS-D20-ACF-PPR-C90-020</t>
        </is>
      </c>
      <c r="N197" s="34" t="inlineStr">
        <is>
          <t>Instalaciones sanitarias (hidrosanitarias)</t>
        </is>
      </c>
      <c r="O197" s="34" t="inlineStr">
        <is>
          <t>Estimado DION · criterio de mercado Guayaquil 2026 (no verificado en tienda)</t>
        </is>
      </c>
      <c r="P197" s="34" t="inlineStr">
        <is>
          <t>oct-2026 (est.)</t>
        </is>
      </c>
      <c r="Q197" s="34" t="n"/>
    </row>
    <row r="198">
      <c r="A198" s="18" t="n">
        <v>177</v>
      </c>
      <c r="B198" s="19" t="inlineStr">
        <is>
          <t xml:space="preserve">        Codo 45° PPR Termofusión Ø20 mm</t>
        </is>
      </c>
      <c r="C198" s="20" t="inlineStr">
        <is>
          <t>Residencial / Comercial</t>
        </is>
      </c>
      <c r="D198" s="18" t="inlineStr">
        <is>
          <t>Codo 45° PPR</t>
        </is>
      </c>
      <c r="E198" s="18" t="inlineStr">
        <is>
          <t>U</t>
        </is>
      </c>
      <c r="F198" s="21" t="n">
        <v>10</v>
      </c>
      <c r="G198" s="22" t="n">
        <v>0.43</v>
      </c>
      <c r="H198" s="22" t="n">
        <v>0.45</v>
      </c>
      <c r="I198" s="18" t="inlineStr">
        <is>
          <t>Megametales</t>
        </is>
      </c>
      <c r="J198" s="22" t="n">
        <v>0.46</v>
      </c>
      <c r="K198" s="18" t="inlineStr">
        <is>
          <t>Ferrisariato</t>
        </is>
      </c>
      <c r="L198" s="8">
        <f>F198*G198</f>
        <v/>
      </c>
      <c r="M198" s="145" t="inlineStr">
        <is>
          <t>IS-D20-ACF-PPR-C45-020</t>
        </is>
      </c>
      <c r="N198" s="18" t="inlineStr">
        <is>
          <t>Instalaciones sanitarias (hidrosanitarias)</t>
        </is>
      </c>
      <c r="O198" s="18" t="inlineStr">
        <is>
          <t>Estimado DION · criterio de mercado Guayaquil 2026 (no verificado en tienda)</t>
        </is>
      </c>
      <c r="P198" s="18" t="inlineStr">
        <is>
          <t>oct-2026 (est.)</t>
        </is>
      </c>
      <c r="Q198" s="18" t="n"/>
    </row>
    <row r="199">
      <c r="A199" s="34" t="n">
        <v>178</v>
      </c>
      <c r="B199" s="35" t="inlineStr">
        <is>
          <t xml:space="preserve">        Tee PPR Termofusión Ø20 mm</t>
        </is>
      </c>
      <c r="C199" s="36" t="inlineStr">
        <is>
          <t>Residencial / Comercial</t>
        </is>
      </c>
      <c r="D199" s="34" t="inlineStr">
        <is>
          <t>Tee PPR</t>
        </is>
      </c>
      <c r="E199" s="34" t="inlineStr">
        <is>
          <t>U</t>
        </is>
      </c>
      <c r="F199" s="37" t="n">
        <v>10</v>
      </c>
      <c r="G199" s="38" t="n">
        <v>0.61</v>
      </c>
      <c r="H199" s="38" t="n">
        <v>0.62</v>
      </c>
      <c r="I199" s="34" t="inlineStr">
        <is>
          <t>Megametales</t>
        </is>
      </c>
      <c r="J199" s="38" t="n">
        <v>0.66</v>
      </c>
      <c r="K199" s="34" t="inlineStr">
        <is>
          <t>Kywi / Megakywi</t>
        </is>
      </c>
      <c r="L199" s="39">
        <f>F199*G199</f>
        <v/>
      </c>
      <c r="M199" s="149" t="inlineStr">
        <is>
          <t>IS-D20-ACF-PPR-TEE-020</t>
        </is>
      </c>
      <c r="N199" s="34" t="inlineStr">
        <is>
          <t>Instalaciones sanitarias (hidrosanitarias)</t>
        </is>
      </c>
      <c r="O199" s="34" t="inlineStr">
        <is>
          <t>Estimado DION · criterio de mercado Guayaquil 2026 (no verificado en tienda)</t>
        </is>
      </c>
      <c r="P199" s="34" t="inlineStr">
        <is>
          <t>oct-2026 (est.)</t>
        </is>
      </c>
      <c r="Q199" s="34" t="n"/>
    </row>
    <row r="200">
      <c r="A200" s="18" t="n">
        <v>179</v>
      </c>
      <c r="B200" s="19" t="inlineStr">
        <is>
          <t xml:space="preserve">        Unión / Manguito PPR Termofusión Ø20 mm</t>
        </is>
      </c>
      <c r="C200" s="20" t="inlineStr">
        <is>
          <t>Residencial / Comercial</t>
        </is>
      </c>
      <c r="D200" s="18" t="inlineStr">
        <is>
          <t>Unión PPR</t>
        </is>
      </c>
      <c r="E200" s="18" t="inlineStr">
        <is>
          <t>U</t>
        </is>
      </c>
      <c r="F200" s="21" t="n">
        <v>10</v>
      </c>
      <c r="G200" s="22" t="n">
        <v>0.27</v>
      </c>
      <c r="H200" s="22" t="n">
        <v>0.28</v>
      </c>
      <c r="I200" s="18" t="inlineStr">
        <is>
          <t>Megametales</t>
        </is>
      </c>
      <c r="J200" s="22" t="n">
        <v>0.3</v>
      </c>
      <c r="K200" s="18" t="inlineStr">
        <is>
          <t>Ferrisariato</t>
        </is>
      </c>
      <c r="L200" s="8">
        <f>F200*G200</f>
        <v/>
      </c>
      <c r="M200" s="145" t="inlineStr">
        <is>
          <t>IS-D20-ACF-PPR-UNI-020</t>
        </is>
      </c>
      <c r="N200" s="18" t="inlineStr">
        <is>
          <t>Instalaciones sanitarias (hidrosanitarias)</t>
        </is>
      </c>
      <c r="O200" s="18" t="inlineStr">
        <is>
          <t>Estimado DION · criterio de mercado Guayaquil 2026 (no verificado en tienda)</t>
        </is>
      </c>
      <c r="P200" s="18" t="inlineStr">
        <is>
          <t>oct-2026 (est.)</t>
        </is>
      </c>
      <c r="Q200" s="18" t="n"/>
    </row>
    <row r="201">
      <c r="A201" s="34" t="n">
        <v>180</v>
      </c>
      <c r="B201" s="35" t="inlineStr">
        <is>
          <t xml:space="preserve">        Reducción PPR Termofusión Ø20 mm</t>
        </is>
      </c>
      <c r="C201" s="36" t="inlineStr">
        <is>
          <t>Residencial / Comercial</t>
        </is>
      </c>
      <c r="D201" s="34" t="inlineStr">
        <is>
          <t>Reducción PPR</t>
        </is>
      </c>
      <c r="E201" s="34" t="inlineStr">
        <is>
          <t>U</t>
        </is>
      </c>
      <c r="F201" s="37" t="n">
        <v>10</v>
      </c>
      <c r="G201" s="38" t="n">
        <v>0.36</v>
      </c>
      <c r="H201" s="38" t="n">
        <v>0.37</v>
      </c>
      <c r="I201" s="34" t="inlineStr">
        <is>
          <t>Megametales</t>
        </is>
      </c>
      <c r="J201" s="38" t="n">
        <v>0.39</v>
      </c>
      <c r="K201" s="34" t="inlineStr">
        <is>
          <t>Kywi / Megakywi</t>
        </is>
      </c>
      <c r="L201" s="39">
        <f>F201*G201</f>
        <v/>
      </c>
      <c r="M201" s="149" t="inlineStr">
        <is>
          <t>IS-D20-ACF-PPR-RED-020</t>
        </is>
      </c>
      <c r="N201" s="34" t="inlineStr">
        <is>
          <t>Instalaciones sanitarias (hidrosanitarias)</t>
        </is>
      </c>
      <c r="O201" s="34" t="inlineStr">
        <is>
          <t>Estimado DION · criterio de mercado Guayaquil 2026 (no verificado en tienda)</t>
        </is>
      </c>
      <c r="P201" s="34" t="inlineStr">
        <is>
          <t>oct-2026 (est.)</t>
        </is>
      </c>
      <c r="Q201" s="34" t="n"/>
    </row>
    <row r="202">
      <c r="A202" s="18" t="n">
        <v>181</v>
      </c>
      <c r="B202" s="19" t="inlineStr">
        <is>
          <t xml:space="preserve">        Tapón PPR Termofusión Ø20 mm</t>
        </is>
      </c>
      <c r="C202" s="20" t="inlineStr">
        <is>
          <t>Residencial / Comercial</t>
        </is>
      </c>
      <c r="D202" s="18" t="inlineStr">
        <is>
          <t>Tapón PPR</t>
        </is>
      </c>
      <c r="E202" s="18" t="inlineStr">
        <is>
          <t>U</t>
        </is>
      </c>
      <c r="F202" s="21" t="n">
        <v>10</v>
      </c>
      <c r="G202" s="22" t="n">
        <v>0.2</v>
      </c>
      <c r="H202" s="22" t="n">
        <v>0.21</v>
      </c>
      <c r="I202" s="18" t="inlineStr">
        <is>
          <t>Megametales</t>
        </is>
      </c>
      <c r="J202" s="22" t="n">
        <v>0.22</v>
      </c>
      <c r="K202" s="18" t="inlineStr">
        <is>
          <t>Ferrisariato</t>
        </is>
      </c>
      <c r="L202" s="8">
        <f>F202*G202</f>
        <v/>
      </c>
      <c r="M202" s="145" t="inlineStr">
        <is>
          <t>IS-D20-ACF-PPR-TAP-020</t>
        </is>
      </c>
      <c r="N202" s="18" t="inlineStr">
        <is>
          <t>Instalaciones sanitarias (hidrosanitarias)</t>
        </is>
      </c>
      <c r="O202" s="18" t="inlineStr">
        <is>
          <t>Estimado DION · criterio de mercado Guayaquil 2026 (no verificado en tienda)</t>
        </is>
      </c>
      <c r="P202" s="18" t="inlineStr">
        <is>
          <t>oct-2026 (est.)</t>
        </is>
      </c>
      <c r="Q202" s="18" t="n"/>
    </row>
    <row r="203">
      <c r="A203" s="34" t="n">
        <v>182</v>
      </c>
      <c r="B203" s="35" t="inlineStr">
        <is>
          <t xml:space="preserve">        Adaptador Macho PPR Termofusión Ø20 mm</t>
        </is>
      </c>
      <c r="C203" s="36" t="inlineStr">
        <is>
          <t>Residencial / Comercial</t>
        </is>
      </c>
      <c r="D203" s="34" t="inlineStr">
        <is>
          <t>Adaptador Macho PPR</t>
        </is>
      </c>
      <c r="E203" s="34" t="inlineStr">
        <is>
          <t>U</t>
        </is>
      </c>
      <c r="F203" s="37" t="n">
        <v>10</v>
      </c>
      <c r="G203" s="38" t="n">
        <v>0.32</v>
      </c>
      <c r="H203" s="38" t="n">
        <v>0.33</v>
      </c>
      <c r="I203" s="34" t="inlineStr">
        <is>
          <t>Megametales</t>
        </is>
      </c>
      <c r="J203" s="38" t="n">
        <v>0.35</v>
      </c>
      <c r="K203" s="34" t="inlineStr">
        <is>
          <t>Kywi / Megakywi</t>
        </is>
      </c>
      <c r="L203" s="39">
        <f>F203*G203</f>
        <v/>
      </c>
      <c r="M203" s="149" t="inlineStr">
        <is>
          <t>IS-D20-ACF-PPR-ADM-020</t>
        </is>
      </c>
      <c r="N203" s="34" t="inlineStr">
        <is>
          <t>Instalaciones sanitarias (hidrosanitarias)</t>
        </is>
      </c>
      <c r="O203" s="34" t="inlineStr">
        <is>
          <t>Estimado DION · criterio de mercado Guayaquil 2026 (no verificado en tienda)</t>
        </is>
      </c>
      <c r="P203" s="34" t="inlineStr">
        <is>
          <t>oct-2026 (est.)</t>
        </is>
      </c>
      <c r="Q203" s="34" t="n"/>
    </row>
    <row r="204">
      <c r="A204" s="18" t="n">
        <v>183</v>
      </c>
      <c r="B204" s="19" t="inlineStr">
        <is>
          <t xml:space="preserve">        Universal PPR Termofusión Ø20 mm</t>
        </is>
      </c>
      <c r="C204" s="20" t="inlineStr">
        <is>
          <t>Residencial / Comercial</t>
        </is>
      </c>
      <c r="D204" s="18" t="inlineStr">
        <is>
          <t>Universal PPR</t>
        </is>
      </c>
      <c r="E204" s="18" t="inlineStr">
        <is>
          <t>U</t>
        </is>
      </c>
      <c r="F204" s="21" t="n">
        <v>10</v>
      </c>
      <c r="G204" s="22" t="n">
        <v>1.35</v>
      </c>
      <c r="H204" s="22" t="n">
        <v>1.39</v>
      </c>
      <c r="I204" s="18" t="inlineStr">
        <is>
          <t>Megametales</t>
        </is>
      </c>
      <c r="J204" s="22" t="n">
        <v>1.5</v>
      </c>
      <c r="K204" s="18" t="inlineStr">
        <is>
          <t>Ferrisariato</t>
        </is>
      </c>
      <c r="L204" s="8">
        <f>F204*G204</f>
        <v/>
      </c>
      <c r="M204" s="145" t="inlineStr">
        <is>
          <t>IS-D20-ACF-PPR-UNV-020</t>
        </is>
      </c>
      <c r="N204" s="18" t="inlineStr">
        <is>
          <t>Instalaciones sanitarias (hidrosanitarias)</t>
        </is>
      </c>
      <c r="O204" s="18" t="inlineStr">
        <is>
          <t>Estimado DION · criterio de mercado Guayaquil 2026 (no verificado en tienda)</t>
        </is>
      </c>
      <c r="P204" s="18" t="inlineStr">
        <is>
          <t>oct-2026 (est.)</t>
        </is>
      </c>
      <c r="Q204" s="18" t="n"/>
    </row>
    <row r="205">
      <c r="A205" s="34" t="n">
        <v>184</v>
      </c>
      <c r="B205" s="35" t="inlineStr">
        <is>
          <t xml:space="preserve">        Codo 45° PPR Termofusión Ø25 mm</t>
        </is>
      </c>
      <c r="C205" s="36" t="inlineStr">
        <is>
          <t>Residencial / Comercial</t>
        </is>
      </c>
      <c r="D205" s="34" t="inlineStr">
        <is>
          <t>Codo 45° PPR</t>
        </is>
      </c>
      <c r="E205" s="34" t="inlineStr">
        <is>
          <t>U</t>
        </is>
      </c>
      <c r="F205" s="37" t="n">
        <v>10</v>
      </c>
      <c r="G205" s="38" t="n">
        <v>0.63</v>
      </c>
      <c r="H205" s="38" t="n">
        <v>0.66</v>
      </c>
      <c r="I205" s="34" t="inlineStr">
        <is>
          <t>Megametales</t>
        </is>
      </c>
      <c r="J205" s="38" t="n">
        <v>0.68</v>
      </c>
      <c r="K205" s="34" t="inlineStr">
        <is>
          <t>Kywi / Megakywi</t>
        </is>
      </c>
      <c r="L205" s="39">
        <f>F205*G205</f>
        <v/>
      </c>
      <c r="M205" s="149" t="inlineStr">
        <is>
          <t>IS-D20-ACF-PPR-C45-025</t>
        </is>
      </c>
      <c r="N205" s="34" t="inlineStr">
        <is>
          <t>Instalaciones sanitarias (hidrosanitarias)</t>
        </is>
      </c>
      <c r="O205" s="34" t="inlineStr">
        <is>
          <t>Estimado DION · criterio de mercado Guayaquil 2026 (no verificado en tienda)</t>
        </is>
      </c>
      <c r="P205" s="34" t="inlineStr">
        <is>
          <t>oct-2026 (est.)</t>
        </is>
      </c>
      <c r="Q205" s="34" t="n"/>
    </row>
    <row r="206">
      <c r="A206" s="18" t="n">
        <v>185</v>
      </c>
      <c r="B206" s="19" t="inlineStr">
        <is>
          <t xml:space="preserve">        Unión / Manguito PPR Termofusión Ø25 mm</t>
        </is>
      </c>
      <c r="C206" s="20" t="inlineStr">
        <is>
          <t>Residencial / Comercial</t>
        </is>
      </c>
      <c r="D206" s="18" t="inlineStr">
        <is>
          <t>Unión PPR</t>
        </is>
      </c>
      <c r="E206" s="18" t="inlineStr">
        <is>
          <t>U</t>
        </is>
      </c>
      <c r="F206" s="21" t="n">
        <v>10</v>
      </c>
      <c r="G206" s="22" t="n">
        <v>0.4</v>
      </c>
      <c r="H206" s="22" t="n">
        <v>0.42</v>
      </c>
      <c r="I206" s="18" t="inlineStr">
        <is>
          <t>Megametales</t>
        </is>
      </c>
      <c r="J206" s="22" t="n">
        <v>0.43</v>
      </c>
      <c r="K206" s="18" t="inlineStr">
        <is>
          <t>Ferrisariato</t>
        </is>
      </c>
      <c r="L206" s="8">
        <f>F206*G206</f>
        <v/>
      </c>
      <c r="M206" s="145" t="inlineStr">
        <is>
          <t>IS-D20-ACF-PPR-UNI-025</t>
        </is>
      </c>
      <c r="N206" s="18" t="inlineStr">
        <is>
          <t>Instalaciones sanitarias (hidrosanitarias)</t>
        </is>
      </c>
      <c r="O206" s="18" t="inlineStr">
        <is>
          <t>Estimado DION · criterio de mercado Guayaquil 2026 (no verificado en tienda)</t>
        </is>
      </c>
      <c r="P206" s="18" t="inlineStr">
        <is>
          <t>oct-2026 (est.)</t>
        </is>
      </c>
      <c r="Q206" s="18" t="n"/>
    </row>
    <row r="207">
      <c r="A207" s="34" t="n">
        <v>186</v>
      </c>
      <c r="B207" s="35" t="inlineStr">
        <is>
          <t xml:space="preserve">        Reducción PPR Termofusión Ø25 mm</t>
        </is>
      </c>
      <c r="C207" s="36" t="inlineStr">
        <is>
          <t>Residencial / Comercial</t>
        </is>
      </c>
      <c r="D207" s="34" t="inlineStr">
        <is>
          <t>Reducción PPR</t>
        </is>
      </c>
      <c r="E207" s="34" t="inlineStr">
        <is>
          <t>U</t>
        </is>
      </c>
      <c r="F207" s="37" t="n">
        <v>10</v>
      </c>
      <c r="G207" s="38" t="n">
        <v>0.53</v>
      </c>
      <c r="H207" s="38" t="n">
        <v>0.55</v>
      </c>
      <c r="I207" s="34" t="inlineStr">
        <is>
          <t>Megametales</t>
        </is>
      </c>
      <c r="J207" s="38" t="n">
        <v>0.59</v>
      </c>
      <c r="K207" s="34" t="inlineStr">
        <is>
          <t>Kywi / Megakywi</t>
        </is>
      </c>
      <c r="L207" s="39">
        <f>F207*G207</f>
        <v/>
      </c>
      <c r="M207" s="149" t="inlineStr">
        <is>
          <t>IS-D20-ACF-PPR-RED-025</t>
        </is>
      </c>
      <c r="N207" s="34" t="inlineStr">
        <is>
          <t>Instalaciones sanitarias (hidrosanitarias)</t>
        </is>
      </c>
      <c r="O207" s="34" t="inlineStr">
        <is>
          <t>Estimado DION · criterio de mercado Guayaquil 2026 (no verificado en tienda)</t>
        </is>
      </c>
      <c r="P207" s="34" t="inlineStr">
        <is>
          <t>oct-2026 (est.)</t>
        </is>
      </c>
      <c r="Q207" s="34" t="n"/>
    </row>
    <row r="208">
      <c r="A208" s="18" t="n">
        <v>187</v>
      </c>
      <c r="B208" s="19" t="inlineStr">
        <is>
          <t xml:space="preserve">        Tapón PPR Termofusión Ø25 mm</t>
        </is>
      </c>
      <c r="C208" s="20" t="inlineStr">
        <is>
          <t>Residencial / Comercial</t>
        </is>
      </c>
      <c r="D208" s="18" t="inlineStr">
        <is>
          <t>Tapón PPR</t>
        </is>
      </c>
      <c r="E208" s="18" t="inlineStr">
        <is>
          <t>U</t>
        </is>
      </c>
      <c r="F208" s="21" t="n">
        <v>10</v>
      </c>
      <c r="G208" s="22" t="n">
        <v>0.3</v>
      </c>
      <c r="H208" s="22" t="n">
        <v>0.32</v>
      </c>
      <c r="I208" s="18" t="inlineStr">
        <is>
          <t>Megametales</t>
        </is>
      </c>
      <c r="J208" s="22" t="n">
        <v>0.33</v>
      </c>
      <c r="K208" s="18" t="inlineStr">
        <is>
          <t>Ferrisariato</t>
        </is>
      </c>
      <c r="L208" s="8">
        <f>F208*G208</f>
        <v/>
      </c>
      <c r="M208" s="145" t="inlineStr">
        <is>
          <t>IS-D20-ACF-PPR-TAP-025</t>
        </is>
      </c>
      <c r="N208" s="18" t="inlineStr">
        <is>
          <t>Instalaciones sanitarias (hidrosanitarias)</t>
        </is>
      </c>
      <c r="O208" s="18" t="inlineStr">
        <is>
          <t>Estimado DION · criterio de mercado Guayaquil 2026 (no verificado en tienda)</t>
        </is>
      </c>
      <c r="P208" s="18" t="inlineStr">
        <is>
          <t>oct-2026 (est.)</t>
        </is>
      </c>
      <c r="Q208" s="18" t="n"/>
    </row>
    <row r="209">
      <c r="A209" s="34" t="n">
        <v>188</v>
      </c>
      <c r="B209" s="35" t="inlineStr">
        <is>
          <t xml:space="preserve">        Adaptador Macho PPR Termofusión Ø25 mm</t>
        </is>
      </c>
      <c r="C209" s="36" t="inlineStr">
        <is>
          <t>Residencial / Comercial</t>
        </is>
      </c>
      <c r="D209" s="34" t="inlineStr">
        <is>
          <t>Adaptador Macho PPR</t>
        </is>
      </c>
      <c r="E209" s="34" t="inlineStr">
        <is>
          <t>U</t>
        </is>
      </c>
      <c r="F209" s="37" t="n">
        <v>10</v>
      </c>
      <c r="G209" s="38" t="n">
        <v>0.46</v>
      </c>
      <c r="H209" s="38" t="n">
        <v>0.48</v>
      </c>
      <c r="I209" s="34" t="inlineStr">
        <is>
          <t>Megametales</t>
        </is>
      </c>
      <c r="J209" s="38" t="n">
        <v>0.5</v>
      </c>
      <c r="K209" s="34" t="inlineStr">
        <is>
          <t>Kywi / Megakywi</t>
        </is>
      </c>
      <c r="L209" s="39">
        <f>F209*G209</f>
        <v/>
      </c>
      <c r="M209" s="149" t="inlineStr">
        <is>
          <t>IS-D20-ACF-PPR-ADM-025</t>
        </is>
      </c>
      <c r="N209" s="34" t="inlineStr">
        <is>
          <t>Instalaciones sanitarias (hidrosanitarias)</t>
        </is>
      </c>
      <c r="O209" s="34" t="inlineStr">
        <is>
          <t>Estimado DION · criterio de mercado Guayaquil 2026 (no verificado en tienda)</t>
        </is>
      </c>
      <c r="P209" s="34" t="inlineStr">
        <is>
          <t>oct-2026 (est.)</t>
        </is>
      </c>
      <c r="Q209" s="34" t="n"/>
    </row>
    <row r="210">
      <c r="A210" s="18" t="n">
        <v>189</v>
      </c>
      <c r="B210" s="19" t="inlineStr">
        <is>
          <t xml:space="preserve">        Universal PPR Termofusión Ø25 mm</t>
        </is>
      </c>
      <c r="C210" s="20" t="inlineStr">
        <is>
          <t>Residencial / Comercial</t>
        </is>
      </c>
      <c r="D210" s="18" t="inlineStr">
        <is>
          <t>Universal PPR</t>
        </is>
      </c>
      <c r="E210" s="18" t="inlineStr">
        <is>
          <t>U</t>
        </is>
      </c>
      <c r="F210" s="21" t="n">
        <v>10</v>
      </c>
      <c r="G210" s="22" t="n">
        <v>1.98</v>
      </c>
      <c r="H210" s="22" t="n">
        <v>2.04</v>
      </c>
      <c r="I210" s="18" t="inlineStr">
        <is>
          <t>Megametales</t>
        </is>
      </c>
      <c r="J210" s="22" t="n">
        <v>2.18</v>
      </c>
      <c r="K210" s="18" t="inlineStr">
        <is>
          <t>Ferrisariato</t>
        </is>
      </c>
      <c r="L210" s="8">
        <f>F210*G210</f>
        <v/>
      </c>
      <c r="M210" s="145" t="inlineStr">
        <is>
          <t>IS-D20-ACF-PPR-UNV-025</t>
        </is>
      </c>
      <c r="N210" s="18" t="inlineStr">
        <is>
          <t>Instalaciones sanitarias (hidrosanitarias)</t>
        </is>
      </c>
      <c r="O210" s="18" t="inlineStr">
        <is>
          <t>Estimado DION · criterio de mercado Guayaquil 2026 (no verificado en tienda)</t>
        </is>
      </c>
      <c r="P210" s="18" t="inlineStr">
        <is>
          <t>oct-2026 (est.)</t>
        </is>
      </c>
      <c r="Q210" s="18" t="n"/>
    </row>
    <row r="211">
      <c r="A211" s="34" t="n">
        <v>190</v>
      </c>
      <c r="B211" s="35" t="inlineStr">
        <is>
          <t xml:space="preserve">        Codo 90° PPR Termofusión Ø32 mm</t>
        </is>
      </c>
      <c r="C211" s="36" t="inlineStr">
        <is>
          <t>Residencial / Comercial</t>
        </is>
      </c>
      <c r="D211" s="34" t="inlineStr">
        <is>
          <t>Codo 90° PPR</t>
        </is>
      </c>
      <c r="E211" s="34" t="inlineStr">
        <is>
          <t>U</t>
        </is>
      </c>
      <c r="F211" s="37" t="n">
        <v>10</v>
      </c>
      <c r="G211" s="38" t="n">
        <v>1.12</v>
      </c>
      <c r="H211" s="38" t="n">
        <v>1.14</v>
      </c>
      <c r="I211" s="34" t="inlineStr">
        <is>
          <t>Megametales</t>
        </is>
      </c>
      <c r="J211" s="38" t="n">
        <v>1.21</v>
      </c>
      <c r="K211" s="34" t="inlineStr">
        <is>
          <t>Kywi / Megakywi</t>
        </is>
      </c>
      <c r="L211" s="39">
        <f>F211*G211</f>
        <v/>
      </c>
      <c r="M211" s="149" t="inlineStr">
        <is>
          <t>IS-D20-ACF-PPR-C90-032</t>
        </is>
      </c>
      <c r="N211" s="34" t="inlineStr">
        <is>
          <t>Instalaciones sanitarias (hidrosanitarias)</t>
        </is>
      </c>
      <c r="O211" s="34" t="inlineStr">
        <is>
          <t>Estimado DION · criterio de mercado Guayaquil 2026 (no verificado en tienda)</t>
        </is>
      </c>
      <c r="P211" s="34" t="inlineStr">
        <is>
          <t>oct-2026 (est.)</t>
        </is>
      </c>
      <c r="Q211" s="34" t="n"/>
    </row>
    <row r="212">
      <c r="A212" s="18" t="n">
        <v>191</v>
      </c>
      <c r="B212" s="19" t="inlineStr">
        <is>
          <t xml:space="preserve">        Codo 45° PPR Termofusión Ø32 mm</t>
        </is>
      </c>
      <c r="C212" s="20" t="inlineStr">
        <is>
          <t>Residencial / Comercial</t>
        </is>
      </c>
      <c r="D212" s="18" t="inlineStr">
        <is>
          <t>Codo 45° PPR</t>
        </is>
      </c>
      <c r="E212" s="18" t="inlineStr">
        <is>
          <t>U</t>
        </is>
      </c>
      <c r="F212" s="21" t="n">
        <v>10</v>
      </c>
      <c r="G212" s="22" t="n">
        <v>1.06</v>
      </c>
      <c r="H212" s="22" t="n">
        <v>1.09</v>
      </c>
      <c r="I212" s="18" t="inlineStr">
        <is>
          <t>Megametales</t>
        </is>
      </c>
      <c r="J212" s="22" t="n">
        <v>1.14</v>
      </c>
      <c r="K212" s="18" t="inlineStr">
        <is>
          <t>Ferrisariato</t>
        </is>
      </c>
      <c r="L212" s="8">
        <f>F212*G212</f>
        <v/>
      </c>
      <c r="M212" s="145" t="inlineStr">
        <is>
          <t>IS-D20-ACF-PPR-C45-032</t>
        </is>
      </c>
      <c r="N212" s="18" t="inlineStr">
        <is>
          <t>Instalaciones sanitarias (hidrosanitarias)</t>
        </is>
      </c>
      <c r="O212" s="18" t="inlineStr">
        <is>
          <t>Estimado DION · criterio de mercado Guayaquil 2026 (no verificado en tienda)</t>
        </is>
      </c>
      <c r="P212" s="18" t="inlineStr">
        <is>
          <t>oct-2026 (est.)</t>
        </is>
      </c>
      <c r="Q212" s="18" t="n"/>
    </row>
    <row r="213">
      <c r="A213" s="34" t="n">
        <v>192</v>
      </c>
      <c r="B213" s="35" t="inlineStr">
        <is>
          <t xml:space="preserve">        Tee PPR Termofusión Ø32 mm</t>
        </is>
      </c>
      <c r="C213" s="36" t="inlineStr">
        <is>
          <t>Residencial / Comercial</t>
        </is>
      </c>
      <c r="D213" s="34" t="inlineStr">
        <is>
          <t>Tee PPR</t>
        </is>
      </c>
      <c r="E213" s="34" t="inlineStr">
        <is>
          <t>U</t>
        </is>
      </c>
      <c r="F213" s="37" t="n">
        <v>10</v>
      </c>
      <c r="G213" s="38" t="n">
        <v>1.51</v>
      </c>
      <c r="H213" s="38" t="n">
        <v>1.59</v>
      </c>
      <c r="I213" s="34" t="inlineStr">
        <is>
          <t>Megametales</t>
        </is>
      </c>
      <c r="J213" s="38" t="n">
        <v>1.62</v>
      </c>
      <c r="K213" s="34" t="inlineStr">
        <is>
          <t>Kywi / Megakywi</t>
        </is>
      </c>
      <c r="L213" s="39">
        <f>F213*G213</f>
        <v/>
      </c>
      <c r="M213" s="149" t="inlineStr">
        <is>
          <t>IS-D20-ACF-PPR-TEE-032</t>
        </is>
      </c>
      <c r="N213" s="34" t="inlineStr">
        <is>
          <t>Instalaciones sanitarias (hidrosanitarias)</t>
        </is>
      </c>
      <c r="O213" s="34" t="inlineStr">
        <is>
          <t>Estimado DION · criterio de mercado Guayaquil 2026 (no verificado en tienda)</t>
        </is>
      </c>
      <c r="P213" s="34" t="inlineStr">
        <is>
          <t>oct-2026 (est.)</t>
        </is>
      </c>
      <c r="Q213" s="34" t="n"/>
    </row>
    <row r="214">
      <c r="A214" s="18" t="n">
        <v>193</v>
      </c>
      <c r="B214" s="19" t="inlineStr">
        <is>
          <t xml:space="preserve">        Unión / Manguito PPR Termofusión Ø32 mm</t>
        </is>
      </c>
      <c r="C214" s="20" t="inlineStr">
        <is>
          <t>Residencial / Comercial</t>
        </is>
      </c>
      <c r="D214" s="18" t="inlineStr">
        <is>
          <t>Unión PPR</t>
        </is>
      </c>
      <c r="E214" s="18" t="inlineStr">
        <is>
          <t>U</t>
        </is>
      </c>
      <c r="F214" s="21" t="n">
        <v>10</v>
      </c>
      <c r="G214" s="22" t="n">
        <v>0.67</v>
      </c>
      <c r="H214" s="22" t="n">
        <v>0.68</v>
      </c>
      <c r="I214" s="18" t="inlineStr">
        <is>
          <t>Megametales</t>
        </is>
      </c>
      <c r="J214" s="22" t="n">
        <v>0.74</v>
      </c>
      <c r="K214" s="18" t="inlineStr">
        <is>
          <t>Ferrisariato</t>
        </is>
      </c>
      <c r="L214" s="8">
        <f>F214*G214</f>
        <v/>
      </c>
      <c r="M214" s="145" t="inlineStr">
        <is>
          <t>IS-D20-ACF-PPR-UNI-032</t>
        </is>
      </c>
      <c r="N214" s="18" t="inlineStr">
        <is>
          <t>Instalaciones sanitarias (hidrosanitarias)</t>
        </is>
      </c>
      <c r="O214" s="18" t="inlineStr">
        <is>
          <t>Estimado DION · criterio de mercado Guayaquil 2026 (no verificado en tienda)</t>
        </is>
      </c>
      <c r="P214" s="18" t="inlineStr">
        <is>
          <t>oct-2026 (est.)</t>
        </is>
      </c>
      <c r="Q214" s="18" t="n"/>
    </row>
    <row r="215">
      <c r="A215" s="34" t="n">
        <v>194</v>
      </c>
      <c r="B215" s="35" t="inlineStr">
        <is>
          <t xml:space="preserve">        Reducción PPR Termofusión Ø32 mm</t>
        </is>
      </c>
      <c r="C215" s="36" t="inlineStr">
        <is>
          <t>Residencial / Comercial</t>
        </is>
      </c>
      <c r="D215" s="34" t="inlineStr">
        <is>
          <t>Reducción PPR</t>
        </is>
      </c>
      <c r="E215" s="34" t="inlineStr">
        <is>
          <t>U</t>
        </is>
      </c>
      <c r="F215" s="37" t="n">
        <v>10</v>
      </c>
      <c r="G215" s="38" t="n">
        <v>0.9</v>
      </c>
      <c r="H215" s="38" t="n">
        <v>0.9399999999999999</v>
      </c>
      <c r="I215" s="34" t="inlineStr">
        <is>
          <t>Megametales</t>
        </is>
      </c>
      <c r="J215" s="38" t="n">
        <v>0.98</v>
      </c>
      <c r="K215" s="34" t="inlineStr">
        <is>
          <t>Kywi / Megakywi</t>
        </is>
      </c>
      <c r="L215" s="39">
        <f>F215*G215</f>
        <v/>
      </c>
      <c r="M215" s="149" t="inlineStr">
        <is>
          <t>IS-D20-ACF-PPR-RED-032</t>
        </is>
      </c>
      <c r="N215" s="34" t="inlineStr">
        <is>
          <t>Instalaciones sanitarias (hidrosanitarias)</t>
        </is>
      </c>
      <c r="O215" s="34" t="inlineStr">
        <is>
          <t>Estimado DION · criterio de mercado Guayaquil 2026 (no verificado en tienda)</t>
        </is>
      </c>
      <c r="P215" s="34" t="inlineStr">
        <is>
          <t>oct-2026 (est.)</t>
        </is>
      </c>
      <c r="Q215" s="34" t="n"/>
    </row>
    <row r="216">
      <c r="A216" s="18" t="n">
        <v>195</v>
      </c>
      <c r="B216" s="19" t="inlineStr">
        <is>
          <t xml:space="preserve">        Tapón PPR Termofusión Ø32 mm</t>
        </is>
      </c>
      <c r="C216" s="20" t="inlineStr">
        <is>
          <t>Residencial / Comercial</t>
        </is>
      </c>
      <c r="D216" s="18" t="inlineStr">
        <is>
          <t>Tapón PPR</t>
        </is>
      </c>
      <c r="E216" s="18" t="inlineStr">
        <is>
          <t>U</t>
        </is>
      </c>
      <c r="F216" s="21" t="n">
        <v>10</v>
      </c>
      <c r="G216" s="22" t="n">
        <v>0.5</v>
      </c>
      <c r="H216" s="22" t="n">
        <v>0.51</v>
      </c>
      <c r="I216" s="18" t="inlineStr">
        <is>
          <t>Megametales</t>
        </is>
      </c>
      <c r="J216" s="22" t="n">
        <v>0.54</v>
      </c>
      <c r="K216" s="18" t="inlineStr">
        <is>
          <t>Ferrisariato</t>
        </is>
      </c>
      <c r="L216" s="8">
        <f>F216*G216</f>
        <v/>
      </c>
      <c r="M216" s="145" t="inlineStr">
        <is>
          <t>IS-D20-ACF-PPR-TAP-032</t>
        </is>
      </c>
      <c r="N216" s="18" t="inlineStr">
        <is>
          <t>Instalaciones sanitarias (hidrosanitarias)</t>
        </is>
      </c>
      <c r="O216" s="18" t="inlineStr">
        <is>
          <t>Estimado DION · criterio de mercado Guayaquil 2026 (no verificado en tienda)</t>
        </is>
      </c>
      <c r="P216" s="18" t="inlineStr">
        <is>
          <t>oct-2026 (est.)</t>
        </is>
      </c>
      <c r="Q216" s="18" t="n"/>
    </row>
    <row r="217">
      <c r="A217" s="34" t="n">
        <v>196</v>
      </c>
      <c r="B217" s="35" t="inlineStr">
        <is>
          <t xml:space="preserve">        Adaptador Macho PPR Termofusión Ø32 mm</t>
        </is>
      </c>
      <c r="C217" s="36" t="inlineStr">
        <is>
          <t>Residencial / Comercial</t>
        </is>
      </c>
      <c r="D217" s="34" t="inlineStr">
        <is>
          <t>Adaptador Macho PPR</t>
        </is>
      </c>
      <c r="E217" s="34" t="inlineStr">
        <is>
          <t>U</t>
        </is>
      </c>
      <c r="F217" s="37" t="n">
        <v>10</v>
      </c>
      <c r="G217" s="38" t="n">
        <v>0.78</v>
      </c>
      <c r="H217" s="38" t="n">
        <v>0.8</v>
      </c>
      <c r="I217" s="34" t="inlineStr">
        <is>
          <t>Megametales</t>
        </is>
      </c>
      <c r="J217" s="38" t="n">
        <v>0.84</v>
      </c>
      <c r="K217" s="34" t="inlineStr">
        <is>
          <t>Kywi / Megakywi</t>
        </is>
      </c>
      <c r="L217" s="39">
        <f>F217*G217</f>
        <v/>
      </c>
      <c r="M217" s="149" t="inlineStr">
        <is>
          <t>IS-D20-ACF-PPR-ADM-032</t>
        </is>
      </c>
      <c r="N217" s="34" t="inlineStr">
        <is>
          <t>Instalaciones sanitarias (hidrosanitarias)</t>
        </is>
      </c>
      <c r="O217" s="34" t="inlineStr">
        <is>
          <t>Estimado DION · criterio de mercado Guayaquil 2026 (no verificado en tienda)</t>
        </is>
      </c>
      <c r="P217" s="34" t="inlineStr">
        <is>
          <t>oct-2026 (est.)</t>
        </is>
      </c>
      <c r="Q217" s="34" t="n"/>
    </row>
    <row r="218">
      <c r="A218" s="18" t="n">
        <v>197</v>
      </c>
      <c r="B218" s="19" t="inlineStr">
        <is>
          <t xml:space="preserve">        Universal PPR Termofusión Ø32 mm</t>
        </is>
      </c>
      <c r="C218" s="20" t="inlineStr">
        <is>
          <t>Residencial / Comercial</t>
        </is>
      </c>
      <c r="D218" s="18" t="inlineStr">
        <is>
          <t>Universal PPR</t>
        </is>
      </c>
      <c r="E218" s="18" t="inlineStr">
        <is>
          <t>U</t>
        </is>
      </c>
      <c r="F218" s="21" t="n">
        <v>10</v>
      </c>
      <c r="G218" s="22" t="n">
        <v>3.36</v>
      </c>
      <c r="H218" s="22" t="n">
        <v>3.49</v>
      </c>
      <c r="I218" s="18" t="inlineStr">
        <is>
          <t>Megametales</t>
        </is>
      </c>
      <c r="J218" s="22" t="n">
        <v>3.7</v>
      </c>
      <c r="K218" s="18" t="inlineStr">
        <is>
          <t>Ferrisariato</t>
        </is>
      </c>
      <c r="L218" s="8">
        <f>F218*G218</f>
        <v/>
      </c>
      <c r="M218" s="145" t="inlineStr">
        <is>
          <t>IS-D20-ACF-PPR-UNV-032</t>
        </is>
      </c>
      <c r="N218" s="18" t="inlineStr">
        <is>
          <t>Instalaciones sanitarias (hidrosanitarias)</t>
        </is>
      </c>
      <c r="O218" s="18" t="inlineStr">
        <is>
          <t>Estimado DION · criterio de mercado Guayaquil 2026 (no verificado en tienda)</t>
        </is>
      </c>
      <c r="P218" s="18" t="inlineStr">
        <is>
          <t>oct-2026 (est.)</t>
        </is>
      </c>
      <c r="Q218" s="18" t="n"/>
    </row>
    <row r="219">
      <c r="A219" s="34" t="n">
        <v>198</v>
      </c>
      <c r="B219" s="35" t="inlineStr">
        <is>
          <t xml:space="preserve">        Codo 90° PPR Termofusión Ø40 mm</t>
        </is>
      </c>
      <c r="C219" s="36" t="inlineStr">
        <is>
          <t>Residencial / Comercial</t>
        </is>
      </c>
      <c r="D219" s="34" t="inlineStr">
        <is>
          <t>Codo 90° PPR</t>
        </is>
      </c>
      <c r="E219" s="34" t="inlineStr">
        <is>
          <t>U</t>
        </is>
      </c>
      <c r="F219" s="37" t="n">
        <v>2</v>
      </c>
      <c r="G219" s="38" t="n">
        <v>2.05</v>
      </c>
      <c r="H219" s="38" t="n">
        <v>2.15</v>
      </c>
      <c r="I219" s="34" t="inlineStr">
        <is>
          <t>Megametales</t>
        </is>
      </c>
      <c r="J219" s="38" t="n">
        <v>2.21</v>
      </c>
      <c r="K219" s="34" t="inlineStr">
        <is>
          <t>Kywi / Megakywi</t>
        </is>
      </c>
      <c r="L219" s="39">
        <f>F219*G219</f>
        <v/>
      </c>
      <c r="M219" s="149" t="inlineStr">
        <is>
          <t>IS-D20-ACF-PPR-C90-040</t>
        </is>
      </c>
      <c r="N219" s="34" t="inlineStr">
        <is>
          <t>Instalaciones sanitarias (hidrosanitarias)</t>
        </is>
      </c>
      <c r="O219" s="34" t="inlineStr">
        <is>
          <t>Estimado DION · criterio de mercado Guayaquil 2026 (no verificado en tienda)</t>
        </is>
      </c>
      <c r="P219" s="34" t="inlineStr">
        <is>
          <t>oct-2026 (est.)</t>
        </is>
      </c>
      <c r="Q219" s="34" t="n"/>
    </row>
    <row r="220">
      <c r="A220" s="18" t="n">
        <v>199</v>
      </c>
      <c r="B220" s="19" t="inlineStr">
        <is>
          <t xml:space="preserve">        Codo 45° PPR Termofusión Ø40 mm</t>
        </is>
      </c>
      <c r="C220" s="20" t="inlineStr">
        <is>
          <t>Residencial / Comercial</t>
        </is>
      </c>
      <c r="D220" s="18" t="inlineStr">
        <is>
          <t>Codo 45° PPR</t>
        </is>
      </c>
      <c r="E220" s="18" t="inlineStr">
        <is>
          <t>U</t>
        </is>
      </c>
      <c r="F220" s="21" t="n">
        <v>2</v>
      </c>
      <c r="G220" s="22" t="n">
        <v>1.95</v>
      </c>
      <c r="H220" s="22" t="n">
        <v>2.03</v>
      </c>
      <c r="I220" s="18" t="inlineStr">
        <is>
          <t>Megametales</t>
        </is>
      </c>
      <c r="J220" s="22" t="n">
        <v>2.11</v>
      </c>
      <c r="K220" s="18" t="inlineStr">
        <is>
          <t>Ferrisariato</t>
        </is>
      </c>
      <c r="L220" s="8">
        <f>F220*G220</f>
        <v/>
      </c>
      <c r="M220" s="145" t="inlineStr">
        <is>
          <t>IS-D20-ACF-PPR-C45-040</t>
        </is>
      </c>
      <c r="N220" s="18" t="inlineStr">
        <is>
          <t>Instalaciones sanitarias (hidrosanitarias)</t>
        </is>
      </c>
      <c r="O220" s="18" t="inlineStr">
        <is>
          <t>Estimado DION · criterio de mercado Guayaquil 2026 (no verificado en tienda)</t>
        </is>
      </c>
      <c r="P220" s="18" t="inlineStr">
        <is>
          <t>oct-2026 (est.)</t>
        </is>
      </c>
      <c r="Q220" s="18" t="n"/>
    </row>
    <row r="221">
      <c r="A221" s="34" t="n">
        <v>200</v>
      </c>
      <c r="B221" s="35" t="inlineStr">
        <is>
          <t xml:space="preserve">        Tee PPR Termofusión Ø40 mm</t>
        </is>
      </c>
      <c r="C221" s="36" t="inlineStr">
        <is>
          <t>Residencial / Comercial</t>
        </is>
      </c>
      <c r="D221" s="34" t="inlineStr">
        <is>
          <t>Tee PPR</t>
        </is>
      </c>
      <c r="E221" s="34" t="inlineStr">
        <is>
          <t>U</t>
        </is>
      </c>
      <c r="F221" s="37" t="n">
        <v>2</v>
      </c>
      <c r="G221" s="38" t="n">
        <v>2.77</v>
      </c>
      <c r="H221" s="38" t="n">
        <v>2.83</v>
      </c>
      <c r="I221" s="34" t="inlineStr">
        <is>
          <t>Megametales</t>
        </is>
      </c>
      <c r="J221" s="38" t="n">
        <v>2.99</v>
      </c>
      <c r="K221" s="34" t="inlineStr">
        <is>
          <t>Kywi / Megakywi</t>
        </is>
      </c>
      <c r="L221" s="39">
        <f>F221*G221</f>
        <v/>
      </c>
      <c r="M221" s="149" t="inlineStr">
        <is>
          <t>IS-D20-ACF-PPR-TEE-040</t>
        </is>
      </c>
      <c r="N221" s="34" t="inlineStr">
        <is>
          <t>Instalaciones sanitarias (hidrosanitarias)</t>
        </is>
      </c>
      <c r="O221" s="34" t="inlineStr">
        <is>
          <t>Estimado DION · criterio de mercado Guayaquil 2026 (no verificado en tienda)</t>
        </is>
      </c>
      <c r="P221" s="34" t="inlineStr">
        <is>
          <t>oct-2026 (est.)</t>
        </is>
      </c>
      <c r="Q221" s="34" t="n"/>
    </row>
    <row r="222">
      <c r="A222" s="18" t="n">
        <v>201</v>
      </c>
      <c r="B222" s="19" t="inlineStr">
        <is>
          <t xml:space="preserve">        Unión / Manguito PPR Termofusión Ø40 mm</t>
        </is>
      </c>
      <c r="C222" s="20" t="inlineStr">
        <is>
          <t>Residencial / Comercial</t>
        </is>
      </c>
      <c r="D222" s="18" t="inlineStr">
        <is>
          <t>Unión PPR</t>
        </is>
      </c>
      <c r="E222" s="18" t="inlineStr">
        <is>
          <t>U</t>
        </is>
      </c>
      <c r="F222" s="21" t="n">
        <v>2</v>
      </c>
      <c r="G222" s="22" t="n">
        <v>1.23</v>
      </c>
      <c r="H222" s="22" t="n">
        <v>1.29</v>
      </c>
      <c r="I222" s="18" t="inlineStr">
        <is>
          <t>Megametales</t>
        </is>
      </c>
      <c r="J222" s="22" t="n">
        <v>1.37</v>
      </c>
      <c r="K222" s="18" t="inlineStr">
        <is>
          <t>Ferrisariato</t>
        </is>
      </c>
      <c r="L222" s="8">
        <f>F222*G222</f>
        <v/>
      </c>
      <c r="M222" s="145" t="inlineStr">
        <is>
          <t>IS-D20-ACF-PPR-UNI-040</t>
        </is>
      </c>
      <c r="N222" s="18" t="inlineStr">
        <is>
          <t>Instalaciones sanitarias (hidrosanitarias)</t>
        </is>
      </c>
      <c r="O222" s="18" t="inlineStr">
        <is>
          <t>Estimado DION · criterio de mercado Guayaquil 2026 (no verificado en tienda)</t>
        </is>
      </c>
      <c r="P222" s="18" t="inlineStr">
        <is>
          <t>oct-2026 (est.)</t>
        </is>
      </c>
      <c r="Q222" s="18" t="n"/>
    </row>
    <row r="223">
      <c r="A223" s="34" t="n">
        <v>202</v>
      </c>
      <c r="B223" s="35" t="inlineStr">
        <is>
          <t xml:space="preserve">        Reducción PPR Termofusión Ø40 mm</t>
        </is>
      </c>
      <c r="C223" s="36" t="inlineStr">
        <is>
          <t>Residencial / Comercial</t>
        </is>
      </c>
      <c r="D223" s="34" t="inlineStr">
        <is>
          <t>Reducción PPR</t>
        </is>
      </c>
      <c r="E223" s="34" t="inlineStr">
        <is>
          <t>U</t>
        </is>
      </c>
      <c r="F223" s="37" t="n">
        <v>2</v>
      </c>
      <c r="G223" s="38" t="n">
        <v>1.64</v>
      </c>
      <c r="H223" s="38" t="n">
        <v>1.69</v>
      </c>
      <c r="I223" s="34" t="inlineStr">
        <is>
          <t>Megametales</t>
        </is>
      </c>
      <c r="J223" s="38" t="n">
        <v>1.75</v>
      </c>
      <c r="K223" s="34" t="inlineStr">
        <is>
          <t>Kywi / Megakywi</t>
        </is>
      </c>
      <c r="L223" s="39">
        <f>F223*G223</f>
        <v/>
      </c>
      <c r="M223" s="149" t="inlineStr">
        <is>
          <t>IS-D20-ACF-PPR-RED-040</t>
        </is>
      </c>
      <c r="N223" s="34" t="inlineStr">
        <is>
          <t>Instalaciones sanitarias (hidrosanitarias)</t>
        </is>
      </c>
      <c r="O223" s="34" t="inlineStr">
        <is>
          <t>Estimado DION · criterio de mercado Guayaquil 2026 (no verificado en tienda)</t>
        </is>
      </c>
      <c r="P223" s="34" t="inlineStr">
        <is>
          <t>oct-2026 (est.)</t>
        </is>
      </c>
      <c r="Q223" s="34" t="n"/>
    </row>
    <row r="224">
      <c r="A224" s="18" t="n">
        <v>203</v>
      </c>
      <c r="B224" s="19" t="inlineStr">
        <is>
          <t xml:space="preserve">        Tapón PPR Termofusión Ø40 mm</t>
        </is>
      </c>
      <c r="C224" s="20" t="inlineStr">
        <is>
          <t>Residencial / Comercial</t>
        </is>
      </c>
      <c r="D224" s="18" t="inlineStr">
        <is>
          <t>Tapón PPR</t>
        </is>
      </c>
      <c r="E224" s="18" t="inlineStr">
        <is>
          <t>U</t>
        </is>
      </c>
      <c r="F224" s="21" t="n">
        <v>2</v>
      </c>
      <c r="G224" s="22" t="n">
        <v>0.92</v>
      </c>
      <c r="H224" s="22" t="n">
        <v>0.97</v>
      </c>
      <c r="I224" s="18" t="inlineStr">
        <is>
          <t>Megametales</t>
        </is>
      </c>
      <c r="J224" s="22" t="n">
        <v>1.02</v>
      </c>
      <c r="K224" s="18" t="inlineStr">
        <is>
          <t>Ferrisariato</t>
        </is>
      </c>
      <c r="L224" s="8">
        <f>F224*G224</f>
        <v/>
      </c>
      <c r="M224" s="145" t="inlineStr">
        <is>
          <t>IS-D20-ACF-PPR-TAP-040</t>
        </is>
      </c>
      <c r="N224" s="18" t="inlineStr">
        <is>
          <t>Instalaciones sanitarias (hidrosanitarias)</t>
        </is>
      </c>
      <c r="O224" s="18" t="inlineStr">
        <is>
          <t>Estimado DION · criterio de mercado Guayaquil 2026 (no verificado en tienda)</t>
        </is>
      </c>
      <c r="P224" s="18" t="inlineStr">
        <is>
          <t>oct-2026 (est.)</t>
        </is>
      </c>
      <c r="Q224" s="18" t="n"/>
    </row>
    <row r="225">
      <c r="A225" s="34" t="n">
        <v>204</v>
      </c>
      <c r="B225" s="35" t="inlineStr">
        <is>
          <t xml:space="preserve">        Adaptador Macho PPR Termofusión Ø40 mm</t>
        </is>
      </c>
      <c r="C225" s="36" t="inlineStr">
        <is>
          <t>Residencial / Comercial</t>
        </is>
      </c>
      <c r="D225" s="34" t="inlineStr">
        <is>
          <t>Adaptador Macho PPR</t>
        </is>
      </c>
      <c r="E225" s="34" t="inlineStr">
        <is>
          <t>U</t>
        </is>
      </c>
      <c r="F225" s="37" t="n">
        <v>2</v>
      </c>
      <c r="G225" s="38" t="n">
        <v>1.43</v>
      </c>
      <c r="H225" s="38" t="n">
        <v>1.46</v>
      </c>
      <c r="I225" s="34" t="inlineStr">
        <is>
          <t>Megametales</t>
        </is>
      </c>
      <c r="J225" s="38" t="n">
        <v>1.56</v>
      </c>
      <c r="K225" s="34" t="inlineStr">
        <is>
          <t>Kywi / Megakywi</t>
        </is>
      </c>
      <c r="L225" s="39">
        <f>F225*G225</f>
        <v/>
      </c>
      <c r="M225" s="149" t="inlineStr">
        <is>
          <t>IS-D20-ACF-PPR-ADM-040</t>
        </is>
      </c>
      <c r="N225" s="34" t="inlineStr">
        <is>
          <t>Instalaciones sanitarias (hidrosanitarias)</t>
        </is>
      </c>
      <c r="O225" s="34" t="inlineStr">
        <is>
          <t>Estimado DION · criterio de mercado Guayaquil 2026 (no verificado en tienda)</t>
        </is>
      </c>
      <c r="P225" s="34" t="inlineStr">
        <is>
          <t>oct-2026 (est.)</t>
        </is>
      </c>
      <c r="Q225" s="34" t="n"/>
    </row>
    <row r="226">
      <c r="A226" s="18" t="n">
        <v>205</v>
      </c>
      <c r="B226" s="19" t="inlineStr">
        <is>
          <t xml:space="preserve">        Universal PPR Termofusión Ø40 mm</t>
        </is>
      </c>
      <c r="C226" s="20" t="inlineStr">
        <is>
          <t>Residencial / Comercial</t>
        </is>
      </c>
      <c r="D226" s="18" t="inlineStr">
        <is>
          <t>Universal PPR</t>
        </is>
      </c>
      <c r="E226" s="18" t="inlineStr">
        <is>
          <t>U</t>
        </is>
      </c>
      <c r="F226" s="21" t="n">
        <v>2</v>
      </c>
      <c r="G226" s="22" t="n">
        <v>6.15</v>
      </c>
      <c r="H226" s="22" t="n">
        <v>6.33</v>
      </c>
      <c r="I226" s="18" t="inlineStr">
        <is>
          <t>Megametales</t>
        </is>
      </c>
      <c r="J226" s="22" t="n">
        <v>6.77</v>
      </c>
      <c r="K226" s="18" t="inlineStr">
        <is>
          <t>Ferrisariato</t>
        </is>
      </c>
      <c r="L226" s="8">
        <f>F226*G226</f>
        <v/>
      </c>
      <c r="M226" s="145" t="inlineStr">
        <is>
          <t>IS-D20-ACF-PPR-UNV-040</t>
        </is>
      </c>
      <c r="N226" s="18" t="inlineStr">
        <is>
          <t>Instalaciones sanitarias (hidrosanitarias)</t>
        </is>
      </c>
      <c r="O226" s="18" t="inlineStr">
        <is>
          <t>Estimado DION · criterio de mercado Guayaquil 2026 (no verificado en tienda)</t>
        </is>
      </c>
      <c r="P226" s="18" t="inlineStr">
        <is>
          <t>oct-2026 (est.)</t>
        </is>
      </c>
      <c r="Q226" s="18" t="n"/>
    </row>
    <row r="227">
      <c r="A227" s="34" t="n">
        <v>206</v>
      </c>
      <c r="B227" s="35" t="inlineStr">
        <is>
          <t xml:space="preserve">        Codo 90° PPR Termofusión Ø50 mm</t>
        </is>
      </c>
      <c r="C227" s="36" t="inlineStr">
        <is>
          <t>Residencial / Comercial</t>
        </is>
      </c>
      <c r="D227" s="34" t="inlineStr">
        <is>
          <t>Codo 90° PPR</t>
        </is>
      </c>
      <c r="E227" s="34" t="inlineStr">
        <is>
          <t>U</t>
        </is>
      </c>
      <c r="F227" s="37" t="n">
        <v>2</v>
      </c>
      <c r="G227" s="38" t="n">
        <v>3.7</v>
      </c>
      <c r="H227" s="38" t="n">
        <v>3.85</v>
      </c>
      <c r="I227" s="34" t="inlineStr">
        <is>
          <t>Megametales</t>
        </is>
      </c>
      <c r="J227" s="38" t="n">
        <v>4.11</v>
      </c>
      <c r="K227" s="34" t="inlineStr">
        <is>
          <t>Kywi / Megakywi</t>
        </is>
      </c>
      <c r="L227" s="39">
        <f>F227*G227</f>
        <v/>
      </c>
      <c r="M227" s="149" t="inlineStr">
        <is>
          <t>IS-D20-ACF-PPR-C90-050</t>
        </is>
      </c>
      <c r="N227" s="34" t="inlineStr">
        <is>
          <t>Instalaciones sanitarias (hidrosanitarias)</t>
        </is>
      </c>
      <c r="O227" s="34" t="inlineStr">
        <is>
          <t>Estimado DION · criterio de mercado Guayaquil 2026 (no verificado en tienda)</t>
        </is>
      </c>
      <c r="P227" s="34" t="inlineStr">
        <is>
          <t>oct-2026 (est.)</t>
        </is>
      </c>
      <c r="Q227" s="34" t="n"/>
    </row>
    <row r="228">
      <c r="A228" s="18" t="n">
        <v>207</v>
      </c>
      <c r="B228" s="19" t="inlineStr">
        <is>
          <t xml:space="preserve">        Codo 45° PPR Termofusión Ø50 mm</t>
        </is>
      </c>
      <c r="C228" s="20" t="inlineStr">
        <is>
          <t>Residencial / Comercial</t>
        </is>
      </c>
      <c r="D228" s="18" t="inlineStr">
        <is>
          <t>Codo 45° PPR</t>
        </is>
      </c>
      <c r="E228" s="18" t="inlineStr">
        <is>
          <t>U</t>
        </is>
      </c>
      <c r="F228" s="21" t="n">
        <v>2</v>
      </c>
      <c r="G228" s="22" t="n">
        <v>3.52</v>
      </c>
      <c r="H228" s="22" t="n">
        <v>3.7</v>
      </c>
      <c r="I228" s="18" t="inlineStr">
        <is>
          <t>Megametales</t>
        </is>
      </c>
      <c r="J228" s="22" t="n">
        <v>3.84</v>
      </c>
      <c r="K228" s="18" t="inlineStr">
        <is>
          <t>Ferrisariato</t>
        </is>
      </c>
      <c r="L228" s="8">
        <f>F228*G228</f>
        <v/>
      </c>
      <c r="M228" s="145" t="inlineStr">
        <is>
          <t>IS-D20-ACF-PPR-C45-050</t>
        </is>
      </c>
      <c r="N228" s="18" t="inlineStr">
        <is>
          <t>Instalaciones sanitarias (hidrosanitarias)</t>
        </is>
      </c>
      <c r="O228" s="18" t="inlineStr">
        <is>
          <t>Estimado DION · criterio de mercado Guayaquil 2026 (no verificado en tienda)</t>
        </is>
      </c>
      <c r="P228" s="18" t="inlineStr">
        <is>
          <t>oct-2026 (est.)</t>
        </is>
      </c>
      <c r="Q228" s="18" t="n"/>
    </row>
    <row r="229">
      <c r="A229" s="34" t="n">
        <v>208</v>
      </c>
      <c r="B229" s="35" t="inlineStr">
        <is>
          <t xml:space="preserve">        Tee PPR Termofusión Ø50 mm</t>
        </is>
      </c>
      <c r="C229" s="36" t="inlineStr">
        <is>
          <t>Residencial / Comercial</t>
        </is>
      </c>
      <c r="D229" s="34" t="inlineStr">
        <is>
          <t>Tee PPR</t>
        </is>
      </c>
      <c r="E229" s="34" t="inlineStr">
        <is>
          <t>U</t>
        </is>
      </c>
      <c r="F229" s="37" t="n">
        <v>2</v>
      </c>
      <c r="G229" s="38" t="n">
        <v>5</v>
      </c>
      <c r="H229" s="38" t="n">
        <v>5.1</v>
      </c>
      <c r="I229" s="34" t="inlineStr">
        <is>
          <t>Megametales</t>
        </is>
      </c>
      <c r="J229" s="38" t="n">
        <v>5.45</v>
      </c>
      <c r="K229" s="34" t="inlineStr">
        <is>
          <t>Kywi / Megakywi</t>
        </is>
      </c>
      <c r="L229" s="39">
        <f>F229*G229</f>
        <v/>
      </c>
      <c r="M229" s="149" t="inlineStr">
        <is>
          <t>IS-D20-ACF-PPR-TEE-050</t>
        </is>
      </c>
      <c r="N229" s="34" t="inlineStr">
        <is>
          <t>Instalaciones sanitarias (hidrosanitarias)</t>
        </is>
      </c>
      <c r="O229" s="34" t="inlineStr">
        <is>
          <t>Estimado DION · criterio de mercado Guayaquil 2026 (no verificado en tienda)</t>
        </is>
      </c>
      <c r="P229" s="34" t="inlineStr">
        <is>
          <t>oct-2026 (est.)</t>
        </is>
      </c>
      <c r="Q229" s="34" t="n"/>
    </row>
    <row r="230">
      <c r="A230" s="18" t="n">
        <v>209</v>
      </c>
      <c r="B230" s="19" t="inlineStr">
        <is>
          <t xml:space="preserve">        Unión / Manguito PPR Termofusión Ø50 mm</t>
        </is>
      </c>
      <c r="C230" s="20" t="inlineStr">
        <is>
          <t>Residencial / Comercial</t>
        </is>
      </c>
      <c r="D230" s="18" t="inlineStr">
        <is>
          <t>Unión PPR</t>
        </is>
      </c>
      <c r="E230" s="18" t="inlineStr">
        <is>
          <t>U</t>
        </is>
      </c>
      <c r="F230" s="21" t="n">
        <v>2</v>
      </c>
      <c r="G230" s="22" t="n">
        <v>2.22</v>
      </c>
      <c r="H230" s="22" t="n">
        <v>2.29</v>
      </c>
      <c r="I230" s="18" t="inlineStr">
        <is>
          <t>Megametales</t>
        </is>
      </c>
      <c r="J230" s="22" t="n">
        <v>2.42</v>
      </c>
      <c r="K230" s="18" t="inlineStr">
        <is>
          <t>Ferrisariato</t>
        </is>
      </c>
      <c r="L230" s="8">
        <f>F230*G230</f>
        <v/>
      </c>
      <c r="M230" s="145" t="inlineStr">
        <is>
          <t>IS-D20-ACF-PPR-UNI-050</t>
        </is>
      </c>
      <c r="N230" s="18" t="inlineStr">
        <is>
          <t>Instalaciones sanitarias (hidrosanitarias)</t>
        </is>
      </c>
      <c r="O230" s="18" t="inlineStr">
        <is>
          <t>Estimado DION · criterio de mercado Guayaquil 2026 (no verificado en tienda)</t>
        </is>
      </c>
      <c r="P230" s="18" t="inlineStr">
        <is>
          <t>oct-2026 (est.)</t>
        </is>
      </c>
      <c r="Q230" s="18" t="n"/>
    </row>
    <row r="231">
      <c r="A231" s="34" t="n">
        <v>210</v>
      </c>
      <c r="B231" s="35" t="inlineStr">
        <is>
          <t xml:space="preserve">        Reducción PPR Termofusión Ø50 mm</t>
        </is>
      </c>
      <c r="C231" s="36" t="inlineStr">
        <is>
          <t>Residencial / Comercial</t>
        </is>
      </c>
      <c r="D231" s="34" t="inlineStr">
        <is>
          <t>Reducción PPR</t>
        </is>
      </c>
      <c r="E231" s="34" t="inlineStr">
        <is>
          <t>U</t>
        </is>
      </c>
      <c r="F231" s="37" t="n">
        <v>2</v>
      </c>
      <c r="G231" s="38" t="n">
        <v>2.96</v>
      </c>
      <c r="H231" s="38" t="n">
        <v>3.08</v>
      </c>
      <c r="I231" s="34" t="inlineStr">
        <is>
          <t>Megametales</t>
        </is>
      </c>
      <c r="J231" s="38" t="n">
        <v>3.29</v>
      </c>
      <c r="K231" s="34" t="inlineStr">
        <is>
          <t>Kywi / Megakywi</t>
        </is>
      </c>
      <c r="L231" s="39">
        <f>F231*G231</f>
        <v/>
      </c>
      <c r="M231" s="149" t="inlineStr">
        <is>
          <t>IS-D20-ACF-PPR-RED-050</t>
        </is>
      </c>
      <c r="N231" s="34" t="inlineStr">
        <is>
          <t>Instalaciones sanitarias (hidrosanitarias)</t>
        </is>
      </c>
      <c r="O231" s="34" t="inlineStr">
        <is>
          <t>Estimado DION · criterio de mercado Guayaquil 2026 (no verificado en tienda)</t>
        </is>
      </c>
      <c r="P231" s="34" t="inlineStr">
        <is>
          <t>oct-2026 (est.)</t>
        </is>
      </c>
      <c r="Q231" s="34" t="n"/>
    </row>
    <row r="232">
      <c r="A232" s="18" t="n">
        <v>211</v>
      </c>
      <c r="B232" s="19" t="inlineStr">
        <is>
          <t xml:space="preserve">        Tapón PPR Termofusión Ø50 mm</t>
        </is>
      </c>
      <c r="C232" s="20" t="inlineStr">
        <is>
          <t>Residencial / Comercial</t>
        </is>
      </c>
      <c r="D232" s="18" t="inlineStr">
        <is>
          <t>Tapón PPR</t>
        </is>
      </c>
      <c r="E232" s="18" t="inlineStr">
        <is>
          <t>U</t>
        </is>
      </c>
      <c r="F232" s="21" t="n">
        <v>2</v>
      </c>
      <c r="G232" s="22" t="n">
        <v>1.67</v>
      </c>
      <c r="H232" s="22" t="n">
        <v>1.7</v>
      </c>
      <c r="I232" s="18" t="inlineStr">
        <is>
          <t>Megametales</t>
        </is>
      </c>
      <c r="J232" s="22" t="n">
        <v>1.84</v>
      </c>
      <c r="K232" s="18" t="inlineStr">
        <is>
          <t>Ferrisariato</t>
        </is>
      </c>
      <c r="L232" s="8">
        <f>F232*G232</f>
        <v/>
      </c>
      <c r="M232" s="145" t="inlineStr">
        <is>
          <t>IS-D20-ACF-PPR-TAP-050</t>
        </is>
      </c>
      <c r="N232" s="18" t="inlineStr">
        <is>
          <t>Instalaciones sanitarias (hidrosanitarias)</t>
        </is>
      </c>
      <c r="O232" s="18" t="inlineStr">
        <is>
          <t>Estimado DION · criterio de mercado Guayaquil 2026 (no verificado en tienda)</t>
        </is>
      </c>
      <c r="P232" s="18" t="inlineStr">
        <is>
          <t>oct-2026 (est.)</t>
        </is>
      </c>
      <c r="Q232" s="18" t="n"/>
    </row>
    <row r="233">
      <c r="A233" s="34" t="n">
        <v>212</v>
      </c>
      <c r="B233" s="35" t="inlineStr">
        <is>
          <t xml:space="preserve">        Adaptador Macho PPR Termofusión Ø50 mm</t>
        </is>
      </c>
      <c r="C233" s="36" t="inlineStr">
        <is>
          <t>Residencial / Comercial</t>
        </is>
      </c>
      <c r="D233" s="34" t="inlineStr">
        <is>
          <t>Adaptador Macho PPR</t>
        </is>
      </c>
      <c r="E233" s="34" t="inlineStr">
        <is>
          <t>U</t>
        </is>
      </c>
      <c r="F233" s="37" t="n">
        <v>2</v>
      </c>
      <c r="G233" s="38" t="n">
        <v>2.59</v>
      </c>
      <c r="H233" s="38" t="n">
        <v>2.69</v>
      </c>
      <c r="I233" s="34" t="inlineStr">
        <is>
          <t>Megametales</t>
        </is>
      </c>
      <c r="J233" s="38" t="n">
        <v>2.77</v>
      </c>
      <c r="K233" s="34" t="inlineStr">
        <is>
          <t>Kywi / Megakywi</t>
        </is>
      </c>
      <c r="L233" s="39">
        <f>F233*G233</f>
        <v/>
      </c>
      <c r="M233" s="149" t="inlineStr">
        <is>
          <t>IS-D20-ACF-PPR-ADM-050</t>
        </is>
      </c>
      <c r="N233" s="34" t="inlineStr">
        <is>
          <t>Instalaciones sanitarias (hidrosanitarias)</t>
        </is>
      </c>
      <c r="O233" s="34" t="inlineStr">
        <is>
          <t>Estimado DION · criterio de mercado Guayaquil 2026 (no verificado en tienda)</t>
        </is>
      </c>
      <c r="P233" s="34" t="inlineStr">
        <is>
          <t>oct-2026 (est.)</t>
        </is>
      </c>
      <c r="Q233" s="34" t="n"/>
    </row>
    <row r="234">
      <c r="A234" s="18" t="n">
        <v>213</v>
      </c>
      <c r="B234" s="19" t="inlineStr">
        <is>
          <t xml:space="preserve">        Universal PPR Termofusión Ø50 mm</t>
        </is>
      </c>
      <c r="C234" s="20" t="inlineStr">
        <is>
          <t>Residencial / Comercial</t>
        </is>
      </c>
      <c r="D234" s="18" t="inlineStr">
        <is>
          <t>Universal PPR</t>
        </is>
      </c>
      <c r="E234" s="18" t="inlineStr">
        <is>
          <t>U</t>
        </is>
      </c>
      <c r="F234" s="21" t="n">
        <v>2</v>
      </c>
      <c r="G234" s="22" t="n">
        <v>11.1</v>
      </c>
      <c r="H234" s="22" t="n">
        <v>11.32</v>
      </c>
      <c r="I234" s="18" t="inlineStr">
        <is>
          <t>Megametales</t>
        </is>
      </c>
      <c r="J234" s="22" t="n">
        <v>12.21</v>
      </c>
      <c r="K234" s="18" t="inlineStr">
        <is>
          <t>Ferrisariato</t>
        </is>
      </c>
      <c r="L234" s="8">
        <f>F234*G234</f>
        <v/>
      </c>
      <c r="M234" s="145" t="inlineStr">
        <is>
          <t>IS-D20-ACF-PPR-UNV-050</t>
        </is>
      </c>
      <c r="N234" s="18" t="inlineStr">
        <is>
          <t>Instalaciones sanitarias (hidrosanitarias)</t>
        </is>
      </c>
      <c r="O234" s="18" t="inlineStr">
        <is>
          <t>Estimado DION · criterio de mercado Guayaquil 2026 (no verificado en tienda)</t>
        </is>
      </c>
      <c r="P234" s="18" t="inlineStr">
        <is>
          <t>oct-2026 (est.)</t>
        </is>
      </c>
      <c r="Q234" s="18" t="n"/>
    </row>
    <row r="235">
      <c r="A235" s="34" t="n">
        <v>214</v>
      </c>
      <c r="B235" s="35" t="inlineStr">
        <is>
          <t xml:space="preserve">        Codo 90° PPR Termofusión Ø63 mm</t>
        </is>
      </c>
      <c r="C235" s="36" t="inlineStr">
        <is>
          <t>Residencial / Comercial</t>
        </is>
      </c>
      <c r="D235" s="34" t="inlineStr">
        <is>
          <t>Codo 90° PPR</t>
        </is>
      </c>
      <c r="E235" s="34" t="inlineStr">
        <is>
          <t>U</t>
        </is>
      </c>
      <c r="F235" s="37" t="n">
        <v>2</v>
      </c>
      <c r="G235" s="38" t="n">
        <v>6.6</v>
      </c>
      <c r="H235" s="38" t="n">
        <v>6.93</v>
      </c>
      <c r="I235" s="34" t="inlineStr">
        <is>
          <t>Megametales</t>
        </is>
      </c>
      <c r="J235" s="38" t="n">
        <v>7.19</v>
      </c>
      <c r="K235" s="34" t="inlineStr">
        <is>
          <t>Kywi / Megakywi</t>
        </is>
      </c>
      <c r="L235" s="39">
        <f>F235*G235</f>
        <v/>
      </c>
      <c r="M235" s="149" t="inlineStr">
        <is>
          <t>IS-D20-ACF-PPR-C90-063</t>
        </is>
      </c>
      <c r="N235" s="34" t="inlineStr">
        <is>
          <t>Instalaciones sanitarias (hidrosanitarias)</t>
        </is>
      </c>
      <c r="O235" s="34" t="inlineStr">
        <is>
          <t>Estimado DION · criterio de mercado Guayaquil 2026 (no verificado en tienda)</t>
        </is>
      </c>
      <c r="P235" s="34" t="inlineStr">
        <is>
          <t>oct-2026 (est.)</t>
        </is>
      </c>
      <c r="Q235" s="34" t="n"/>
    </row>
    <row r="236">
      <c r="A236" s="18" t="n">
        <v>215</v>
      </c>
      <c r="B236" s="19" t="inlineStr">
        <is>
          <t xml:space="preserve">        Codo 45° PPR Termofusión Ø63 mm</t>
        </is>
      </c>
      <c r="C236" s="20" t="inlineStr">
        <is>
          <t>Residencial / Comercial</t>
        </is>
      </c>
      <c r="D236" s="18" t="inlineStr">
        <is>
          <t>Codo 45° PPR</t>
        </is>
      </c>
      <c r="E236" s="18" t="inlineStr">
        <is>
          <t>U</t>
        </is>
      </c>
      <c r="F236" s="21" t="n">
        <v>2</v>
      </c>
      <c r="G236" s="22" t="n">
        <v>6.27</v>
      </c>
      <c r="H236" s="22" t="n">
        <v>6.52</v>
      </c>
      <c r="I236" s="18" t="inlineStr">
        <is>
          <t>Megametales</t>
        </is>
      </c>
      <c r="J236" s="22" t="n">
        <v>6.71</v>
      </c>
      <c r="K236" s="18" t="inlineStr">
        <is>
          <t>Ferrisariato</t>
        </is>
      </c>
      <c r="L236" s="8">
        <f>F236*G236</f>
        <v/>
      </c>
      <c r="M236" s="145" t="inlineStr">
        <is>
          <t>IS-D20-ACF-PPR-C45-063</t>
        </is>
      </c>
      <c r="N236" s="18" t="inlineStr">
        <is>
          <t>Instalaciones sanitarias (hidrosanitarias)</t>
        </is>
      </c>
      <c r="O236" s="18" t="inlineStr">
        <is>
          <t>Estimado DION · criterio de mercado Guayaquil 2026 (no verificado en tienda)</t>
        </is>
      </c>
      <c r="P236" s="18" t="inlineStr">
        <is>
          <t>oct-2026 (est.)</t>
        </is>
      </c>
      <c r="Q236" s="18" t="n"/>
    </row>
    <row r="237">
      <c r="A237" s="34" t="n">
        <v>216</v>
      </c>
      <c r="B237" s="35" t="inlineStr">
        <is>
          <t xml:space="preserve">        Tee PPR Termofusión Ø63 mm</t>
        </is>
      </c>
      <c r="C237" s="36" t="inlineStr">
        <is>
          <t>Residencial / Comercial</t>
        </is>
      </c>
      <c r="D237" s="34" t="inlineStr">
        <is>
          <t>Tee PPR</t>
        </is>
      </c>
      <c r="E237" s="34" t="inlineStr">
        <is>
          <t>U</t>
        </is>
      </c>
      <c r="F237" s="37" t="n">
        <v>2</v>
      </c>
      <c r="G237" s="38" t="n">
        <v>8.91</v>
      </c>
      <c r="H237" s="38" t="n">
        <v>9.27</v>
      </c>
      <c r="I237" s="34" t="inlineStr">
        <is>
          <t>Megametales</t>
        </is>
      </c>
      <c r="J237" s="38" t="n">
        <v>9.890000000000001</v>
      </c>
      <c r="K237" s="34" t="inlineStr">
        <is>
          <t>Kywi / Megakywi</t>
        </is>
      </c>
      <c r="L237" s="39">
        <f>F237*G237</f>
        <v/>
      </c>
      <c r="M237" s="149" t="inlineStr">
        <is>
          <t>IS-D20-ACF-PPR-TEE-063</t>
        </is>
      </c>
      <c r="N237" s="34" t="inlineStr">
        <is>
          <t>Instalaciones sanitarias (hidrosanitarias)</t>
        </is>
      </c>
      <c r="O237" s="34" t="inlineStr">
        <is>
          <t>Estimado DION · criterio de mercado Guayaquil 2026 (no verificado en tienda)</t>
        </is>
      </c>
      <c r="P237" s="34" t="inlineStr">
        <is>
          <t>oct-2026 (est.)</t>
        </is>
      </c>
      <c r="Q237" s="34" t="n"/>
    </row>
    <row r="238">
      <c r="A238" s="18" t="n">
        <v>217</v>
      </c>
      <c r="B238" s="19" t="inlineStr">
        <is>
          <t xml:space="preserve">        Unión / Manguito PPR Termofusión Ø63 mm</t>
        </is>
      </c>
      <c r="C238" s="20" t="inlineStr">
        <is>
          <t>Residencial / Comercial</t>
        </is>
      </c>
      <c r="D238" s="18" t="inlineStr">
        <is>
          <t>Unión PPR</t>
        </is>
      </c>
      <c r="E238" s="18" t="inlineStr">
        <is>
          <t>U</t>
        </is>
      </c>
      <c r="F238" s="21" t="n">
        <v>2</v>
      </c>
      <c r="G238" s="22" t="n">
        <v>3.96</v>
      </c>
      <c r="H238" s="22" t="n">
        <v>4.04</v>
      </c>
      <c r="I238" s="18" t="inlineStr">
        <is>
          <t>Megametales</t>
        </is>
      </c>
      <c r="J238" s="22" t="n">
        <v>4.28</v>
      </c>
      <c r="K238" s="18" t="inlineStr">
        <is>
          <t>Ferrisariato</t>
        </is>
      </c>
      <c r="L238" s="8">
        <f>F238*G238</f>
        <v/>
      </c>
      <c r="M238" s="145" t="inlineStr">
        <is>
          <t>IS-D20-ACF-PPR-UNI-063</t>
        </is>
      </c>
      <c r="N238" s="18" t="inlineStr">
        <is>
          <t>Instalaciones sanitarias (hidrosanitarias)</t>
        </is>
      </c>
      <c r="O238" s="18" t="inlineStr">
        <is>
          <t>Estimado DION · criterio de mercado Guayaquil 2026 (no verificado en tienda)</t>
        </is>
      </c>
      <c r="P238" s="18" t="inlineStr">
        <is>
          <t>oct-2026 (est.)</t>
        </is>
      </c>
      <c r="Q238" s="18" t="n"/>
    </row>
    <row r="239">
      <c r="A239" s="34" t="n">
        <v>218</v>
      </c>
      <c r="B239" s="35" t="inlineStr">
        <is>
          <t xml:space="preserve">        Reducción PPR Termofusión Ø63 mm</t>
        </is>
      </c>
      <c r="C239" s="36" t="inlineStr">
        <is>
          <t>Residencial / Comercial</t>
        </is>
      </c>
      <c r="D239" s="34" t="inlineStr">
        <is>
          <t>Reducción PPR</t>
        </is>
      </c>
      <c r="E239" s="34" t="inlineStr">
        <is>
          <t>U</t>
        </is>
      </c>
      <c r="F239" s="37" t="n">
        <v>2</v>
      </c>
      <c r="G239" s="38" t="n">
        <v>5.28</v>
      </c>
      <c r="H239" s="38" t="n">
        <v>5.49</v>
      </c>
      <c r="I239" s="34" t="inlineStr">
        <is>
          <t>Megametales</t>
        </is>
      </c>
      <c r="J239" s="38" t="n">
        <v>5.86</v>
      </c>
      <c r="K239" s="34" t="inlineStr">
        <is>
          <t>Kywi / Megakywi</t>
        </is>
      </c>
      <c r="L239" s="39">
        <f>F239*G239</f>
        <v/>
      </c>
      <c r="M239" s="149" t="inlineStr">
        <is>
          <t>IS-D20-ACF-PPR-RED-063</t>
        </is>
      </c>
      <c r="N239" s="34" t="inlineStr">
        <is>
          <t>Instalaciones sanitarias (hidrosanitarias)</t>
        </is>
      </c>
      <c r="O239" s="34" t="inlineStr">
        <is>
          <t>Estimado DION · criterio de mercado Guayaquil 2026 (no verificado en tienda)</t>
        </is>
      </c>
      <c r="P239" s="34" t="inlineStr">
        <is>
          <t>oct-2026 (est.)</t>
        </is>
      </c>
      <c r="Q239" s="34" t="n"/>
    </row>
    <row r="240">
      <c r="A240" s="18" t="n">
        <v>219</v>
      </c>
      <c r="B240" s="19" t="inlineStr">
        <is>
          <t xml:space="preserve">        Tapón PPR Termofusión Ø63 mm</t>
        </is>
      </c>
      <c r="C240" s="20" t="inlineStr">
        <is>
          <t>Residencial / Comercial</t>
        </is>
      </c>
      <c r="D240" s="18" t="inlineStr">
        <is>
          <t>Tapón PPR</t>
        </is>
      </c>
      <c r="E240" s="18" t="inlineStr">
        <is>
          <t>U</t>
        </is>
      </c>
      <c r="F240" s="21" t="n">
        <v>2</v>
      </c>
      <c r="G240" s="22" t="n">
        <v>2.97</v>
      </c>
      <c r="H240" s="22" t="n">
        <v>3.03</v>
      </c>
      <c r="I240" s="18" t="inlineStr">
        <is>
          <t>Megametales</t>
        </is>
      </c>
      <c r="J240" s="22" t="n">
        <v>3.18</v>
      </c>
      <c r="K240" s="18" t="inlineStr">
        <is>
          <t>Ferrisariato</t>
        </is>
      </c>
      <c r="L240" s="8">
        <f>F240*G240</f>
        <v/>
      </c>
      <c r="M240" s="145" t="inlineStr">
        <is>
          <t>IS-D20-ACF-PPR-TAP-063</t>
        </is>
      </c>
      <c r="N240" s="18" t="inlineStr">
        <is>
          <t>Instalaciones sanitarias (hidrosanitarias)</t>
        </is>
      </c>
      <c r="O240" s="18" t="inlineStr">
        <is>
          <t>Estimado DION · criterio de mercado Guayaquil 2026 (no verificado en tienda)</t>
        </is>
      </c>
      <c r="P240" s="18" t="inlineStr">
        <is>
          <t>oct-2026 (est.)</t>
        </is>
      </c>
      <c r="Q240" s="18" t="n"/>
    </row>
    <row r="241">
      <c r="A241" s="34" t="n">
        <v>220</v>
      </c>
      <c r="B241" s="35" t="inlineStr">
        <is>
          <t xml:space="preserve">        Adaptador Macho PPR Termofusión Ø63 mm</t>
        </is>
      </c>
      <c r="C241" s="36" t="inlineStr">
        <is>
          <t>Residencial / Comercial</t>
        </is>
      </c>
      <c r="D241" s="34" t="inlineStr">
        <is>
          <t>Adaptador Macho PPR</t>
        </is>
      </c>
      <c r="E241" s="34" t="inlineStr">
        <is>
          <t>U</t>
        </is>
      </c>
      <c r="F241" s="37" t="n">
        <v>2</v>
      </c>
      <c r="G241" s="38" t="n">
        <v>4.62</v>
      </c>
      <c r="H241" s="38" t="n">
        <v>4.76</v>
      </c>
      <c r="I241" s="34" t="inlineStr">
        <is>
          <t>Megametales</t>
        </is>
      </c>
      <c r="J241" s="38" t="n">
        <v>5.13</v>
      </c>
      <c r="K241" s="34" t="inlineStr">
        <is>
          <t>Kywi / Megakywi</t>
        </is>
      </c>
      <c r="L241" s="39">
        <f>F241*G241</f>
        <v/>
      </c>
      <c r="M241" s="149" t="inlineStr">
        <is>
          <t>IS-D20-ACF-PPR-ADM-063</t>
        </is>
      </c>
      <c r="N241" s="34" t="inlineStr">
        <is>
          <t>Instalaciones sanitarias (hidrosanitarias)</t>
        </is>
      </c>
      <c r="O241" s="34" t="inlineStr">
        <is>
          <t>Estimado DION · criterio de mercado Guayaquil 2026 (no verificado en tienda)</t>
        </is>
      </c>
      <c r="P241" s="34" t="inlineStr">
        <is>
          <t>oct-2026 (est.)</t>
        </is>
      </c>
      <c r="Q241" s="34" t="n"/>
    </row>
    <row r="242">
      <c r="A242" s="18" t="n">
        <v>221</v>
      </c>
      <c r="B242" s="19" t="inlineStr">
        <is>
          <t xml:space="preserve">        Universal PPR Termofusión Ø63 mm</t>
        </is>
      </c>
      <c r="C242" s="20" t="inlineStr">
        <is>
          <t>Residencial / Comercial</t>
        </is>
      </c>
      <c r="D242" s="18" t="inlineStr">
        <is>
          <t>Universal PPR</t>
        </is>
      </c>
      <c r="E242" s="18" t="inlineStr">
        <is>
          <t>U</t>
        </is>
      </c>
      <c r="F242" s="21" t="n">
        <v>2</v>
      </c>
      <c r="G242" s="22" t="n">
        <v>19.8</v>
      </c>
      <c r="H242" s="22" t="n">
        <v>20.39</v>
      </c>
      <c r="I242" s="18" t="inlineStr">
        <is>
          <t>Megametales</t>
        </is>
      </c>
      <c r="J242" s="22" t="n">
        <v>21.98</v>
      </c>
      <c r="K242" s="18" t="inlineStr">
        <is>
          <t>Ferrisariato</t>
        </is>
      </c>
      <c r="L242" s="8">
        <f>F242*G242</f>
        <v/>
      </c>
      <c r="M242" s="145" t="inlineStr">
        <is>
          <t>IS-D20-ACF-PPR-UNV-063</t>
        </is>
      </c>
      <c r="N242" s="18" t="inlineStr">
        <is>
          <t>Instalaciones sanitarias (hidrosanitarias)</t>
        </is>
      </c>
      <c r="O242" s="18" t="inlineStr">
        <is>
          <t>Estimado DION · criterio de mercado Guayaquil 2026 (no verificado en tienda)</t>
        </is>
      </c>
      <c r="P242" s="18" t="inlineStr">
        <is>
          <t>oct-2026 (est.)</t>
        </is>
      </c>
      <c r="Q242" s="18" t="n"/>
    </row>
    <row r="243">
      <c r="A243" s="34" t="n">
        <v>222</v>
      </c>
      <c r="B243" s="35" t="inlineStr">
        <is>
          <t xml:space="preserve">        Codo 90° PPR Termofusión Ø75 mm</t>
        </is>
      </c>
      <c r="C243" s="36" t="inlineStr">
        <is>
          <t>Residencial / Comercial</t>
        </is>
      </c>
      <c r="D243" s="34" t="inlineStr">
        <is>
          <t>Codo 90° PPR</t>
        </is>
      </c>
      <c r="E243" s="34" t="inlineStr">
        <is>
          <t>U</t>
        </is>
      </c>
      <c r="F243" s="37" t="n">
        <v>2</v>
      </c>
      <c r="G243" s="38" t="n">
        <v>11.2</v>
      </c>
      <c r="H243" s="38" t="n">
        <v>11.54</v>
      </c>
      <c r="I243" s="34" t="inlineStr">
        <is>
          <t>Megametales</t>
        </is>
      </c>
      <c r="J243" s="38" t="n">
        <v>12.43</v>
      </c>
      <c r="K243" s="34" t="inlineStr">
        <is>
          <t>Kywi / Megakywi</t>
        </is>
      </c>
      <c r="L243" s="39">
        <f>F243*G243</f>
        <v/>
      </c>
      <c r="M243" s="149" t="inlineStr">
        <is>
          <t>IS-D20-ACF-PPR-C90-075</t>
        </is>
      </c>
      <c r="N243" s="34" t="inlineStr">
        <is>
          <t>Instalaciones sanitarias (hidrosanitarias)</t>
        </is>
      </c>
      <c r="O243" s="34" t="inlineStr">
        <is>
          <t>Estimado DION · criterio de mercado Guayaquil 2026 (no verificado en tienda)</t>
        </is>
      </c>
      <c r="P243" s="34" t="inlineStr">
        <is>
          <t>oct-2026 (est.)</t>
        </is>
      </c>
      <c r="Q243" s="34" t="n"/>
    </row>
    <row r="244">
      <c r="A244" s="18" t="n">
        <v>223</v>
      </c>
      <c r="B244" s="19" t="inlineStr">
        <is>
          <t xml:space="preserve">        Codo 45° PPR Termofusión Ø75 mm</t>
        </is>
      </c>
      <c r="C244" s="20" t="inlineStr">
        <is>
          <t>Residencial / Comercial</t>
        </is>
      </c>
      <c r="D244" s="18" t="inlineStr">
        <is>
          <t>Codo 45° PPR</t>
        </is>
      </c>
      <c r="E244" s="18" t="inlineStr">
        <is>
          <t>U</t>
        </is>
      </c>
      <c r="F244" s="21" t="n">
        <v>2</v>
      </c>
      <c r="G244" s="22" t="n">
        <v>10.64</v>
      </c>
      <c r="H244" s="22" t="n">
        <v>10.85</v>
      </c>
      <c r="I244" s="18" t="inlineStr">
        <is>
          <t>Megametales</t>
        </is>
      </c>
      <c r="J244" s="22" t="n">
        <v>11.6</v>
      </c>
      <c r="K244" s="18" t="inlineStr">
        <is>
          <t>Ferrisariato</t>
        </is>
      </c>
      <c r="L244" s="8">
        <f>F244*G244</f>
        <v/>
      </c>
      <c r="M244" s="145" t="inlineStr">
        <is>
          <t>IS-D20-ACF-PPR-C45-075</t>
        </is>
      </c>
      <c r="N244" s="18" t="inlineStr">
        <is>
          <t>Instalaciones sanitarias (hidrosanitarias)</t>
        </is>
      </c>
      <c r="O244" s="18" t="inlineStr">
        <is>
          <t>Estimado DION · criterio de mercado Guayaquil 2026 (no verificado en tienda)</t>
        </is>
      </c>
      <c r="P244" s="18" t="inlineStr">
        <is>
          <t>oct-2026 (est.)</t>
        </is>
      </c>
      <c r="Q244" s="18" t="n"/>
    </row>
    <row r="245">
      <c r="A245" s="34" t="n">
        <v>224</v>
      </c>
      <c r="B245" s="35" t="inlineStr">
        <is>
          <t xml:space="preserve">        Tee PPR Termofusión Ø75 mm</t>
        </is>
      </c>
      <c r="C245" s="36" t="inlineStr">
        <is>
          <t>Residencial / Comercial</t>
        </is>
      </c>
      <c r="D245" s="34" t="inlineStr">
        <is>
          <t>Tee PPR</t>
        </is>
      </c>
      <c r="E245" s="34" t="inlineStr">
        <is>
          <t>U</t>
        </is>
      </c>
      <c r="F245" s="37" t="n">
        <v>2</v>
      </c>
      <c r="G245" s="38" t="n">
        <v>15.12</v>
      </c>
      <c r="H245" s="38" t="n">
        <v>15.88</v>
      </c>
      <c r="I245" s="34" t="inlineStr">
        <is>
          <t>Megametales</t>
        </is>
      </c>
      <c r="J245" s="38" t="n">
        <v>16.48</v>
      </c>
      <c r="K245" s="34" t="inlineStr">
        <is>
          <t>Kywi / Megakywi</t>
        </is>
      </c>
      <c r="L245" s="39">
        <f>F245*G245</f>
        <v/>
      </c>
      <c r="M245" s="149" t="inlineStr">
        <is>
          <t>IS-D20-ACF-PPR-TEE-075</t>
        </is>
      </c>
      <c r="N245" s="34" t="inlineStr">
        <is>
          <t>Instalaciones sanitarias (hidrosanitarias)</t>
        </is>
      </c>
      <c r="O245" s="34" t="inlineStr">
        <is>
          <t>Estimado DION · criterio de mercado Guayaquil 2026 (no verificado en tienda)</t>
        </is>
      </c>
      <c r="P245" s="34" t="inlineStr">
        <is>
          <t>oct-2026 (est.)</t>
        </is>
      </c>
      <c r="Q245" s="34" t="n"/>
    </row>
    <row r="246">
      <c r="A246" s="18" t="n">
        <v>225</v>
      </c>
      <c r="B246" s="19" t="inlineStr">
        <is>
          <t xml:space="preserve">        Unión / Manguito PPR Termofusión Ø75 mm</t>
        </is>
      </c>
      <c r="C246" s="20" t="inlineStr">
        <is>
          <t>Residencial / Comercial</t>
        </is>
      </c>
      <c r="D246" s="18" t="inlineStr">
        <is>
          <t>Unión PPR</t>
        </is>
      </c>
      <c r="E246" s="18" t="inlineStr">
        <is>
          <t>U</t>
        </is>
      </c>
      <c r="F246" s="21" t="n">
        <v>2</v>
      </c>
      <c r="G246" s="22" t="n">
        <v>6.72</v>
      </c>
      <c r="H246" s="22" t="n">
        <v>6.92</v>
      </c>
      <c r="I246" s="18" t="inlineStr">
        <is>
          <t>Megametales</t>
        </is>
      </c>
      <c r="J246" s="22" t="n">
        <v>7.26</v>
      </c>
      <c r="K246" s="18" t="inlineStr">
        <is>
          <t>Ferrisariato</t>
        </is>
      </c>
      <c r="L246" s="8">
        <f>F246*G246</f>
        <v/>
      </c>
      <c r="M246" s="145" t="inlineStr">
        <is>
          <t>IS-D20-ACF-PPR-UNI-075</t>
        </is>
      </c>
      <c r="N246" s="18" t="inlineStr">
        <is>
          <t>Instalaciones sanitarias (hidrosanitarias)</t>
        </is>
      </c>
      <c r="O246" s="18" t="inlineStr">
        <is>
          <t>Estimado DION · criterio de mercado Guayaquil 2026 (no verificado en tienda)</t>
        </is>
      </c>
      <c r="P246" s="18" t="inlineStr">
        <is>
          <t>oct-2026 (est.)</t>
        </is>
      </c>
      <c r="Q246" s="18" t="n"/>
    </row>
    <row r="247">
      <c r="A247" s="34" t="n">
        <v>226</v>
      </c>
      <c r="B247" s="35" t="inlineStr">
        <is>
          <t xml:space="preserve">        Reducción PPR Termofusión Ø75 mm</t>
        </is>
      </c>
      <c r="C247" s="36" t="inlineStr">
        <is>
          <t>Residencial / Comercial</t>
        </is>
      </c>
      <c r="D247" s="34" t="inlineStr">
        <is>
          <t>Reducción PPR</t>
        </is>
      </c>
      <c r="E247" s="34" t="inlineStr">
        <is>
          <t>U</t>
        </is>
      </c>
      <c r="F247" s="37" t="n">
        <v>2</v>
      </c>
      <c r="G247" s="38" t="n">
        <v>8.960000000000001</v>
      </c>
      <c r="H247" s="38" t="n">
        <v>9.23</v>
      </c>
      <c r="I247" s="34" t="inlineStr">
        <is>
          <t>Megametales</t>
        </is>
      </c>
      <c r="J247" s="38" t="n">
        <v>9.859999999999999</v>
      </c>
      <c r="K247" s="34" t="inlineStr">
        <is>
          <t>Kywi / Megakywi</t>
        </is>
      </c>
      <c r="L247" s="39">
        <f>F247*G247</f>
        <v/>
      </c>
      <c r="M247" s="149" t="inlineStr">
        <is>
          <t>IS-D20-ACF-PPR-RED-075</t>
        </is>
      </c>
      <c r="N247" s="34" t="inlineStr">
        <is>
          <t>Instalaciones sanitarias (hidrosanitarias)</t>
        </is>
      </c>
      <c r="O247" s="34" t="inlineStr">
        <is>
          <t>Estimado DION · criterio de mercado Guayaquil 2026 (no verificado en tienda)</t>
        </is>
      </c>
      <c r="P247" s="34" t="inlineStr">
        <is>
          <t>oct-2026 (est.)</t>
        </is>
      </c>
      <c r="Q247" s="34" t="n"/>
    </row>
    <row r="248">
      <c r="A248" s="18" t="n">
        <v>227</v>
      </c>
      <c r="B248" s="19" t="inlineStr">
        <is>
          <t xml:space="preserve">        Tapón PPR Termofusión Ø75 mm</t>
        </is>
      </c>
      <c r="C248" s="20" t="inlineStr">
        <is>
          <t>Residencial / Comercial</t>
        </is>
      </c>
      <c r="D248" s="18" t="inlineStr">
        <is>
          <t>Tapón PPR</t>
        </is>
      </c>
      <c r="E248" s="18" t="inlineStr">
        <is>
          <t>U</t>
        </is>
      </c>
      <c r="F248" s="21" t="n">
        <v>2</v>
      </c>
      <c r="G248" s="22" t="n">
        <v>5.04</v>
      </c>
      <c r="H248" s="22" t="n">
        <v>5.14</v>
      </c>
      <c r="I248" s="18" t="inlineStr">
        <is>
          <t>Megametales</t>
        </is>
      </c>
      <c r="J248" s="22" t="n">
        <v>5.39</v>
      </c>
      <c r="K248" s="18" t="inlineStr">
        <is>
          <t>Ferrisariato</t>
        </is>
      </c>
      <c r="L248" s="8">
        <f>F248*G248</f>
        <v/>
      </c>
      <c r="M248" s="145" t="inlineStr">
        <is>
          <t>IS-D20-ACF-PPR-TAP-075</t>
        </is>
      </c>
      <c r="N248" s="18" t="inlineStr">
        <is>
          <t>Instalaciones sanitarias (hidrosanitarias)</t>
        </is>
      </c>
      <c r="O248" s="18" t="inlineStr">
        <is>
          <t>Estimado DION · criterio de mercado Guayaquil 2026 (no verificado en tienda)</t>
        </is>
      </c>
      <c r="P248" s="18" t="inlineStr">
        <is>
          <t>oct-2026 (est.)</t>
        </is>
      </c>
      <c r="Q248" s="18" t="n"/>
    </row>
    <row r="249">
      <c r="A249" s="34" t="n">
        <v>228</v>
      </c>
      <c r="B249" s="35" t="inlineStr">
        <is>
          <t xml:space="preserve">        Adaptador Macho PPR Termofusión Ø75 mm</t>
        </is>
      </c>
      <c r="C249" s="36" t="inlineStr">
        <is>
          <t>Residencial / Comercial</t>
        </is>
      </c>
      <c r="D249" s="34" t="inlineStr">
        <is>
          <t>Adaptador Macho PPR</t>
        </is>
      </c>
      <c r="E249" s="34" t="inlineStr">
        <is>
          <t>U</t>
        </is>
      </c>
      <c r="F249" s="37" t="n">
        <v>2</v>
      </c>
      <c r="G249" s="38" t="n">
        <v>7.84</v>
      </c>
      <c r="H249" s="38" t="n">
        <v>8.15</v>
      </c>
      <c r="I249" s="34" t="inlineStr">
        <is>
          <t>Megametales</t>
        </is>
      </c>
      <c r="J249" s="38" t="n">
        <v>8.390000000000001</v>
      </c>
      <c r="K249" s="34" t="inlineStr">
        <is>
          <t>Kywi / Megakywi</t>
        </is>
      </c>
      <c r="L249" s="39">
        <f>F249*G249</f>
        <v/>
      </c>
      <c r="M249" s="149" t="inlineStr">
        <is>
          <t>IS-D20-ACF-PPR-ADM-075</t>
        </is>
      </c>
      <c r="N249" s="34" t="inlineStr">
        <is>
          <t>Instalaciones sanitarias (hidrosanitarias)</t>
        </is>
      </c>
      <c r="O249" s="34" t="inlineStr">
        <is>
          <t>Estimado DION · criterio de mercado Guayaquil 2026 (no verificado en tienda)</t>
        </is>
      </c>
      <c r="P249" s="34" t="inlineStr">
        <is>
          <t>oct-2026 (est.)</t>
        </is>
      </c>
      <c r="Q249" s="34" t="n"/>
    </row>
    <row r="250">
      <c r="A250" s="18" t="n">
        <v>229</v>
      </c>
      <c r="B250" s="19" t="inlineStr">
        <is>
          <t xml:space="preserve">        Codo 90° PPR Termofusión Ø90 mm</t>
        </is>
      </c>
      <c r="C250" s="20" t="inlineStr">
        <is>
          <t>Residencial / Comercial</t>
        </is>
      </c>
      <c r="D250" s="18" t="inlineStr">
        <is>
          <t>Codo 90° PPR</t>
        </is>
      </c>
      <c r="E250" s="18" t="inlineStr">
        <is>
          <t>U</t>
        </is>
      </c>
      <c r="F250" s="21" t="n">
        <v>2</v>
      </c>
      <c r="G250" s="22" t="n">
        <v>18.5</v>
      </c>
      <c r="H250" s="22" t="n">
        <v>19.24</v>
      </c>
      <c r="I250" s="18" t="inlineStr">
        <is>
          <t>Megametales</t>
        </is>
      </c>
      <c r="J250" s="22" t="n">
        <v>19.98</v>
      </c>
      <c r="K250" s="18" t="inlineStr">
        <is>
          <t>Ferrisariato</t>
        </is>
      </c>
      <c r="L250" s="8">
        <f>F250*G250</f>
        <v/>
      </c>
      <c r="M250" s="145" t="inlineStr">
        <is>
          <t>IS-D20-ACF-PPR-C90-090</t>
        </is>
      </c>
      <c r="N250" s="18" t="inlineStr">
        <is>
          <t>Instalaciones sanitarias (hidrosanitarias)</t>
        </is>
      </c>
      <c r="O250" s="18" t="inlineStr">
        <is>
          <t>Estimado DION · criterio de mercado Guayaquil 2026 (no verificado en tienda)</t>
        </is>
      </c>
      <c r="P250" s="18" t="inlineStr">
        <is>
          <t>oct-2026 (est.)</t>
        </is>
      </c>
      <c r="Q250" s="18" t="n"/>
    </row>
    <row r="251">
      <c r="A251" s="34" t="n">
        <v>230</v>
      </c>
      <c r="B251" s="35" t="inlineStr">
        <is>
          <t xml:space="preserve">        Codo 45° PPR Termofusión Ø90 mm</t>
        </is>
      </c>
      <c r="C251" s="36" t="inlineStr">
        <is>
          <t>Residencial / Comercial</t>
        </is>
      </c>
      <c r="D251" s="34" t="inlineStr">
        <is>
          <t>Codo 45° PPR</t>
        </is>
      </c>
      <c r="E251" s="34" t="inlineStr">
        <is>
          <t>U</t>
        </is>
      </c>
      <c r="F251" s="37" t="n">
        <v>2</v>
      </c>
      <c r="G251" s="38" t="n">
        <v>17.57</v>
      </c>
      <c r="H251" s="38" t="n">
        <v>18.45</v>
      </c>
      <c r="I251" s="34" t="inlineStr">
        <is>
          <t>Megametales</t>
        </is>
      </c>
      <c r="J251" s="38" t="n">
        <v>19.33</v>
      </c>
      <c r="K251" s="34" t="inlineStr">
        <is>
          <t>Kywi / Megakywi</t>
        </is>
      </c>
      <c r="L251" s="39">
        <f>F251*G251</f>
        <v/>
      </c>
      <c r="M251" s="149" t="inlineStr">
        <is>
          <t>IS-D20-ACF-PPR-C45-090</t>
        </is>
      </c>
      <c r="N251" s="34" t="inlineStr">
        <is>
          <t>Instalaciones sanitarias (hidrosanitarias)</t>
        </is>
      </c>
      <c r="O251" s="34" t="inlineStr">
        <is>
          <t>Estimado DION · criterio de mercado Guayaquil 2026 (no verificado en tienda)</t>
        </is>
      </c>
      <c r="P251" s="34" t="inlineStr">
        <is>
          <t>oct-2026 (est.)</t>
        </is>
      </c>
      <c r="Q251" s="34" t="n"/>
    </row>
    <row r="252">
      <c r="A252" s="18" t="n">
        <v>231</v>
      </c>
      <c r="B252" s="19" t="inlineStr">
        <is>
          <t xml:space="preserve">        Tee PPR Termofusión Ø90 mm</t>
        </is>
      </c>
      <c r="C252" s="20" t="inlineStr">
        <is>
          <t>Residencial / Comercial</t>
        </is>
      </c>
      <c r="D252" s="18" t="inlineStr">
        <is>
          <t>Tee PPR</t>
        </is>
      </c>
      <c r="E252" s="18" t="inlineStr">
        <is>
          <t>U</t>
        </is>
      </c>
      <c r="F252" s="21" t="n">
        <v>2</v>
      </c>
      <c r="G252" s="22" t="n">
        <v>24.98</v>
      </c>
      <c r="H252" s="22" t="n">
        <v>25.48</v>
      </c>
      <c r="I252" s="18" t="inlineStr">
        <is>
          <t>Megametales</t>
        </is>
      </c>
      <c r="J252" s="22" t="n">
        <v>27.73</v>
      </c>
      <c r="K252" s="18" t="inlineStr">
        <is>
          <t>Ferrisariato</t>
        </is>
      </c>
      <c r="L252" s="8">
        <f>F252*G252</f>
        <v/>
      </c>
      <c r="M252" s="145" t="inlineStr">
        <is>
          <t>IS-D20-ACF-PPR-TEE-090</t>
        </is>
      </c>
      <c r="N252" s="18" t="inlineStr">
        <is>
          <t>Instalaciones sanitarias (hidrosanitarias)</t>
        </is>
      </c>
      <c r="O252" s="18" t="inlineStr">
        <is>
          <t>Estimado DION · criterio de mercado Guayaquil 2026 (no verificado en tienda)</t>
        </is>
      </c>
      <c r="P252" s="18" t="inlineStr">
        <is>
          <t>oct-2026 (est.)</t>
        </is>
      </c>
      <c r="Q252" s="18" t="n"/>
    </row>
    <row r="253">
      <c r="A253" s="34" t="n">
        <v>232</v>
      </c>
      <c r="B253" s="35" t="inlineStr">
        <is>
          <t xml:space="preserve">        Unión / Manguito PPR Termofusión Ø90 mm</t>
        </is>
      </c>
      <c r="C253" s="36" t="inlineStr">
        <is>
          <t>Residencial / Comercial</t>
        </is>
      </c>
      <c r="D253" s="34" t="inlineStr">
        <is>
          <t>Unión PPR</t>
        </is>
      </c>
      <c r="E253" s="34" t="inlineStr">
        <is>
          <t>U</t>
        </is>
      </c>
      <c r="F253" s="37" t="n">
        <v>2</v>
      </c>
      <c r="G253" s="38" t="n">
        <v>11.1</v>
      </c>
      <c r="H253" s="38" t="n">
        <v>11.43</v>
      </c>
      <c r="I253" s="34" t="inlineStr">
        <is>
          <t>Megametales</t>
        </is>
      </c>
      <c r="J253" s="38" t="n">
        <v>12.21</v>
      </c>
      <c r="K253" s="34" t="inlineStr">
        <is>
          <t>Kywi / Megakywi</t>
        </is>
      </c>
      <c r="L253" s="39">
        <f>F253*G253</f>
        <v/>
      </c>
      <c r="M253" s="149" t="inlineStr">
        <is>
          <t>IS-D20-ACF-PPR-UNI-090</t>
        </is>
      </c>
      <c r="N253" s="34" t="inlineStr">
        <is>
          <t>Instalaciones sanitarias (hidrosanitarias)</t>
        </is>
      </c>
      <c r="O253" s="34" t="inlineStr">
        <is>
          <t>Estimado DION · criterio de mercado Guayaquil 2026 (no verificado en tienda)</t>
        </is>
      </c>
      <c r="P253" s="34" t="inlineStr">
        <is>
          <t>oct-2026 (est.)</t>
        </is>
      </c>
      <c r="Q253" s="34" t="n"/>
    </row>
    <row r="254">
      <c r="A254" s="18" t="n">
        <v>233</v>
      </c>
      <c r="B254" s="19" t="inlineStr">
        <is>
          <t xml:space="preserve">        Reducción PPR Termofusión Ø90 mm</t>
        </is>
      </c>
      <c r="C254" s="20" t="inlineStr">
        <is>
          <t>Residencial / Comercial</t>
        </is>
      </c>
      <c r="D254" s="18" t="inlineStr">
        <is>
          <t>Reducción PPR</t>
        </is>
      </c>
      <c r="E254" s="18" t="inlineStr">
        <is>
          <t>U</t>
        </is>
      </c>
      <c r="F254" s="21" t="n">
        <v>2</v>
      </c>
      <c r="G254" s="22" t="n">
        <v>14.8</v>
      </c>
      <c r="H254" s="22" t="n">
        <v>15.39</v>
      </c>
      <c r="I254" s="18" t="inlineStr">
        <is>
          <t>Megametales</t>
        </is>
      </c>
      <c r="J254" s="22" t="n">
        <v>16.13</v>
      </c>
      <c r="K254" s="18" t="inlineStr">
        <is>
          <t>Ferrisariato</t>
        </is>
      </c>
      <c r="L254" s="8">
        <f>F254*G254</f>
        <v/>
      </c>
      <c r="M254" s="145" t="inlineStr">
        <is>
          <t>IS-D20-ACF-PPR-RED-090</t>
        </is>
      </c>
      <c r="N254" s="18" t="inlineStr">
        <is>
          <t>Instalaciones sanitarias (hidrosanitarias)</t>
        </is>
      </c>
      <c r="O254" s="18" t="inlineStr">
        <is>
          <t>Estimado DION · criterio de mercado Guayaquil 2026 (no verificado en tienda)</t>
        </is>
      </c>
      <c r="P254" s="18" t="inlineStr">
        <is>
          <t>oct-2026 (est.)</t>
        </is>
      </c>
      <c r="Q254" s="18" t="n"/>
    </row>
    <row r="255">
      <c r="A255" s="34" t="n">
        <v>234</v>
      </c>
      <c r="B255" s="35" t="inlineStr">
        <is>
          <t xml:space="preserve">        Tapón PPR Termofusión Ø90 mm</t>
        </is>
      </c>
      <c r="C255" s="36" t="inlineStr">
        <is>
          <t>Residencial / Comercial</t>
        </is>
      </c>
      <c r="D255" s="34" t="inlineStr">
        <is>
          <t>Tapón PPR</t>
        </is>
      </c>
      <c r="E255" s="34" t="inlineStr">
        <is>
          <t>U</t>
        </is>
      </c>
      <c r="F255" s="37" t="n">
        <v>2</v>
      </c>
      <c r="G255" s="38" t="n">
        <v>8.33</v>
      </c>
      <c r="H255" s="38" t="n">
        <v>8.5</v>
      </c>
      <c r="I255" s="34" t="inlineStr">
        <is>
          <t>Megametales</t>
        </is>
      </c>
      <c r="J255" s="38" t="n">
        <v>8.91</v>
      </c>
      <c r="K255" s="34" t="inlineStr">
        <is>
          <t>Kywi / Megakywi</t>
        </is>
      </c>
      <c r="L255" s="39">
        <f>F255*G255</f>
        <v/>
      </c>
      <c r="M255" s="149" t="inlineStr">
        <is>
          <t>IS-D20-ACF-PPR-TAP-090</t>
        </is>
      </c>
      <c r="N255" s="34" t="inlineStr">
        <is>
          <t>Instalaciones sanitarias (hidrosanitarias)</t>
        </is>
      </c>
      <c r="O255" s="34" t="inlineStr">
        <is>
          <t>Estimado DION · criterio de mercado Guayaquil 2026 (no verificado en tienda)</t>
        </is>
      </c>
      <c r="P255" s="34" t="inlineStr">
        <is>
          <t>oct-2026 (est.)</t>
        </is>
      </c>
      <c r="Q255" s="34" t="n"/>
    </row>
    <row r="256">
      <c r="A256" s="18" t="n">
        <v>235</v>
      </c>
      <c r="B256" s="19" t="inlineStr">
        <is>
          <t xml:space="preserve">        Adaptador Macho PPR Termofusión Ø90 mm</t>
        </is>
      </c>
      <c r="C256" s="20" t="inlineStr">
        <is>
          <t>Residencial / Comercial</t>
        </is>
      </c>
      <c r="D256" s="18" t="inlineStr">
        <is>
          <t>Adaptador Macho PPR</t>
        </is>
      </c>
      <c r="E256" s="18" t="inlineStr">
        <is>
          <t>U</t>
        </is>
      </c>
      <c r="F256" s="21" t="n">
        <v>2</v>
      </c>
      <c r="G256" s="22" t="n">
        <v>12.95</v>
      </c>
      <c r="H256" s="22" t="n">
        <v>13.6</v>
      </c>
      <c r="I256" s="18" t="inlineStr">
        <is>
          <t>Megametales</t>
        </is>
      </c>
      <c r="J256" s="22" t="n">
        <v>14.37</v>
      </c>
      <c r="K256" s="18" t="inlineStr">
        <is>
          <t>Ferrisariato</t>
        </is>
      </c>
      <c r="L256" s="8">
        <f>F256*G256</f>
        <v/>
      </c>
      <c r="M256" s="145" t="inlineStr">
        <is>
          <t>IS-D20-ACF-PPR-ADM-090</t>
        </is>
      </c>
      <c r="N256" s="18" t="inlineStr">
        <is>
          <t>Instalaciones sanitarias (hidrosanitarias)</t>
        </is>
      </c>
      <c r="O256" s="18" t="inlineStr">
        <is>
          <t>Estimado DION · criterio de mercado Guayaquil 2026 (no verificado en tienda)</t>
        </is>
      </c>
      <c r="P256" s="18" t="inlineStr">
        <is>
          <t>oct-2026 (est.)</t>
        </is>
      </c>
      <c r="Q256" s="18" t="n"/>
    </row>
    <row r="257">
      <c r="A257" s="34" t="n">
        <v>236</v>
      </c>
      <c r="B257" s="35" t="inlineStr">
        <is>
          <t xml:space="preserve">        Codo 90° PPR Termofusión Ø110 mm</t>
        </is>
      </c>
      <c r="C257" s="36" t="inlineStr">
        <is>
          <t>Residencial / Comercial</t>
        </is>
      </c>
      <c r="D257" s="34" t="inlineStr">
        <is>
          <t>Codo 90° PPR</t>
        </is>
      </c>
      <c r="E257" s="34" t="inlineStr">
        <is>
          <t>U</t>
        </is>
      </c>
      <c r="F257" s="37" t="n">
        <v>2</v>
      </c>
      <c r="G257" s="38" t="n">
        <v>31</v>
      </c>
      <c r="H257" s="38" t="n">
        <v>31.93</v>
      </c>
      <c r="I257" s="34" t="inlineStr">
        <is>
          <t>Megametales</t>
        </is>
      </c>
      <c r="J257" s="38" t="n">
        <v>33.48</v>
      </c>
      <c r="K257" s="34" t="inlineStr">
        <is>
          <t>Kywi / Megakywi</t>
        </is>
      </c>
      <c r="L257" s="39">
        <f>F257*G257</f>
        <v/>
      </c>
      <c r="M257" s="149" t="inlineStr">
        <is>
          <t>IS-D20-ACF-PPR-C90-110</t>
        </is>
      </c>
      <c r="N257" s="34" t="inlineStr">
        <is>
          <t>Instalaciones sanitarias (hidrosanitarias)</t>
        </is>
      </c>
      <c r="O257" s="34" t="inlineStr">
        <is>
          <t>Estimado DION · criterio de mercado Guayaquil 2026 (no verificado en tienda)</t>
        </is>
      </c>
      <c r="P257" s="34" t="inlineStr">
        <is>
          <t>oct-2026 (est.)</t>
        </is>
      </c>
      <c r="Q257" s="34" t="n"/>
    </row>
    <row r="258">
      <c r="A258" s="18" t="n">
        <v>237</v>
      </c>
      <c r="B258" s="19" t="inlineStr">
        <is>
          <t xml:space="preserve">        Codo 45° PPR Termofusión Ø110 mm</t>
        </is>
      </c>
      <c r="C258" s="20" t="inlineStr">
        <is>
          <t>Residencial / Comercial</t>
        </is>
      </c>
      <c r="D258" s="18" t="inlineStr">
        <is>
          <t>Codo 45° PPR</t>
        </is>
      </c>
      <c r="E258" s="18" t="inlineStr">
        <is>
          <t>U</t>
        </is>
      </c>
      <c r="F258" s="21" t="n">
        <v>2</v>
      </c>
      <c r="G258" s="22" t="n">
        <v>29.45</v>
      </c>
      <c r="H258" s="22" t="n">
        <v>30.63</v>
      </c>
      <c r="I258" s="18" t="inlineStr">
        <is>
          <t>Megametales</t>
        </is>
      </c>
      <c r="J258" s="22" t="n">
        <v>32.1</v>
      </c>
      <c r="K258" s="18" t="inlineStr">
        <is>
          <t>Ferrisariato</t>
        </is>
      </c>
      <c r="L258" s="8">
        <f>F258*G258</f>
        <v/>
      </c>
      <c r="M258" s="145" t="inlineStr">
        <is>
          <t>IS-D20-ACF-PPR-C45-110</t>
        </is>
      </c>
      <c r="N258" s="18" t="inlineStr">
        <is>
          <t>Instalaciones sanitarias (hidrosanitarias)</t>
        </is>
      </c>
      <c r="O258" s="18" t="inlineStr">
        <is>
          <t>Estimado DION · criterio de mercado Guayaquil 2026 (no verificado en tienda)</t>
        </is>
      </c>
      <c r="P258" s="18" t="inlineStr">
        <is>
          <t>oct-2026 (est.)</t>
        </is>
      </c>
      <c r="Q258" s="18" t="n"/>
    </row>
    <row r="259">
      <c r="A259" s="34" t="n">
        <v>238</v>
      </c>
      <c r="B259" s="35" t="inlineStr">
        <is>
          <t xml:space="preserve">        Tee PPR Termofusión Ø110 mm</t>
        </is>
      </c>
      <c r="C259" s="36" t="inlineStr">
        <is>
          <t>Residencial / Comercial</t>
        </is>
      </c>
      <c r="D259" s="34" t="inlineStr">
        <is>
          <t>Tee PPR</t>
        </is>
      </c>
      <c r="E259" s="34" t="inlineStr">
        <is>
          <t>U</t>
        </is>
      </c>
      <c r="F259" s="37" t="n">
        <v>2</v>
      </c>
      <c r="G259" s="38" t="n">
        <v>41.85</v>
      </c>
      <c r="H259" s="38" t="n">
        <v>43.52</v>
      </c>
      <c r="I259" s="34" t="inlineStr">
        <is>
          <t>Megametales</t>
        </is>
      </c>
      <c r="J259" s="38" t="n">
        <v>45.62</v>
      </c>
      <c r="K259" s="34" t="inlineStr">
        <is>
          <t>Kywi / Megakywi</t>
        </is>
      </c>
      <c r="L259" s="39">
        <f>F259*G259</f>
        <v/>
      </c>
      <c r="M259" s="149" t="inlineStr">
        <is>
          <t>IS-D20-ACF-PPR-TEE-110</t>
        </is>
      </c>
      <c r="N259" s="34" t="inlineStr">
        <is>
          <t>Instalaciones sanitarias (hidrosanitarias)</t>
        </is>
      </c>
      <c r="O259" s="34" t="inlineStr">
        <is>
          <t>Estimado DION · criterio de mercado Guayaquil 2026 (no verificado en tienda)</t>
        </is>
      </c>
      <c r="P259" s="34" t="inlineStr">
        <is>
          <t>oct-2026 (est.)</t>
        </is>
      </c>
      <c r="Q259" s="34" t="n"/>
    </row>
    <row r="260">
      <c r="A260" s="18" t="n">
        <v>239</v>
      </c>
      <c r="B260" s="19" t="inlineStr">
        <is>
          <t xml:space="preserve">        Unión / Manguito PPR Termofusión Ø110 mm</t>
        </is>
      </c>
      <c r="C260" s="20" t="inlineStr">
        <is>
          <t>Residencial / Comercial</t>
        </is>
      </c>
      <c r="D260" s="18" t="inlineStr">
        <is>
          <t>Unión PPR</t>
        </is>
      </c>
      <c r="E260" s="18" t="inlineStr">
        <is>
          <t>U</t>
        </is>
      </c>
      <c r="F260" s="21" t="n">
        <v>2</v>
      </c>
      <c r="G260" s="22" t="n">
        <v>18.6</v>
      </c>
      <c r="H260" s="22" t="n">
        <v>19.34</v>
      </c>
      <c r="I260" s="18" t="inlineStr">
        <is>
          <t>Megametales</t>
        </is>
      </c>
      <c r="J260" s="22" t="n">
        <v>19.9</v>
      </c>
      <c r="K260" s="18" t="inlineStr">
        <is>
          <t>Ferrisariato</t>
        </is>
      </c>
      <c r="L260" s="8">
        <f>F260*G260</f>
        <v/>
      </c>
      <c r="M260" s="145" t="inlineStr">
        <is>
          <t>IS-D20-ACF-PPR-UNI-110</t>
        </is>
      </c>
      <c r="N260" s="18" t="inlineStr">
        <is>
          <t>Instalaciones sanitarias (hidrosanitarias)</t>
        </is>
      </c>
      <c r="O260" s="18" t="inlineStr">
        <is>
          <t>Estimado DION · criterio de mercado Guayaquil 2026 (no verificado en tienda)</t>
        </is>
      </c>
      <c r="P260" s="18" t="inlineStr">
        <is>
          <t>oct-2026 (est.)</t>
        </is>
      </c>
      <c r="Q260" s="18" t="n"/>
    </row>
    <row r="261">
      <c r="A261" s="34" t="n">
        <v>240</v>
      </c>
      <c r="B261" s="35" t="inlineStr">
        <is>
          <t xml:space="preserve">        Reducción PPR Termofusión Ø110 mm</t>
        </is>
      </c>
      <c r="C261" s="36" t="inlineStr">
        <is>
          <t>Residencial / Comercial</t>
        </is>
      </c>
      <c r="D261" s="34" t="inlineStr">
        <is>
          <t>Reducción PPR</t>
        </is>
      </c>
      <c r="E261" s="34" t="inlineStr">
        <is>
          <t>U</t>
        </is>
      </c>
      <c r="F261" s="37" t="n">
        <v>2</v>
      </c>
      <c r="G261" s="38" t="n">
        <v>24.8</v>
      </c>
      <c r="H261" s="38" t="n">
        <v>25.79</v>
      </c>
      <c r="I261" s="34" t="inlineStr">
        <is>
          <t>Megametales</t>
        </is>
      </c>
      <c r="J261" s="38" t="n">
        <v>26.54</v>
      </c>
      <c r="K261" s="34" t="inlineStr">
        <is>
          <t>Kywi / Megakywi</t>
        </is>
      </c>
      <c r="L261" s="39">
        <f>F261*G261</f>
        <v/>
      </c>
      <c r="M261" s="149" t="inlineStr">
        <is>
          <t>IS-D20-ACF-PPR-RED-110</t>
        </is>
      </c>
      <c r="N261" s="34" t="inlineStr">
        <is>
          <t>Instalaciones sanitarias (hidrosanitarias)</t>
        </is>
      </c>
      <c r="O261" s="34" t="inlineStr">
        <is>
          <t>Estimado DION · criterio de mercado Guayaquil 2026 (no verificado en tienda)</t>
        </is>
      </c>
      <c r="P261" s="34" t="inlineStr">
        <is>
          <t>oct-2026 (est.)</t>
        </is>
      </c>
      <c r="Q261" s="34" t="n"/>
    </row>
    <row r="262">
      <c r="A262" s="18" t="n">
        <v>241</v>
      </c>
      <c r="B262" s="19" t="inlineStr">
        <is>
          <t xml:space="preserve">        Tapón PPR Termofusión Ø110 mm</t>
        </is>
      </c>
      <c r="C262" s="20" t="inlineStr">
        <is>
          <t>Residencial / Comercial</t>
        </is>
      </c>
      <c r="D262" s="18" t="inlineStr">
        <is>
          <t>Tapón PPR</t>
        </is>
      </c>
      <c r="E262" s="18" t="inlineStr">
        <is>
          <t>U</t>
        </is>
      </c>
      <c r="F262" s="21" t="n">
        <v>2</v>
      </c>
      <c r="G262" s="22" t="n">
        <v>13.95</v>
      </c>
      <c r="H262" s="22" t="n">
        <v>14.51</v>
      </c>
      <c r="I262" s="18" t="inlineStr">
        <is>
          <t>Megametales</t>
        </is>
      </c>
      <c r="J262" s="22" t="n">
        <v>15.48</v>
      </c>
      <c r="K262" s="18" t="inlineStr">
        <is>
          <t>Ferrisariato</t>
        </is>
      </c>
      <c r="L262" s="8">
        <f>F262*G262</f>
        <v/>
      </c>
      <c r="M262" s="145" t="inlineStr">
        <is>
          <t>IS-D20-ACF-PPR-TAP-110</t>
        </is>
      </c>
      <c r="N262" s="18" t="inlineStr">
        <is>
          <t>Instalaciones sanitarias (hidrosanitarias)</t>
        </is>
      </c>
      <c r="O262" s="18" t="inlineStr">
        <is>
          <t>Estimado DION · criterio de mercado Guayaquil 2026 (no verificado en tienda)</t>
        </is>
      </c>
      <c r="P262" s="18" t="inlineStr">
        <is>
          <t>oct-2026 (est.)</t>
        </is>
      </c>
      <c r="Q262" s="18" t="n"/>
    </row>
    <row r="263">
      <c r="A263" s="34" t="n">
        <v>242</v>
      </c>
      <c r="B263" s="35" t="inlineStr">
        <is>
          <t xml:space="preserve">        Adaptador Macho PPR Termofusión Ø110 mm</t>
        </is>
      </c>
      <c r="C263" s="36" t="inlineStr">
        <is>
          <t>Residencial / Comercial</t>
        </is>
      </c>
      <c r="D263" s="34" t="inlineStr">
        <is>
          <t>Adaptador Macho PPR</t>
        </is>
      </c>
      <c r="E263" s="34" t="inlineStr">
        <is>
          <t>U</t>
        </is>
      </c>
      <c r="F263" s="37" t="n">
        <v>2</v>
      </c>
      <c r="G263" s="38" t="n">
        <v>21.7</v>
      </c>
      <c r="H263" s="38" t="n">
        <v>22.57</v>
      </c>
      <c r="I263" s="34" t="inlineStr">
        <is>
          <t>Megametales</t>
        </is>
      </c>
      <c r="J263" s="38" t="n">
        <v>23.44</v>
      </c>
      <c r="K263" s="34" t="inlineStr">
        <is>
          <t>Kywi / Megakywi</t>
        </is>
      </c>
      <c r="L263" s="39">
        <f>F263*G263</f>
        <v/>
      </c>
      <c r="M263" s="149" t="inlineStr">
        <is>
          <t>IS-D20-ACF-PPR-ADM-110</t>
        </is>
      </c>
      <c r="N263" s="34" t="inlineStr">
        <is>
          <t>Instalaciones sanitarias (hidrosanitarias)</t>
        </is>
      </c>
      <c r="O263" s="34" t="inlineStr">
        <is>
          <t>Estimado DION · criterio de mercado Guayaquil 2026 (no verificado en tienda)</t>
        </is>
      </c>
      <c r="P263" s="34" t="inlineStr">
        <is>
          <t>oct-2026 (est.)</t>
        </is>
      </c>
      <c r="Q263" s="34" t="n"/>
    </row>
    <row r="264">
      <c r="A264" s="18" t="n">
        <v>243</v>
      </c>
      <c r="B264" s="19" t="inlineStr">
        <is>
          <t xml:space="preserve">        Codo 90° Hierro Galvanizado ½"</t>
        </is>
      </c>
      <c r="C264" s="20" t="inlineStr">
        <is>
          <t>Comercial / Industrial</t>
        </is>
      </c>
      <c r="D264" s="18" t="inlineStr">
        <is>
          <t>Codo 90° HG</t>
        </is>
      </c>
      <c r="E264" s="18" t="inlineStr">
        <is>
          <t>U</t>
        </is>
      </c>
      <c r="F264" s="21" t="n">
        <v>2</v>
      </c>
      <c r="G264" s="22" t="n">
        <v>1.2</v>
      </c>
      <c r="H264" s="22" t="n">
        <v>1.22</v>
      </c>
      <c r="I264" s="18" t="inlineStr">
        <is>
          <t>Megametales</t>
        </is>
      </c>
      <c r="J264" s="22" t="n">
        <v>1.3</v>
      </c>
      <c r="K264" s="18" t="inlineStr">
        <is>
          <t>Ferrisariato</t>
        </is>
      </c>
      <c r="L264" s="8">
        <f>F264*G264</f>
        <v/>
      </c>
      <c r="M264" s="145" t="inlineStr">
        <is>
          <t>IS-D20-ACF-HG-C90-DN15</t>
        </is>
      </c>
      <c r="N264" s="18" t="inlineStr">
        <is>
          <t>Instalaciones sanitarias (hidrosanitarias)</t>
        </is>
      </c>
      <c r="O264" s="18" t="inlineStr">
        <is>
          <t>Estimado DION · criterio de mercado Guayaquil 2026 (no verificado en tienda)</t>
        </is>
      </c>
      <c r="P264" s="18" t="inlineStr">
        <is>
          <t>oct-2026 (est.)</t>
        </is>
      </c>
      <c r="Q264" s="18" t="n"/>
    </row>
    <row r="265">
      <c r="A265" s="34" t="n">
        <v>244</v>
      </c>
      <c r="B265" s="35" t="inlineStr">
        <is>
          <t xml:space="preserve">        Codo 45° Hierro Galvanizado ½"</t>
        </is>
      </c>
      <c r="C265" s="36" t="inlineStr">
        <is>
          <t>Comercial / Industrial</t>
        </is>
      </c>
      <c r="D265" s="34" t="inlineStr">
        <is>
          <t>Codo 45° HG</t>
        </is>
      </c>
      <c r="E265" s="34" t="inlineStr">
        <is>
          <t>U</t>
        </is>
      </c>
      <c r="F265" s="37" t="n">
        <v>2</v>
      </c>
      <c r="G265" s="38" t="n">
        <v>1.2</v>
      </c>
      <c r="H265" s="38" t="n">
        <v>1.24</v>
      </c>
      <c r="I265" s="34" t="inlineStr">
        <is>
          <t>Megametales</t>
        </is>
      </c>
      <c r="J265" s="38" t="n">
        <v>1.3</v>
      </c>
      <c r="K265" s="34" t="inlineStr">
        <is>
          <t>Kywi / Megakywi</t>
        </is>
      </c>
      <c r="L265" s="39">
        <f>F265*G265</f>
        <v/>
      </c>
      <c r="M265" s="149" t="inlineStr">
        <is>
          <t>IS-D20-ACF-HG-C45-DN15</t>
        </is>
      </c>
      <c r="N265" s="34" t="inlineStr">
        <is>
          <t>Instalaciones sanitarias (hidrosanitarias)</t>
        </is>
      </c>
      <c r="O265" s="34" t="inlineStr">
        <is>
          <t>Estimado DION · criterio de mercado Guayaquil 2026 (no verificado en tienda)</t>
        </is>
      </c>
      <c r="P265" s="34" t="inlineStr">
        <is>
          <t>oct-2026 (est.)</t>
        </is>
      </c>
      <c r="Q265" s="34" t="n"/>
    </row>
    <row r="266">
      <c r="A266" s="18" t="n">
        <v>245</v>
      </c>
      <c r="B266" s="19" t="inlineStr">
        <is>
          <t xml:space="preserve">        Tee Hierro Galvanizado ½"</t>
        </is>
      </c>
      <c r="C266" s="20" t="inlineStr">
        <is>
          <t>Comercial / Industrial</t>
        </is>
      </c>
      <c r="D266" s="18" t="inlineStr">
        <is>
          <t>Tee HG</t>
        </is>
      </c>
      <c r="E266" s="18" t="inlineStr">
        <is>
          <t>U</t>
        </is>
      </c>
      <c r="F266" s="21" t="n">
        <v>2</v>
      </c>
      <c r="G266" s="22" t="n">
        <v>1.62</v>
      </c>
      <c r="H266" s="22" t="n">
        <v>1.65</v>
      </c>
      <c r="I266" s="18" t="inlineStr">
        <is>
          <t>Megametales</t>
        </is>
      </c>
      <c r="J266" s="22" t="n">
        <v>1.77</v>
      </c>
      <c r="K266" s="18" t="inlineStr">
        <is>
          <t>Ferrisariato</t>
        </is>
      </c>
      <c r="L266" s="8">
        <f>F266*G266</f>
        <v/>
      </c>
      <c r="M266" s="145" t="inlineStr">
        <is>
          <t>IS-D20-ACF-HG-TEE-DN15</t>
        </is>
      </c>
      <c r="N266" s="18" t="inlineStr">
        <is>
          <t>Instalaciones sanitarias (hidrosanitarias)</t>
        </is>
      </c>
      <c r="O266" s="18" t="inlineStr">
        <is>
          <t>Estimado DION · criterio de mercado Guayaquil 2026 (no verificado en tienda)</t>
        </is>
      </c>
      <c r="P266" s="18" t="inlineStr">
        <is>
          <t>oct-2026 (est.)</t>
        </is>
      </c>
      <c r="Q266" s="18" t="n"/>
    </row>
    <row r="267">
      <c r="A267" s="34" t="n">
        <v>246</v>
      </c>
      <c r="B267" s="35" t="inlineStr">
        <is>
          <t xml:space="preserve">        Unión Hierro Galvanizado ½"</t>
        </is>
      </c>
      <c r="C267" s="36" t="inlineStr">
        <is>
          <t>Comercial / Industrial</t>
        </is>
      </c>
      <c r="D267" s="34" t="inlineStr">
        <is>
          <t>Unión HG</t>
        </is>
      </c>
      <c r="E267" s="34" t="inlineStr">
        <is>
          <t>U</t>
        </is>
      </c>
      <c r="F267" s="37" t="n">
        <v>2</v>
      </c>
      <c r="G267" s="38" t="n">
        <v>0.84</v>
      </c>
      <c r="H267" s="38" t="n">
        <v>0.86</v>
      </c>
      <c r="I267" s="34" t="inlineStr">
        <is>
          <t>Megametales</t>
        </is>
      </c>
      <c r="J267" s="38" t="n">
        <v>0.92</v>
      </c>
      <c r="K267" s="34" t="inlineStr">
        <is>
          <t>Kywi / Megakywi</t>
        </is>
      </c>
      <c r="L267" s="39">
        <f>F267*G267</f>
        <v/>
      </c>
      <c r="M267" s="149" t="inlineStr">
        <is>
          <t>IS-D20-ACF-HG-UNI-DN15</t>
        </is>
      </c>
      <c r="N267" s="34" t="inlineStr">
        <is>
          <t>Instalaciones sanitarias (hidrosanitarias)</t>
        </is>
      </c>
      <c r="O267" s="34" t="inlineStr">
        <is>
          <t>Estimado DION · criterio de mercado Guayaquil 2026 (no verificado en tienda)</t>
        </is>
      </c>
      <c r="P267" s="34" t="inlineStr">
        <is>
          <t>oct-2026 (est.)</t>
        </is>
      </c>
      <c r="Q267" s="34" t="n"/>
    </row>
    <row r="268">
      <c r="A268" s="18" t="n">
        <v>247</v>
      </c>
      <c r="B268" s="19" t="inlineStr">
        <is>
          <t xml:space="preserve">        Neplo / Adaptador Hierro Galvanizado ½"</t>
        </is>
      </c>
      <c r="C268" s="20" t="inlineStr">
        <is>
          <t>Comercial / Industrial</t>
        </is>
      </c>
      <c r="D268" s="18" t="inlineStr">
        <is>
          <t>Neplo / Adaptador HG</t>
        </is>
      </c>
      <c r="E268" s="18" t="inlineStr">
        <is>
          <t>U</t>
        </is>
      </c>
      <c r="F268" s="21" t="n">
        <v>2</v>
      </c>
      <c r="G268" s="22" t="n">
        <v>0.96</v>
      </c>
      <c r="H268" s="22" t="n">
        <v>1</v>
      </c>
      <c r="I268" s="18" t="inlineStr">
        <is>
          <t>Megametales</t>
        </is>
      </c>
      <c r="J268" s="22" t="n">
        <v>1.04</v>
      </c>
      <c r="K268" s="18" t="inlineStr">
        <is>
          <t>Ferrisariato</t>
        </is>
      </c>
      <c r="L268" s="8">
        <f>F268*G268</f>
        <v/>
      </c>
      <c r="M268" s="145" t="inlineStr">
        <is>
          <t>IS-D20-ACF-HG-ADM-DN15</t>
        </is>
      </c>
      <c r="N268" s="18" t="inlineStr">
        <is>
          <t>Instalaciones sanitarias (hidrosanitarias)</t>
        </is>
      </c>
      <c r="O268" s="18" t="inlineStr">
        <is>
          <t>Estimado DION · criterio de mercado Guayaquil 2026 (no verificado en tienda)</t>
        </is>
      </c>
      <c r="P268" s="18" t="inlineStr">
        <is>
          <t>oct-2026 (est.)</t>
        </is>
      </c>
      <c r="Q268" s="18" t="n"/>
    </row>
    <row r="269">
      <c r="A269" s="34" t="n">
        <v>248</v>
      </c>
      <c r="B269" s="35" t="inlineStr">
        <is>
          <t xml:space="preserve">        Universal Hierro Galvanizado ½"</t>
        </is>
      </c>
      <c r="C269" s="36" t="inlineStr">
        <is>
          <t>Comercial / Industrial</t>
        </is>
      </c>
      <c r="D269" s="34" t="inlineStr">
        <is>
          <t>Universal HG</t>
        </is>
      </c>
      <c r="E269" s="34" t="inlineStr">
        <is>
          <t>U</t>
        </is>
      </c>
      <c r="F269" s="37" t="n">
        <v>2</v>
      </c>
      <c r="G269" s="38" t="n">
        <v>3.12</v>
      </c>
      <c r="H269" s="38" t="n">
        <v>3.18</v>
      </c>
      <c r="I269" s="34" t="inlineStr">
        <is>
          <t>Megametales</t>
        </is>
      </c>
      <c r="J269" s="38" t="n">
        <v>3.37</v>
      </c>
      <c r="K269" s="34" t="inlineStr">
        <is>
          <t>Kywi / Megakywi</t>
        </is>
      </c>
      <c r="L269" s="39">
        <f>F269*G269</f>
        <v/>
      </c>
      <c r="M269" s="149" t="inlineStr">
        <is>
          <t>IS-D20-ACF-HG-UNV-DN15</t>
        </is>
      </c>
      <c r="N269" s="34" t="inlineStr">
        <is>
          <t>Instalaciones sanitarias (hidrosanitarias)</t>
        </is>
      </c>
      <c r="O269" s="34" t="inlineStr">
        <is>
          <t>Estimado DION · criterio de mercado Guayaquil 2026 (no verificado en tienda)</t>
        </is>
      </c>
      <c r="P269" s="34" t="inlineStr">
        <is>
          <t>oct-2026 (est.)</t>
        </is>
      </c>
      <c r="Q269" s="34" t="n"/>
    </row>
    <row r="270">
      <c r="A270" s="18" t="n">
        <v>249</v>
      </c>
      <c r="B270" s="19" t="inlineStr">
        <is>
          <t xml:space="preserve">        Codo 90° Hierro Galvanizado ¾"</t>
        </is>
      </c>
      <c r="C270" s="20" t="inlineStr">
        <is>
          <t>Comercial / Industrial</t>
        </is>
      </c>
      <c r="D270" s="18" t="inlineStr">
        <is>
          <t>Codo 90° HG</t>
        </is>
      </c>
      <c r="E270" s="18" t="inlineStr">
        <is>
          <t>U</t>
        </is>
      </c>
      <c r="F270" s="21" t="n">
        <v>2</v>
      </c>
      <c r="G270" s="22" t="n">
        <v>1.7</v>
      </c>
      <c r="H270" s="22" t="n">
        <v>1.77</v>
      </c>
      <c r="I270" s="18" t="inlineStr">
        <is>
          <t>Megametales</t>
        </is>
      </c>
      <c r="J270" s="22" t="n">
        <v>1.84</v>
      </c>
      <c r="K270" s="18" t="inlineStr">
        <is>
          <t>Ferrisariato</t>
        </is>
      </c>
      <c r="L270" s="8">
        <f>F270*G270</f>
        <v/>
      </c>
      <c r="M270" s="145" t="inlineStr">
        <is>
          <t>IS-D20-ACF-HG-C90-DN20</t>
        </is>
      </c>
      <c r="N270" s="18" t="inlineStr">
        <is>
          <t>Instalaciones sanitarias (hidrosanitarias)</t>
        </is>
      </c>
      <c r="O270" s="18" t="inlineStr">
        <is>
          <t>Estimado DION · criterio de mercado Guayaquil 2026 (no verificado en tienda)</t>
        </is>
      </c>
      <c r="P270" s="18" t="inlineStr">
        <is>
          <t>oct-2026 (est.)</t>
        </is>
      </c>
      <c r="Q270" s="18" t="n"/>
    </row>
    <row r="271">
      <c r="A271" s="34" t="n">
        <v>250</v>
      </c>
      <c r="B271" s="35" t="inlineStr">
        <is>
          <t xml:space="preserve">        Codo 45° Hierro Galvanizado ¾"</t>
        </is>
      </c>
      <c r="C271" s="36" t="inlineStr">
        <is>
          <t>Comercial / Industrial</t>
        </is>
      </c>
      <c r="D271" s="34" t="inlineStr">
        <is>
          <t>Codo 45° HG</t>
        </is>
      </c>
      <c r="E271" s="34" t="inlineStr">
        <is>
          <t>U</t>
        </is>
      </c>
      <c r="F271" s="37" t="n">
        <v>2</v>
      </c>
      <c r="G271" s="38" t="n">
        <v>1.7</v>
      </c>
      <c r="H271" s="38" t="n">
        <v>1.78</v>
      </c>
      <c r="I271" s="34" t="inlineStr">
        <is>
          <t>Megametales</t>
        </is>
      </c>
      <c r="J271" s="38" t="n">
        <v>1.87</v>
      </c>
      <c r="K271" s="34" t="inlineStr">
        <is>
          <t>Kywi / Megakywi</t>
        </is>
      </c>
      <c r="L271" s="39">
        <f>F271*G271</f>
        <v/>
      </c>
      <c r="M271" s="149" t="inlineStr">
        <is>
          <t>IS-D20-ACF-HG-C45-DN20</t>
        </is>
      </c>
      <c r="N271" s="34" t="inlineStr">
        <is>
          <t>Instalaciones sanitarias (hidrosanitarias)</t>
        </is>
      </c>
      <c r="O271" s="34" t="inlineStr">
        <is>
          <t>Estimado DION · criterio de mercado Guayaquil 2026 (no verificado en tienda)</t>
        </is>
      </c>
      <c r="P271" s="34" t="inlineStr">
        <is>
          <t>oct-2026 (est.)</t>
        </is>
      </c>
      <c r="Q271" s="34" t="n"/>
    </row>
    <row r="272">
      <c r="A272" s="18" t="n">
        <v>251</v>
      </c>
      <c r="B272" s="19" t="inlineStr">
        <is>
          <t xml:space="preserve">        Tee Hierro Galvanizado ¾"</t>
        </is>
      </c>
      <c r="C272" s="20" t="inlineStr">
        <is>
          <t>Comercial / Industrial</t>
        </is>
      </c>
      <c r="D272" s="18" t="inlineStr">
        <is>
          <t>Tee HG</t>
        </is>
      </c>
      <c r="E272" s="18" t="inlineStr">
        <is>
          <t>U</t>
        </is>
      </c>
      <c r="F272" s="21" t="n">
        <v>2</v>
      </c>
      <c r="G272" s="22" t="n">
        <v>2.29</v>
      </c>
      <c r="H272" s="22" t="n">
        <v>2.34</v>
      </c>
      <c r="I272" s="18" t="inlineStr">
        <is>
          <t>Megametales</t>
        </is>
      </c>
      <c r="J272" s="22" t="n">
        <v>2.52</v>
      </c>
      <c r="K272" s="18" t="inlineStr">
        <is>
          <t>Ferrisariato</t>
        </is>
      </c>
      <c r="L272" s="8">
        <f>F272*G272</f>
        <v/>
      </c>
      <c r="M272" s="145" t="inlineStr">
        <is>
          <t>IS-D20-ACF-HG-TEE-DN20</t>
        </is>
      </c>
      <c r="N272" s="18" t="inlineStr">
        <is>
          <t>Instalaciones sanitarias (hidrosanitarias)</t>
        </is>
      </c>
      <c r="O272" s="18" t="inlineStr">
        <is>
          <t>Estimado DION · criterio de mercado Guayaquil 2026 (no verificado en tienda)</t>
        </is>
      </c>
      <c r="P272" s="18" t="inlineStr">
        <is>
          <t>oct-2026 (est.)</t>
        </is>
      </c>
      <c r="Q272" s="18" t="n"/>
    </row>
    <row r="273">
      <c r="A273" s="34" t="n">
        <v>252</v>
      </c>
      <c r="B273" s="35" t="inlineStr">
        <is>
          <t xml:space="preserve">        Unión Hierro Galvanizado ¾"</t>
        </is>
      </c>
      <c r="C273" s="36" t="inlineStr">
        <is>
          <t>Comercial / Industrial</t>
        </is>
      </c>
      <c r="D273" s="34" t="inlineStr">
        <is>
          <t>Unión HG</t>
        </is>
      </c>
      <c r="E273" s="34" t="inlineStr">
        <is>
          <t>U</t>
        </is>
      </c>
      <c r="F273" s="37" t="n">
        <v>2</v>
      </c>
      <c r="G273" s="38" t="n">
        <v>1.19</v>
      </c>
      <c r="H273" s="38" t="n">
        <v>1.21</v>
      </c>
      <c r="I273" s="34" t="inlineStr">
        <is>
          <t>Megametales</t>
        </is>
      </c>
      <c r="J273" s="38" t="n">
        <v>1.3</v>
      </c>
      <c r="K273" s="34" t="inlineStr">
        <is>
          <t>Kywi / Megakywi</t>
        </is>
      </c>
      <c r="L273" s="39">
        <f>F273*G273</f>
        <v/>
      </c>
      <c r="M273" s="149" t="inlineStr">
        <is>
          <t>IS-D20-ACF-HG-UNI-DN20</t>
        </is>
      </c>
      <c r="N273" s="34" t="inlineStr">
        <is>
          <t>Instalaciones sanitarias (hidrosanitarias)</t>
        </is>
      </c>
      <c r="O273" s="34" t="inlineStr">
        <is>
          <t>Estimado DION · criterio de mercado Guayaquil 2026 (no verificado en tienda)</t>
        </is>
      </c>
      <c r="P273" s="34" t="inlineStr">
        <is>
          <t>oct-2026 (est.)</t>
        </is>
      </c>
      <c r="Q273" s="34" t="n"/>
    </row>
    <row r="274">
      <c r="A274" s="18" t="n">
        <v>253</v>
      </c>
      <c r="B274" s="19" t="inlineStr">
        <is>
          <t xml:space="preserve">        Neplo / Adaptador Hierro Galvanizado ¾"</t>
        </is>
      </c>
      <c r="C274" s="20" t="inlineStr">
        <is>
          <t>Comercial / Industrial</t>
        </is>
      </c>
      <c r="D274" s="18" t="inlineStr">
        <is>
          <t>Neplo / Adaptador HG</t>
        </is>
      </c>
      <c r="E274" s="18" t="inlineStr">
        <is>
          <t>U</t>
        </is>
      </c>
      <c r="F274" s="21" t="n">
        <v>2</v>
      </c>
      <c r="G274" s="22" t="n">
        <v>1.36</v>
      </c>
      <c r="H274" s="22" t="n">
        <v>1.4</v>
      </c>
      <c r="I274" s="18" t="inlineStr">
        <is>
          <t>Megametales</t>
        </is>
      </c>
      <c r="J274" s="22" t="n">
        <v>1.47</v>
      </c>
      <c r="K274" s="18" t="inlineStr">
        <is>
          <t>Ferrisariato</t>
        </is>
      </c>
      <c r="L274" s="8">
        <f>F274*G274</f>
        <v/>
      </c>
      <c r="M274" s="145" t="inlineStr">
        <is>
          <t>IS-D20-ACF-HG-ADM-DN20</t>
        </is>
      </c>
      <c r="N274" s="18" t="inlineStr">
        <is>
          <t>Instalaciones sanitarias (hidrosanitarias)</t>
        </is>
      </c>
      <c r="O274" s="18" t="inlineStr">
        <is>
          <t>Estimado DION · criterio de mercado Guayaquil 2026 (no verificado en tienda)</t>
        </is>
      </c>
      <c r="P274" s="18" t="inlineStr">
        <is>
          <t>oct-2026 (est.)</t>
        </is>
      </c>
      <c r="Q274" s="18" t="n"/>
    </row>
    <row r="275">
      <c r="A275" s="34" t="n">
        <v>254</v>
      </c>
      <c r="B275" s="35" t="inlineStr">
        <is>
          <t xml:space="preserve">        Universal Hierro Galvanizado ¾"</t>
        </is>
      </c>
      <c r="C275" s="36" t="inlineStr">
        <is>
          <t>Comercial / Industrial</t>
        </is>
      </c>
      <c r="D275" s="34" t="inlineStr">
        <is>
          <t>Universal HG</t>
        </is>
      </c>
      <c r="E275" s="34" t="inlineStr">
        <is>
          <t>U</t>
        </is>
      </c>
      <c r="F275" s="37" t="n">
        <v>2</v>
      </c>
      <c r="G275" s="38" t="n">
        <v>4.42</v>
      </c>
      <c r="H275" s="38" t="n">
        <v>4.6</v>
      </c>
      <c r="I275" s="34" t="inlineStr">
        <is>
          <t>Megametales</t>
        </is>
      </c>
      <c r="J275" s="38" t="n">
        <v>4.77</v>
      </c>
      <c r="K275" s="34" t="inlineStr">
        <is>
          <t>Kywi / Megakywi</t>
        </is>
      </c>
      <c r="L275" s="39">
        <f>F275*G275</f>
        <v/>
      </c>
      <c r="M275" s="149" t="inlineStr">
        <is>
          <t>IS-D20-ACF-HG-UNV-DN20</t>
        </is>
      </c>
      <c r="N275" s="34" t="inlineStr">
        <is>
          <t>Instalaciones sanitarias (hidrosanitarias)</t>
        </is>
      </c>
      <c r="O275" s="34" t="inlineStr">
        <is>
          <t>Estimado DION · criterio de mercado Guayaquil 2026 (no verificado en tienda)</t>
        </is>
      </c>
      <c r="P275" s="34" t="inlineStr">
        <is>
          <t>oct-2026 (est.)</t>
        </is>
      </c>
      <c r="Q275" s="34" t="n"/>
    </row>
    <row r="276">
      <c r="A276" s="18" t="n">
        <v>255</v>
      </c>
      <c r="B276" s="19" t="inlineStr">
        <is>
          <t xml:space="preserve">        Codo 90° Hierro Galvanizado 1"</t>
        </is>
      </c>
      <c r="C276" s="20" t="inlineStr">
        <is>
          <t>Comercial / Industrial</t>
        </is>
      </c>
      <c r="D276" s="18" t="inlineStr">
        <is>
          <t>Codo 90° HG</t>
        </is>
      </c>
      <c r="E276" s="18" t="inlineStr">
        <is>
          <t>U</t>
        </is>
      </c>
      <c r="F276" s="21" t="n">
        <v>2</v>
      </c>
      <c r="G276" s="22" t="n">
        <v>2.8</v>
      </c>
      <c r="H276" s="22" t="n">
        <v>2.94</v>
      </c>
      <c r="I276" s="18" t="inlineStr">
        <is>
          <t>Megametales</t>
        </is>
      </c>
      <c r="J276" s="22" t="n">
        <v>3.11</v>
      </c>
      <c r="K276" s="18" t="inlineStr">
        <is>
          <t>Ferrisariato</t>
        </is>
      </c>
      <c r="L276" s="8">
        <f>F276*G276</f>
        <v/>
      </c>
      <c r="M276" s="145" t="inlineStr">
        <is>
          <t>IS-D20-ACF-HG-C90-DN25</t>
        </is>
      </c>
      <c r="N276" s="18" t="inlineStr">
        <is>
          <t>Instalaciones sanitarias (hidrosanitarias)</t>
        </is>
      </c>
      <c r="O276" s="18" t="inlineStr">
        <is>
          <t>Estimado DION · criterio de mercado Guayaquil 2026 (no verificado en tienda)</t>
        </is>
      </c>
      <c r="P276" s="18" t="inlineStr">
        <is>
          <t>oct-2026 (est.)</t>
        </is>
      </c>
      <c r="Q276" s="18" t="n"/>
    </row>
    <row r="277">
      <c r="A277" s="34" t="n">
        <v>256</v>
      </c>
      <c r="B277" s="35" t="inlineStr">
        <is>
          <t xml:space="preserve">        Codo 45° Hierro Galvanizado 1"</t>
        </is>
      </c>
      <c r="C277" s="36" t="inlineStr">
        <is>
          <t>Comercial / Industrial</t>
        </is>
      </c>
      <c r="D277" s="34" t="inlineStr">
        <is>
          <t>Codo 45° HG</t>
        </is>
      </c>
      <c r="E277" s="34" t="inlineStr">
        <is>
          <t>U</t>
        </is>
      </c>
      <c r="F277" s="37" t="n">
        <v>2</v>
      </c>
      <c r="G277" s="38" t="n">
        <v>2.8</v>
      </c>
      <c r="H277" s="38" t="n">
        <v>2.86</v>
      </c>
      <c r="I277" s="34" t="inlineStr">
        <is>
          <t>Megametales</t>
        </is>
      </c>
      <c r="J277" s="38" t="n">
        <v>3.11</v>
      </c>
      <c r="K277" s="34" t="inlineStr">
        <is>
          <t>Kywi / Megakywi</t>
        </is>
      </c>
      <c r="L277" s="39">
        <f>F277*G277</f>
        <v/>
      </c>
      <c r="M277" s="149" t="inlineStr">
        <is>
          <t>IS-D20-ACF-HG-C45-DN25</t>
        </is>
      </c>
      <c r="N277" s="34" t="inlineStr">
        <is>
          <t>Instalaciones sanitarias (hidrosanitarias)</t>
        </is>
      </c>
      <c r="O277" s="34" t="inlineStr">
        <is>
          <t>Estimado DION · criterio de mercado Guayaquil 2026 (no verificado en tienda)</t>
        </is>
      </c>
      <c r="P277" s="34" t="inlineStr">
        <is>
          <t>oct-2026 (est.)</t>
        </is>
      </c>
      <c r="Q277" s="34" t="n"/>
    </row>
    <row r="278">
      <c r="A278" s="18" t="n">
        <v>257</v>
      </c>
      <c r="B278" s="19" t="inlineStr">
        <is>
          <t xml:space="preserve">        Tee Hierro Galvanizado 1"</t>
        </is>
      </c>
      <c r="C278" s="20" t="inlineStr">
        <is>
          <t>Comercial / Industrial</t>
        </is>
      </c>
      <c r="D278" s="18" t="inlineStr">
        <is>
          <t>Tee HG</t>
        </is>
      </c>
      <c r="E278" s="18" t="inlineStr">
        <is>
          <t>U</t>
        </is>
      </c>
      <c r="F278" s="21" t="n">
        <v>2</v>
      </c>
      <c r="G278" s="22" t="n">
        <v>3.78</v>
      </c>
      <c r="H278" s="22" t="n">
        <v>3.89</v>
      </c>
      <c r="I278" s="18" t="inlineStr">
        <is>
          <t>Megametales</t>
        </is>
      </c>
      <c r="J278" s="22" t="n">
        <v>4.04</v>
      </c>
      <c r="K278" s="18" t="inlineStr">
        <is>
          <t>Ferrisariato</t>
        </is>
      </c>
      <c r="L278" s="8">
        <f>F278*G278</f>
        <v/>
      </c>
      <c r="M278" s="145" t="inlineStr">
        <is>
          <t>IS-D20-ACF-HG-TEE-DN25</t>
        </is>
      </c>
      <c r="N278" s="18" t="inlineStr">
        <is>
          <t>Instalaciones sanitarias (hidrosanitarias)</t>
        </is>
      </c>
      <c r="O278" s="18" t="inlineStr">
        <is>
          <t>Estimado DION · criterio de mercado Guayaquil 2026 (no verificado en tienda)</t>
        </is>
      </c>
      <c r="P278" s="18" t="inlineStr">
        <is>
          <t>oct-2026 (est.)</t>
        </is>
      </c>
      <c r="Q278" s="18" t="n"/>
    </row>
    <row r="279">
      <c r="A279" s="34" t="n">
        <v>258</v>
      </c>
      <c r="B279" s="35" t="inlineStr">
        <is>
          <t xml:space="preserve">        Unión Hierro Galvanizado 1"</t>
        </is>
      </c>
      <c r="C279" s="36" t="inlineStr">
        <is>
          <t>Comercial / Industrial</t>
        </is>
      </c>
      <c r="D279" s="34" t="inlineStr">
        <is>
          <t>Unión HG</t>
        </is>
      </c>
      <c r="E279" s="34" t="inlineStr">
        <is>
          <t>U</t>
        </is>
      </c>
      <c r="F279" s="37" t="n">
        <v>2</v>
      </c>
      <c r="G279" s="38" t="n">
        <v>1.96</v>
      </c>
      <c r="H279" s="38" t="n">
        <v>2.02</v>
      </c>
      <c r="I279" s="34" t="inlineStr">
        <is>
          <t>Megametales</t>
        </is>
      </c>
      <c r="J279" s="38" t="n">
        <v>2.16</v>
      </c>
      <c r="K279" s="34" t="inlineStr">
        <is>
          <t>Kywi / Megakywi</t>
        </is>
      </c>
      <c r="L279" s="39">
        <f>F279*G279</f>
        <v/>
      </c>
      <c r="M279" s="149" t="inlineStr">
        <is>
          <t>IS-D20-ACF-HG-UNI-DN25</t>
        </is>
      </c>
      <c r="N279" s="34" t="inlineStr">
        <is>
          <t>Instalaciones sanitarias (hidrosanitarias)</t>
        </is>
      </c>
      <c r="O279" s="34" t="inlineStr">
        <is>
          <t>Estimado DION · criterio de mercado Guayaquil 2026 (no verificado en tienda)</t>
        </is>
      </c>
      <c r="P279" s="34" t="inlineStr">
        <is>
          <t>oct-2026 (est.)</t>
        </is>
      </c>
      <c r="Q279" s="34" t="n"/>
    </row>
    <row r="280">
      <c r="A280" s="18" t="n">
        <v>259</v>
      </c>
      <c r="B280" s="19" t="inlineStr">
        <is>
          <t xml:space="preserve">        Neplo / Adaptador Hierro Galvanizado 1"</t>
        </is>
      </c>
      <c r="C280" s="20" t="inlineStr">
        <is>
          <t>Comercial / Industrial</t>
        </is>
      </c>
      <c r="D280" s="18" t="inlineStr">
        <is>
          <t>Neplo / Adaptador HG</t>
        </is>
      </c>
      <c r="E280" s="18" t="inlineStr">
        <is>
          <t>U</t>
        </is>
      </c>
      <c r="F280" s="21" t="n">
        <v>2</v>
      </c>
      <c r="G280" s="22" t="n">
        <v>2.24</v>
      </c>
      <c r="H280" s="22" t="n">
        <v>2.28</v>
      </c>
      <c r="I280" s="18" t="inlineStr">
        <is>
          <t>Megametales</t>
        </is>
      </c>
      <c r="J280" s="22" t="n">
        <v>2.46</v>
      </c>
      <c r="K280" s="18" t="inlineStr">
        <is>
          <t>Ferrisariato</t>
        </is>
      </c>
      <c r="L280" s="8">
        <f>F280*G280</f>
        <v/>
      </c>
      <c r="M280" s="145" t="inlineStr">
        <is>
          <t>IS-D20-ACF-HG-ADM-DN25</t>
        </is>
      </c>
      <c r="N280" s="18" t="inlineStr">
        <is>
          <t>Instalaciones sanitarias (hidrosanitarias)</t>
        </is>
      </c>
      <c r="O280" s="18" t="inlineStr">
        <is>
          <t>Estimado DION · criterio de mercado Guayaquil 2026 (no verificado en tienda)</t>
        </is>
      </c>
      <c r="P280" s="18" t="inlineStr">
        <is>
          <t>oct-2026 (est.)</t>
        </is>
      </c>
      <c r="Q280" s="18" t="n"/>
    </row>
    <row r="281">
      <c r="A281" s="34" t="n">
        <v>260</v>
      </c>
      <c r="B281" s="35" t="inlineStr">
        <is>
          <t xml:space="preserve">        Universal Hierro Galvanizado 1"</t>
        </is>
      </c>
      <c r="C281" s="36" t="inlineStr">
        <is>
          <t>Comercial / Industrial</t>
        </is>
      </c>
      <c r="D281" s="34" t="inlineStr">
        <is>
          <t>Universal HG</t>
        </is>
      </c>
      <c r="E281" s="34" t="inlineStr">
        <is>
          <t>U</t>
        </is>
      </c>
      <c r="F281" s="37" t="n">
        <v>2</v>
      </c>
      <c r="G281" s="38" t="n">
        <v>7.28</v>
      </c>
      <c r="H281" s="38" t="n">
        <v>7.5</v>
      </c>
      <c r="I281" s="34" t="inlineStr">
        <is>
          <t>Megametales</t>
        </is>
      </c>
      <c r="J281" s="38" t="n">
        <v>8.08</v>
      </c>
      <c r="K281" s="34" t="inlineStr">
        <is>
          <t>Kywi / Megakywi</t>
        </is>
      </c>
      <c r="L281" s="39">
        <f>F281*G281</f>
        <v/>
      </c>
      <c r="M281" s="149" t="inlineStr">
        <is>
          <t>IS-D20-ACF-HG-UNV-DN25</t>
        </is>
      </c>
      <c r="N281" s="34" t="inlineStr">
        <is>
          <t>Instalaciones sanitarias (hidrosanitarias)</t>
        </is>
      </c>
      <c r="O281" s="34" t="inlineStr">
        <is>
          <t>Estimado DION · criterio de mercado Guayaquil 2026 (no verificado en tienda)</t>
        </is>
      </c>
      <c r="P281" s="34" t="inlineStr">
        <is>
          <t>oct-2026 (est.)</t>
        </is>
      </c>
      <c r="Q281" s="34" t="n"/>
    </row>
    <row r="282">
      <c r="A282" s="18" t="n">
        <v>261</v>
      </c>
      <c r="B282" s="19" t="inlineStr">
        <is>
          <t xml:space="preserve">        Codo 90° Hierro Galvanizado 1½"</t>
        </is>
      </c>
      <c r="C282" s="20" t="inlineStr">
        <is>
          <t>Comercial / Industrial</t>
        </is>
      </c>
      <c r="D282" s="18" t="inlineStr">
        <is>
          <t>Codo 90° HG</t>
        </is>
      </c>
      <c r="E282" s="18" t="inlineStr">
        <is>
          <t>U</t>
        </is>
      </c>
      <c r="F282" s="21" t="n">
        <v>2</v>
      </c>
      <c r="G282" s="22" t="n">
        <v>6.1</v>
      </c>
      <c r="H282" s="22" t="n">
        <v>6.22</v>
      </c>
      <c r="I282" s="18" t="inlineStr">
        <is>
          <t>Megametales</t>
        </is>
      </c>
      <c r="J282" s="22" t="n">
        <v>6.71</v>
      </c>
      <c r="K282" s="18" t="inlineStr">
        <is>
          <t>Ferrisariato</t>
        </is>
      </c>
      <c r="L282" s="8">
        <f>F282*G282</f>
        <v/>
      </c>
      <c r="M282" s="145" t="inlineStr">
        <is>
          <t>IS-D20-ACF-HG-C90-DN40</t>
        </is>
      </c>
      <c r="N282" s="18" t="inlineStr">
        <is>
          <t>Instalaciones sanitarias (hidrosanitarias)</t>
        </is>
      </c>
      <c r="O282" s="18" t="inlineStr">
        <is>
          <t>Estimado DION · criterio de mercado Guayaquil 2026 (no verificado en tienda)</t>
        </is>
      </c>
      <c r="P282" s="18" t="inlineStr">
        <is>
          <t>oct-2026 (est.)</t>
        </is>
      </c>
      <c r="Q282" s="18" t="n"/>
    </row>
    <row r="283">
      <c r="A283" s="34" t="n">
        <v>262</v>
      </c>
      <c r="B283" s="35" t="inlineStr">
        <is>
          <t xml:space="preserve">        Codo 45° Hierro Galvanizado 1½"</t>
        </is>
      </c>
      <c r="C283" s="36" t="inlineStr">
        <is>
          <t>Comercial / Industrial</t>
        </is>
      </c>
      <c r="D283" s="34" t="inlineStr">
        <is>
          <t>Codo 45° HG</t>
        </is>
      </c>
      <c r="E283" s="34" t="inlineStr">
        <is>
          <t>U</t>
        </is>
      </c>
      <c r="F283" s="37" t="n">
        <v>2</v>
      </c>
      <c r="G283" s="38" t="n">
        <v>6.1</v>
      </c>
      <c r="H283" s="38" t="n">
        <v>6.34</v>
      </c>
      <c r="I283" s="34" t="inlineStr">
        <is>
          <t>Megametales</t>
        </is>
      </c>
      <c r="J283" s="38" t="n">
        <v>6.77</v>
      </c>
      <c r="K283" s="34" t="inlineStr">
        <is>
          <t>Kywi / Megakywi</t>
        </is>
      </c>
      <c r="L283" s="39">
        <f>F283*G283</f>
        <v/>
      </c>
      <c r="M283" s="149" t="inlineStr">
        <is>
          <t>IS-D20-ACF-HG-C45-DN40</t>
        </is>
      </c>
      <c r="N283" s="34" t="inlineStr">
        <is>
          <t>Instalaciones sanitarias (hidrosanitarias)</t>
        </is>
      </c>
      <c r="O283" s="34" t="inlineStr">
        <is>
          <t>Estimado DION · criterio de mercado Guayaquil 2026 (no verificado en tienda)</t>
        </is>
      </c>
      <c r="P283" s="34" t="inlineStr">
        <is>
          <t>oct-2026 (est.)</t>
        </is>
      </c>
      <c r="Q283" s="34" t="n"/>
    </row>
    <row r="284">
      <c r="A284" s="18" t="n">
        <v>263</v>
      </c>
      <c r="B284" s="19" t="inlineStr">
        <is>
          <t xml:space="preserve">        Tee Hierro Galvanizado 1½"</t>
        </is>
      </c>
      <c r="C284" s="20" t="inlineStr">
        <is>
          <t>Comercial / Industrial</t>
        </is>
      </c>
      <c r="D284" s="18" t="inlineStr">
        <is>
          <t>Tee HG</t>
        </is>
      </c>
      <c r="E284" s="18" t="inlineStr">
        <is>
          <t>U</t>
        </is>
      </c>
      <c r="F284" s="21" t="n">
        <v>2</v>
      </c>
      <c r="G284" s="22" t="n">
        <v>8.23</v>
      </c>
      <c r="H284" s="22" t="n">
        <v>8.56</v>
      </c>
      <c r="I284" s="18" t="inlineStr">
        <is>
          <t>Megametales</t>
        </is>
      </c>
      <c r="J284" s="22" t="n">
        <v>9.050000000000001</v>
      </c>
      <c r="K284" s="18" t="inlineStr">
        <is>
          <t>Ferrisariato</t>
        </is>
      </c>
      <c r="L284" s="8">
        <f>F284*G284</f>
        <v/>
      </c>
      <c r="M284" s="145" t="inlineStr">
        <is>
          <t>IS-D20-ACF-HG-TEE-DN40</t>
        </is>
      </c>
      <c r="N284" s="18" t="inlineStr">
        <is>
          <t>Instalaciones sanitarias (hidrosanitarias)</t>
        </is>
      </c>
      <c r="O284" s="18" t="inlineStr">
        <is>
          <t>Estimado DION · criterio de mercado Guayaquil 2026 (no verificado en tienda)</t>
        </is>
      </c>
      <c r="P284" s="18" t="inlineStr">
        <is>
          <t>oct-2026 (est.)</t>
        </is>
      </c>
      <c r="Q284" s="18" t="n"/>
    </row>
    <row r="285">
      <c r="A285" s="34" t="n">
        <v>264</v>
      </c>
      <c r="B285" s="35" t="inlineStr">
        <is>
          <t xml:space="preserve">        Unión Hierro Galvanizado 1½"</t>
        </is>
      </c>
      <c r="C285" s="36" t="inlineStr">
        <is>
          <t>Comercial / Industrial</t>
        </is>
      </c>
      <c r="D285" s="34" t="inlineStr">
        <is>
          <t>Unión HG</t>
        </is>
      </c>
      <c r="E285" s="34" t="inlineStr">
        <is>
          <t>U</t>
        </is>
      </c>
      <c r="F285" s="37" t="n">
        <v>2</v>
      </c>
      <c r="G285" s="38" t="n">
        <v>4.27</v>
      </c>
      <c r="H285" s="38" t="n">
        <v>4.48</v>
      </c>
      <c r="I285" s="34" t="inlineStr">
        <is>
          <t>Megametales</t>
        </is>
      </c>
      <c r="J285" s="38" t="n">
        <v>4.74</v>
      </c>
      <c r="K285" s="34" t="inlineStr">
        <is>
          <t>Kywi / Megakywi</t>
        </is>
      </c>
      <c r="L285" s="39">
        <f>F285*G285</f>
        <v/>
      </c>
      <c r="M285" s="149" t="inlineStr">
        <is>
          <t>IS-D20-ACF-HG-UNI-DN40</t>
        </is>
      </c>
      <c r="N285" s="34" t="inlineStr">
        <is>
          <t>Instalaciones sanitarias (hidrosanitarias)</t>
        </is>
      </c>
      <c r="O285" s="34" t="inlineStr">
        <is>
          <t>Estimado DION · criterio de mercado Guayaquil 2026 (no verificado en tienda)</t>
        </is>
      </c>
      <c r="P285" s="34" t="inlineStr">
        <is>
          <t>oct-2026 (est.)</t>
        </is>
      </c>
      <c r="Q285" s="34" t="n"/>
    </row>
    <row r="286">
      <c r="A286" s="18" t="n">
        <v>265</v>
      </c>
      <c r="B286" s="19" t="inlineStr">
        <is>
          <t xml:space="preserve">        Neplo / Adaptador Hierro Galvanizado 1½"</t>
        </is>
      </c>
      <c r="C286" s="20" t="inlineStr">
        <is>
          <t>Comercial / Industrial</t>
        </is>
      </c>
      <c r="D286" s="18" t="inlineStr">
        <is>
          <t>Neplo / Adaptador HG</t>
        </is>
      </c>
      <c r="E286" s="18" t="inlineStr">
        <is>
          <t>U</t>
        </is>
      </c>
      <c r="F286" s="21" t="n">
        <v>2</v>
      </c>
      <c r="G286" s="22" t="n">
        <v>4.88</v>
      </c>
      <c r="H286" s="22" t="n">
        <v>5.08</v>
      </c>
      <c r="I286" s="18" t="inlineStr">
        <is>
          <t>Megametales</t>
        </is>
      </c>
      <c r="J286" s="22" t="n">
        <v>5.32</v>
      </c>
      <c r="K286" s="18" t="inlineStr">
        <is>
          <t>Ferrisariato</t>
        </is>
      </c>
      <c r="L286" s="8">
        <f>F286*G286</f>
        <v/>
      </c>
      <c r="M286" s="145" t="inlineStr">
        <is>
          <t>IS-D20-ACF-HG-ADM-DN40</t>
        </is>
      </c>
      <c r="N286" s="18" t="inlineStr">
        <is>
          <t>Instalaciones sanitarias (hidrosanitarias)</t>
        </is>
      </c>
      <c r="O286" s="18" t="inlineStr">
        <is>
          <t>Estimado DION · criterio de mercado Guayaquil 2026 (no verificado en tienda)</t>
        </is>
      </c>
      <c r="P286" s="18" t="inlineStr">
        <is>
          <t>oct-2026 (est.)</t>
        </is>
      </c>
      <c r="Q286" s="18" t="n"/>
    </row>
    <row r="287">
      <c r="A287" s="34" t="n">
        <v>266</v>
      </c>
      <c r="B287" s="35" t="inlineStr">
        <is>
          <t xml:space="preserve">        Universal Hierro Galvanizado 1½"</t>
        </is>
      </c>
      <c r="C287" s="36" t="inlineStr">
        <is>
          <t>Comercial / Industrial</t>
        </is>
      </c>
      <c r="D287" s="34" t="inlineStr">
        <is>
          <t>Universal HG</t>
        </is>
      </c>
      <c r="E287" s="34" t="inlineStr">
        <is>
          <t>U</t>
        </is>
      </c>
      <c r="F287" s="37" t="n">
        <v>2</v>
      </c>
      <c r="G287" s="38" t="n">
        <v>15.86</v>
      </c>
      <c r="H287" s="38" t="n">
        <v>16.34</v>
      </c>
      <c r="I287" s="34" t="inlineStr">
        <is>
          <t>Megametales</t>
        </is>
      </c>
      <c r="J287" s="38" t="n">
        <v>17.45</v>
      </c>
      <c r="K287" s="34" t="inlineStr">
        <is>
          <t>Kywi / Megakywi</t>
        </is>
      </c>
      <c r="L287" s="39">
        <f>F287*G287</f>
        <v/>
      </c>
      <c r="M287" s="149" t="inlineStr">
        <is>
          <t>IS-D20-ACF-HG-UNV-DN40</t>
        </is>
      </c>
      <c r="N287" s="34" t="inlineStr">
        <is>
          <t>Instalaciones sanitarias (hidrosanitarias)</t>
        </is>
      </c>
      <c r="O287" s="34" t="inlineStr">
        <is>
          <t>Estimado DION · criterio de mercado Guayaquil 2026 (no verificado en tienda)</t>
        </is>
      </c>
      <c r="P287" s="34" t="inlineStr">
        <is>
          <t>oct-2026 (est.)</t>
        </is>
      </c>
      <c r="Q287" s="34" t="n"/>
    </row>
    <row r="288">
      <c r="A288" s="18" t="n">
        <v>267</v>
      </c>
      <c r="B288" s="19" t="inlineStr">
        <is>
          <t xml:space="preserve">        Codo 90° Hierro Galvanizado 2"</t>
        </is>
      </c>
      <c r="C288" s="20" t="inlineStr">
        <is>
          <t>Comercial / Industrial</t>
        </is>
      </c>
      <c r="D288" s="18" t="inlineStr">
        <is>
          <t>Codo 90° HG</t>
        </is>
      </c>
      <c r="E288" s="18" t="inlineStr">
        <is>
          <t>U</t>
        </is>
      </c>
      <c r="F288" s="21" t="n">
        <v>2</v>
      </c>
      <c r="G288" s="22" t="n">
        <v>9.6</v>
      </c>
      <c r="H288" s="22" t="n">
        <v>9.890000000000001</v>
      </c>
      <c r="I288" s="18" t="inlineStr">
        <is>
          <t>Megametales</t>
        </is>
      </c>
      <c r="J288" s="22" t="n">
        <v>10.56</v>
      </c>
      <c r="K288" s="18" t="inlineStr">
        <is>
          <t>Ferrisariato</t>
        </is>
      </c>
      <c r="L288" s="8">
        <f>F288*G288</f>
        <v/>
      </c>
      <c r="M288" s="145" t="inlineStr">
        <is>
          <t>IS-D20-ACF-HG-C90-DN50</t>
        </is>
      </c>
      <c r="N288" s="18" t="inlineStr">
        <is>
          <t>Instalaciones sanitarias (hidrosanitarias)</t>
        </is>
      </c>
      <c r="O288" s="18" t="inlineStr">
        <is>
          <t>Estimado DION · criterio de mercado Guayaquil 2026 (no verificado en tienda)</t>
        </is>
      </c>
      <c r="P288" s="18" t="inlineStr">
        <is>
          <t>oct-2026 (est.)</t>
        </is>
      </c>
      <c r="Q288" s="18" t="n"/>
    </row>
    <row r="289">
      <c r="A289" s="34" t="n">
        <v>268</v>
      </c>
      <c r="B289" s="35" t="inlineStr">
        <is>
          <t xml:space="preserve">        Codo 45° Hierro Galvanizado 2"</t>
        </is>
      </c>
      <c r="C289" s="36" t="inlineStr">
        <is>
          <t>Comercial / Industrial</t>
        </is>
      </c>
      <c r="D289" s="34" t="inlineStr">
        <is>
          <t>Codo 45° HG</t>
        </is>
      </c>
      <c r="E289" s="34" t="inlineStr">
        <is>
          <t>U</t>
        </is>
      </c>
      <c r="F289" s="37" t="n">
        <v>2</v>
      </c>
      <c r="G289" s="38" t="n">
        <v>9.6</v>
      </c>
      <c r="H289" s="38" t="n">
        <v>9.98</v>
      </c>
      <c r="I289" s="34" t="inlineStr">
        <is>
          <t>Megametales</t>
        </is>
      </c>
      <c r="J289" s="38" t="n">
        <v>10.27</v>
      </c>
      <c r="K289" s="34" t="inlineStr">
        <is>
          <t>Kywi / Megakywi</t>
        </is>
      </c>
      <c r="L289" s="39">
        <f>F289*G289</f>
        <v/>
      </c>
      <c r="M289" s="149" t="inlineStr">
        <is>
          <t>IS-D20-ACF-HG-C45-DN50</t>
        </is>
      </c>
      <c r="N289" s="34" t="inlineStr">
        <is>
          <t>Instalaciones sanitarias (hidrosanitarias)</t>
        </is>
      </c>
      <c r="O289" s="34" t="inlineStr">
        <is>
          <t>Estimado DION · criterio de mercado Guayaquil 2026 (no verificado en tienda)</t>
        </is>
      </c>
      <c r="P289" s="34" t="inlineStr">
        <is>
          <t>oct-2026 (est.)</t>
        </is>
      </c>
      <c r="Q289" s="34" t="n"/>
    </row>
    <row r="290">
      <c r="A290" s="18" t="n">
        <v>269</v>
      </c>
      <c r="B290" s="19" t="inlineStr">
        <is>
          <t xml:space="preserve">        Tee Hierro Galvanizado 2"</t>
        </is>
      </c>
      <c r="C290" s="20" t="inlineStr">
        <is>
          <t>Comercial / Industrial</t>
        </is>
      </c>
      <c r="D290" s="18" t="inlineStr">
        <is>
          <t>Tee HG</t>
        </is>
      </c>
      <c r="E290" s="18" t="inlineStr">
        <is>
          <t>U</t>
        </is>
      </c>
      <c r="F290" s="21" t="n">
        <v>2</v>
      </c>
      <c r="G290" s="22" t="n">
        <v>12.96</v>
      </c>
      <c r="H290" s="22" t="n">
        <v>13.35</v>
      </c>
      <c r="I290" s="18" t="inlineStr">
        <is>
          <t>Megametales</t>
        </is>
      </c>
      <c r="J290" s="22" t="n">
        <v>14.13</v>
      </c>
      <c r="K290" s="18" t="inlineStr">
        <is>
          <t>Ferrisariato</t>
        </is>
      </c>
      <c r="L290" s="8">
        <f>F290*G290</f>
        <v/>
      </c>
      <c r="M290" s="145" t="inlineStr">
        <is>
          <t>IS-D20-ACF-HG-TEE-DN50</t>
        </is>
      </c>
      <c r="N290" s="18" t="inlineStr">
        <is>
          <t>Instalaciones sanitarias (hidrosanitarias)</t>
        </is>
      </c>
      <c r="O290" s="18" t="inlineStr">
        <is>
          <t>Estimado DION · criterio de mercado Guayaquil 2026 (no verificado en tienda)</t>
        </is>
      </c>
      <c r="P290" s="18" t="inlineStr">
        <is>
          <t>oct-2026 (est.)</t>
        </is>
      </c>
      <c r="Q290" s="18" t="n"/>
    </row>
    <row r="291">
      <c r="A291" s="34" t="n">
        <v>270</v>
      </c>
      <c r="B291" s="35" t="inlineStr">
        <is>
          <t xml:space="preserve">        Unión Hierro Galvanizado 2"</t>
        </is>
      </c>
      <c r="C291" s="36" t="inlineStr">
        <is>
          <t>Comercial / Industrial</t>
        </is>
      </c>
      <c r="D291" s="34" t="inlineStr">
        <is>
          <t>Unión HG</t>
        </is>
      </c>
      <c r="E291" s="34" t="inlineStr">
        <is>
          <t>U</t>
        </is>
      </c>
      <c r="F291" s="37" t="n">
        <v>2</v>
      </c>
      <c r="G291" s="38" t="n">
        <v>6.72</v>
      </c>
      <c r="H291" s="38" t="n">
        <v>7.06</v>
      </c>
      <c r="I291" s="34" t="inlineStr">
        <is>
          <t>Megametales</t>
        </is>
      </c>
      <c r="J291" s="38" t="n">
        <v>7.39</v>
      </c>
      <c r="K291" s="34" t="inlineStr">
        <is>
          <t>Kywi / Megakywi</t>
        </is>
      </c>
      <c r="L291" s="39">
        <f>F291*G291</f>
        <v/>
      </c>
      <c r="M291" s="149" t="inlineStr">
        <is>
          <t>IS-D20-ACF-HG-UNI-DN50</t>
        </is>
      </c>
      <c r="N291" s="34" t="inlineStr">
        <is>
          <t>Instalaciones sanitarias (hidrosanitarias)</t>
        </is>
      </c>
      <c r="O291" s="34" t="inlineStr">
        <is>
          <t>Estimado DION · criterio de mercado Guayaquil 2026 (no verificado en tienda)</t>
        </is>
      </c>
      <c r="P291" s="34" t="inlineStr">
        <is>
          <t>oct-2026 (est.)</t>
        </is>
      </c>
      <c r="Q291" s="34" t="n"/>
    </row>
    <row r="292">
      <c r="A292" s="18" t="n">
        <v>271</v>
      </c>
      <c r="B292" s="19" t="inlineStr">
        <is>
          <t xml:space="preserve">        Neplo / Adaptador Hierro Galvanizado 2"</t>
        </is>
      </c>
      <c r="C292" s="20" t="inlineStr">
        <is>
          <t>Comercial / Industrial</t>
        </is>
      </c>
      <c r="D292" s="18" t="inlineStr">
        <is>
          <t>Neplo / Adaptador HG</t>
        </is>
      </c>
      <c r="E292" s="18" t="inlineStr">
        <is>
          <t>U</t>
        </is>
      </c>
      <c r="F292" s="21" t="n">
        <v>2</v>
      </c>
      <c r="G292" s="22" t="n">
        <v>7.68</v>
      </c>
      <c r="H292" s="22" t="n">
        <v>8.06</v>
      </c>
      <c r="I292" s="18" t="inlineStr">
        <is>
          <t>Megametales</t>
        </is>
      </c>
      <c r="J292" s="22" t="n">
        <v>8.289999999999999</v>
      </c>
      <c r="K292" s="18" t="inlineStr">
        <is>
          <t>Ferrisariato</t>
        </is>
      </c>
      <c r="L292" s="8">
        <f>F292*G292</f>
        <v/>
      </c>
      <c r="M292" s="145" t="inlineStr">
        <is>
          <t>IS-D20-ACF-HG-ADM-DN50</t>
        </is>
      </c>
      <c r="N292" s="18" t="inlineStr">
        <is>
          <t>Instalaciones sanitarias (hidrosanitarias)</t>
        </is>
      </c>
      <c r="O292" s="18" t="inlineStr">
        <is>
          <t>Estimado DION · criterio de mercado Guayaquil 2026 (no verificado en tienda)</t>
        </is>
      </c>
      <c r="P292" s="18" t="inlineStr">
        <is>
          <t>oct-2026 (est.)</t>
        </is>
      </c>
      <c r="Q292" s="18" t="n"/>
    </row>
    <row r="293">
      <c r="A293" s="34" t="n">
        <v>272</v>
      </c>
      <c r="B293" s="35" t="inlineStr">
        <is>
          <t xml:space="preserve">        Universal Hierro Galvanizado 2"</t>
        </is>
      </c>
      <c r="C293" s="36" t="inlineStr">
        <is>
          <t>Comercial / Industrial</t>
        </is>
      </c>
      <c r="D293" s="34" t="inlineStr">
        <is>
          <t>Universal HG</t>
        </is>
      </c>
      <c r="E293" s="34" t="inlineStr">
        <is>
          <t>U</t>
        </is>
      </c>
      <c r="F293" s="37" t="n">
        <v>2</v>
      </c>
      <c r="G293" s="38" t="n">
        <v>24.96</v>
      </c>
      <c r="H293" s="38" t="n">
        <v>26.21</v>
      </c>
      <c r="I293" s="34" t="inlineStr">
        <is>
          <t>Megametales</t>
        </is>
      </c>
      <c r="J293" s="38" t="n">
        <v>26.96</v>
      </c>
      <c r="K293" s="34" t="inlineStr">
        <is>
          <t>Kywi / Megakywi</t>
        </is>
      </c>
      <c r="L293" s="39">
        <f>F293*G293</f>
        <v/>
      </c>
      <c r="M293" s="149" t="inlineStr">
        <is>
          <t>IS-D20-ACF-HG-UNV-DN50</t>
        </is>
      </c>
      <c r="N293" s="34" t="inlineStr">
        <is>
          <t>Instalaciones sanitarias (hidrosanitarias)</t>
        </is>
      </c>
      <c r="O293" s="34" t="inlineStr">
        <is>
          <t>Estimado DION · criterio de mercado Guayaquil 2026 (no verificado en tienda)</t>
        </is>
      </c>
      <c r="P293" s="34" t="inlineStr">
        <is>
          <t>oct-2026 (est.)</t>
        </is>
      </c>
      <c r="Q293" s="34" t="n"/>
    </row>
    <row r="294">
      <c r="A294" s="18" t="n">
        <v>273</v>
      </c>
      <c r="B294" s="19" t="inlineStr">
        <is>
          <t xml:space="preserve">        Codo 90° Hierro Galvanizado 3"</t>
        </is>
      </c>
      <c r="C294" s="20" t="inlineStr">
        <is>
          <t>Comercial / Industrial</t>
        </is>
      </c>
      <c r="D294" s="18" t="inlineStr">
        <is>
          <t>Codo 90° HG</t>
        </is>
      </c>
      <c r="E294" s="18" t="inlineStr">
        <is>
          <t>U</t>
        </is>
      </c>
      <c r="F294" s="21" t="n">
        <v>2</v>
      </c>
      <c r="G294" s="22" t="n">
        <v>28</v>
      </c>
      <c r="H294" s="22" t="n">
        <v>29.12</v>
      </c>
      <c r="I294" s="18" t="inlineStr">
        <is>
          <t>Megametales</t>
        </is>
      </c>
      <c r="J294" s="22" t="n">
        <v>30.8</v>
      </c>
      <c r="K294" s="18" t="inlineStr">
        <is>
          <t>Ferrisariato</t>
        </is>
      </c>
      <c r="L294" s="8">
        <f>F294*G294</f>
        <v/>
      </c>
      <c r="M294" s="145" t="inlineStr">
        <is>
          <t>IS-D20-ACF-HG-C90-DN80</t>
        </is>
      </c>
      <c r="N294" s="18" t="inlineStr">
        <is>
          <t>Instalaciones sanitarias (hidrosanitarias)</t>
        </is>
      </c>
      <c r="O294" s="18" t="inlineStr">
        <is>
          <t>Estimado DION · criterio de mercado Guayaquil 2026 (no verificado en tienda)</t>
        </is>
      </c>
      <c r="P294" s="18" t="inlineStr">
        <is>
          <t>oct-2026 (est.)</t>
        </is>
      </c>
      <c r="Q294" s="18" t="n"/>
    </row>
    <row r="295">
      <c r="A295" s="34" t="n">
        <v>274</v>
      </c>
      <c r="B295" s="35" t="inlineStr">
        <is>
          <t xml:space="preserve">        Codo 45° Hierro Galvanizado 3"</t>
        </is>
      </c>
      <c r="C295" s="36" t="inlineStr">
        <is>
          <t>Comercial / Industrial</t>
        </is>
      </c>
      <c r="D295" s="34" t="inlineStr">
        <is>
          <t>Codo 45° HG</t>
        </is>
      </c>
      <c r="E295" s="34" t="inlineStr">
        <is>
          <t>U</t>
        </is>
      </c>
      <c r="F295" s="37" t="n">
        <v>2</v>
      </c>
      <c r="G295" s="38" t="n">
        <v>28</v>
      </c>
      <c r="H295" s="38" t="n">
        <v>28.84</v>
      </c>
      <c r="I295" s="34" t="inlineStr">
        <is>
          <t>Megametales</t>
        </is>
      </c>
      <c r="J295" s="38" t="n">
        <v>30.52</v>
      </c>
      <c r="K295" s="34" t="inlineStr">
        <is>
          <t>Kywi / Megakywi</t>
        </is>
      </c>
      <c r="L295" s="39">
        <f>F295*G295</f>
        <v/>
      </c>
      <c r="M295" s="149" t="inlineStr">
        <is>
          <t>IS-D20-ACF-HG-C45-DN80</t>
        </is>
      </c>
      <c r="N295" s="34" t="inlineStr">
        <is>
          <t>Instalaciones sanitarias (hidrosanitarias)</t>
        </is>
      </c>
      <c r="O295" s="34" t="inlineStr">
        <is>
          <t>Estimado DION · criterio de mercado Guayaquil 2026 (no verificado en tienda)</t>
        </is>
      </c>
      <c r="P295" s="34" t="inlineStr">
        <is>
          <t>oct-2026 (est.)</t>
        </is>
      </c>
      <c r="Q295" s="34" t="n"/>
    </row>
    <row r="296">
      <c r="A296" s="18" t="n">
        <v>275</v>
      </c>
      <c r="B296" s="19" t="inlineStr">
        <is>
          <t xml:space="preserve">        Tee Hierro Galvanizado 3"</t>
        </is>
      </c>
      <c r="C296" s="20" t="inlineStr">
        <is>
          <t>Comercial / Industrial</t>
        </is>
      </c>
      <c r="D296" s="18" t="inlineStr">
        <is>
          <t>Tee HG</t>
        </is>
      </c>
      <c r="E296" s="18" t="inlineStr">
        <is>
          <t>U</t>
        </is>
      </c>
      <c r="F296" s="21" t="n">
        <v>2</v>
      </c>
      <c r="G296" s="22" t="n">
        <v>37.8</v>
      </c>
      <c r="H296" s="22" t="n">
        <v>39.31</v>
      </c>
      <c r="I296" s="18" t="inlineStr">
        <is>
          <t>Megametales</t>
        </is>
      </c>
      <c r="J296" s="22" t="n">
        <v>41.58</v>
      </c>
      <c r="K296" s="18" t="inlineStr">
        <is>
          <t>Ferrisariato</t>
        </is>
      </c>
      <c r="L296" s="8">
        <f>F296*G296</f>
        <v/>
      </c>
      <c r="M296" s="145" t="inlineStr">
        <is>
          <t>IS-D20-ACF-HG-TEE-DN80</t>
        </is>
      </c>
      <c r="N296" s="18" t="inlineStr">
        <is>
          <t>Instalaciones sanitarias (hidrosanitarias)</t>
        </is>
      </c>
      <c r="O296" s="18" t="inlineStr">
        <is>
          <t>Estimado DION · criterio de mercado Guayaquil 2026 (no verificado en tienda)</t>
        </is>
      </c>
      <c r="P296" s="18" t="inlineStr">
        <is>
          <t>oct-2026 (est.)</t>
        </is>
      </c>
      <c r="Q296" s="18" t="n"/>
    </row>
    <row r="297">
      <c r="A297" s="34" t="n">
        <v>276</v>
      </c>
      <c r="B297" s="35" t="inlineStr">
        <is>
          <t xml:space="preserve">        Unión Hierro Galvanizado 3"</t>
        </is>
      </c>
      <c r="C297" s="36" t="inlineStr">
        <is>
          <t>Comercial / Industrial</t>
        </is>
      </c>
      <c r="D297" s="34" t="inlineStr">
        <is>
          <t>Unión HG</t>
        </is>
      </c>
      <c r="E297" s="34" t="inlineStr">
        <is>
          <t>U</t>
        </is>
      </c>
      <c r="F297" s="37" t="n">
        <v>2</v>
      </c>
      <c r="G297" s="38" t="n">
        <v>19.6</v>
      </c>
      <c r="H297" s="38" t="n">
        <v>20.58</v>
      </c>
      <c r="I297" s="34" t="inlineStr">
        <is>
          <t>Megametales</t>
        </is>
      </c>
      <c r="J297" s="38" t="n">
        <v>21.56</v>
      </c>
      <c r="K297" s="34" t="inlineStr">
        <is>
          <t>Kywi / Megakywi</t>
        </is>
      </c>
      <c r="L297" s="39">
        <f>F297*G297</f>
        <v/>
      </c>
      <c r="M297" s="149" t="inlineStr">
        <is>
          <t>IS-D20-ACF-HG-UNI-DN80</t>
        </is>
      </c>
      <c r="N297" s="34" t="inlineStr">
        <is>
          <t>Instalaciones sanitarias (hidrosanitarias)</t>
        </is>
      </c>
      <c r="O297" s="34" t="inlineStr">
        <is>
          <t>Estimado DION · criterio de mercado Guayaquil 2026 (no verificado en tienda)</t>
        </is>
      </c>
      <c r="P297" s="34" t="inlineStr">
        <is>
          <t>oct-2026 (est.)</t>
        </is>
      </c>
      <c r="Q297" s="34" t="n"/>
    </row>
    <row r="298">
      <c r="A298" s="18" t="n">
        <v>277</v>
      </c>
      <c r="B298" s="19" t="inlineStr">
        <is>
          <t xml:space="preserve">        Neplo / Adaptador Hierro Galvanizado 3"</t>
        </is>
      </c>
      <c r="C298" s="20" t="inlineStr">
        <is>
          <t>Comercial / Industrial</t>
        </is>
      </c>
      <c r="D298" s="18" t="inlineStr">
        <is>
          <t>Neplo / Adaptador HG</t>
        </is>
      </c>
      <c r="E298" s="18" t="inlineStr">
        <is>
          <t>U</t>
        </is>
      </c>
      <c r="F298" s="21" t="n">
        <v>2</v>
      </c>
      <c r="G298" s="22" t="n">
        <v>22.4</v>
      </c>
      <c r="H298" s="22" t="n">
        <v>23.07</v>
      </c>
      <c r="I298" s="18" t="inlineStr">
        <is>
          <t>Megametales</t>
        </is>
      </c>
      <c r="J298" s="22" t="n">
        <v>24.86</v>
      </c>
      <c r="K298" s="18" t="inlineStr">
        <is>
          <t>Ferrisariato</t>
        </is>
      </c>
      <c r="L298" s="8">
        <f>F298*G298</f>
        <v/>
      </c>
      <c r="M298" s="145" t="inlineStr">
        <is>
          <t>IS-D20-ACF-HG-ADM-DN80</t>
        </is>
      </c>
      <c r="N298" s="18" t="inlineStr">
        <is>
          <t>Instalaciones sanitarias (hidrosanitarias)</t>
        </is>
      </c>
      <c r="O298" s="18" t="inlineStr">
        <is>
          <t>Estimado DION · criterio de mercado Guayaquil 2026 (no verificado en tienda)</t>
        </is>
      </c>
      <c r="P298" s="18" t="inlineStr">
        <is>
          <t>oct-2026 (est.)</t>
        </is>
      </c>
      <c r="Q298" s="18" t="n"/>
    </row>
    <row r="299">
      <c r="A299" s="34" t="n">
        <v>278</v>
      </c>
      <c r="B299" s="35" t="inlineStr">
        <is>
          <t xml:space="preserve">        Universal Hierro Galvanizado 3"</t>
        </is>
      </c>
      <c r="C299" s="36" t="inlineStr">
        <is>
          <t>Comercial / Industrial</t>
        </is>
      </c>
      <c r="D299" s="34" t="inlineStr">
        <is>
          <t>Universal HG</t>
        </is>
      </c>
      <c r="E299" s="34" t="inlineStr">
        <is>
          <t>U</t>
        </is>
      </c>
      <c r="F299" s="37" t="n">
        <v>2</v>
      </c>
      <c r="G299" s="38" t="n">
        <v>72.8</v>
      </c>
      <c r="H299" s="38" t="n">
        <v>74.26000000000001</v>
      </c>
      <c r="I299" s="34" t="inlineStr">
        <is>
          <t>Megametales</t>
        </is>
      </c>
      <c r="J299" s="38" t="n">
        <v>78.62</v>
      </c>
      <c r="K299" s="34" t="inlineStr">
        <is>
          <t>Kywi / Megakywi</t>
        </is>
      </c>
      <c r="L299" s="39">
        <f>F299*G299</f>
        <v/>
      </c>
      <c r="M299" s="149" t="inlineStr">
        <is>
          <t>IS-D20-ACF-HG-UNV-DN80</t>
        </is>
      </c>
      <c r="N299" s="34" t="inlineStr">
        <is>
          <t>Instalaciones sanitarias (hidrosanitarias)</t>
        </is>
      </c>
      <c r="O299" s="34" t="inlineStr">
        <is>
          <t>Estimado DION · criterio de mercado Guayaquil 2026 (no verificado en tienda)</t>
        </is>
      </c>
      <c r="P299" s="34" t="inlineStr">
        <is>
          <t>oct-2026 (est.)</t>
        </is>
      </c>
      <c r="Q299" s="34" t="n"/>
    </row>
    <row r="300">
      <c r="A300" s="18" t="n">
        <v>279</v>
      </c>
      <c r="B300" s="19" t="inlineStr">
        <is>
          <t xml:space="preserve">        Codo 90° Hierro Galvanizado 4"</t>
        </is>
      </c>
      <c r="C300" s="20" t="inlineStr">
        <is>
          <t>Comercial / Industrial</t>
        </is>
      </c>
      <c r="D300" s="18" t="inlineStr">
        <is>
          <t>Codo 90° HG</t>
        </is>
      </c>
      <c r="E300" s="18" t="inlineStr">
        <is>
          <t>U</t>
        </is>
      </c>
      <c r="F300" s="21" t="n">
        <v>2</v>
      </c>
      <c r="G300" s="22" t="n">
        <v>48</v>
      </c>
      <c r="H300" s="22" t="n">
        <v>49.44</v>
      </c>
      <c r="I300" s="18" t="inlineStr">
        <is>
          <t>Megametales</t>
        </is>
      </c>
      <c r="J300" s="22" t="n">
        <v>51.84</v>
      </c>
      <c r="K300" s="18" t="inlineStr">
        <is>
          <t>Ferrisariato</t>
        </is>
      </c>
      <c r="L300" s="8">
        <f>F300*G300</f>
        <v/>
      </c>
      <c r="M300" s="145" t="inlineStr">
        <is>
          <t>IS-D20-ACF-HG-C90-DN100</t>
        </is>
      </c>
      <c r="N300" s="18" t="inlineStr">
        <is>
          <t>Instalaciones sanitarias (hidrosanitarias)</t>
        </is>
      </c>
      <c r="O300" s="18" t="inlineStr">
        <is>
          <t>Estimado DION · criterio de mercado Guayaquil 2026 (no verificado en tienda)</t>
        </is>
      </c>
      <c r="P300" s="18" t="inlineStr">
        <is>
          <t>oct-2026 (est.)</t>
        </is>
      </c>
      <c r="Q300" s="18" t="n"/>
    </row>
    <row r="301">
      <c r="A301" s="34" t="n">
        <v>280</v>
      </c>
      <c r="B301" s="35" t="inlineStr">
        <is>
          <t xml:space="preserve">        Codo 45° Hierro Galvanizado 4"</t>
        </is>
      </c>
      <c r="C301" s="36" t="inlineStr">
        <is>
          <t>Comercial / Industrial</t>
        </is>
      </c>
      <c r="D301" s="34" t="inlineStr">
        <is>
          <t>Codo 45° HG</t>
        </is>
      </c>
      <c r="E301" s="34" t="inlineStr">
        <is>
          <t>U</t>
        </is>
      </c>
      <c r="F301" s="37" t="n">
        <v>2</v>
      </c>
      <c r="G301" s="38" t="n">
        <v>48</v>
      </c>
      <c r="H301" s="38" t="n">
        <v>50.4</v>
      </c>
      <c r="I301" s="34" t="inlineStr">
        <is>
          <t>Megametales</t>
        </is>
      </c>
      <c r="J301" s="38" t="n">
        <v>51.36</v>
      </c>
      <c r="K301" s="34" t="inlineStr">
        <is>
          <t>Kywi / Megakywi</t>
        </is>
      </c>
      <c r="L301" s="39">
        <f>F301*G301</f>
        <v/>
      </c>
      <c r="M301" s="149" t="inlineStr">
        <is>
          <t>IS-D20-ACF-HG-C45-DN100</t>
        </is>
      </c>
      <c r="N301" s="34" t="inlineStr">
        <is>
          <t>Instalaciones sanitarias (hidrosanitarias)</t>
        </is>
      </c>
      <c r="O301" s="34" t="inlineStr">
        <is>
          <t>Estimado DION · criterio de mercado Guayaquil 2026 (no verificado en tienda)</t>
        </is>
      </c>
      <c r="P301" s="34" t="inlineStr">
        <is>
          <t>oct-2026 (est.)</t>
        </is>
      </c>
      <c r="Q301" s="34" t="n"/>
    </row>
    <row r="302">
      <c r="A302" s="18" t="n">
        <v>281</v>
      </c>
      <c r="B302" s="19" t="inlineStr">
        <is>
          <t xml:space="preserve">        Tee Hierro Galvanizado 4"</t>
        </is>
      </c>
      <c r="C302" s="20" t="inlineStr">
        <is>
          <t>Comercial / Industrial</t>
        </is>
      </c>
      <c r="D302" s="18" t="inlineStr">
        <is>
          <t>Tee HG</t>
        </is>
      </c>
      <c r="E302" s="18" t="inlineStr">
        <is>
          <t>U</t>
        </is>
      </c>
      <c r="F302" s="21" t="n">
        <v>2</v>
      </c>
      <c r="G302" s="22" t="n">
        <v>64.8</v>
      </c>
      <c r="H302" s="22" t="n">
        <v>66.73999999999999</v>
      </c>
      <c r="I302" s="18" t="inlineStr">
        <is>
          <t>Megametales</t>
        </is>
      </c>
      <c r="J302" s="22" t="n">
        <v>71.93000000000001</v>
      </c>
      <c r="K302" s="18" t="inlineStr">
        <is>
          <t>Ferrisariato</t>
        </is>
      </c>
      <c r="L302" s="8">
        <f>F302*G302</f>
        <v/>
      </c>
      <c r="M302" s="145" t="inlineStr">
        <is>
          <t>IS-D20-ACF-HG-TEE-DN100</t>
        </is>
      </c>
      <c r="N302" s="18" t="inlineStr">
        <is>
          <t>Instalaciones sanitarias (hidrosanitarias)</t>
        </is>
      </c>
      <c r="O302" s="18" t="inlineStr">
        <is>
          <t>Estimado DION · criterio de mercado Guayaquil 2026 (no verificado en tienda)</t>
        </is>
      </c>
      <c r="P302" s="18" t="inlineStr">
        <is>
          <t>oct-2026 (est.)</t>
        </is>
      </c>
      <c r="Q302" s="18" t="n"/>
    </row>
    <row r="303">
      <c r="A303" s="34" t="n">
        <v>282</v>
      </c>
      <c r="B303" s="35" t="inlineStr">
        <is>
          <t xml:space="preserve">        Unión Hierro Galvanizado 4"</t>
        </is>
      </c>
      <c r="C303" s="36" t="inlineStr">
        <is>
          <t>Comercial / Industrial</t>
        </is>
      </c>
      <c r="D303" s="34" t="inlineStr">
        <is>
          <t>Unión HG</t>
        </is>
      </c>
      <c r="E303" s="34" t="inlineStr">
        <is>
          <t>U</t>
        </is>
      </c>
      <c r="F303" s="37" t="n">
        <v>2</v>
      </c>
      <c r="G303" s="38" t="n">
        <v>33.6</v>
      </c>
      <c r="H303" s="38" t="n">
        <v>34.27</v>
      </c>
      <c r="I303" s="34" t="inlineStr">
        <is>
          <t>Megametales</t>
        </is>
      </c>
      <c r="J303" s="38" t="n">
        <v>35.95</v>
      </c>
      <c r="K303" s="34" t="inlineStr">
        <is>
          <t>Kywi / Megakywi</t>
        </is>
      </c>
      <c r="L303" s="39">
        <f>F303*G303</f>
        <v/>
      </c>
      <c r="M303" s="149" t="inlineStr">
        <is>
          <t>IS-D20-ACF-HG-UNI-DN100</t>
        </is>
      </c>
      <c r="N303" s="34" t="inlineStr">
        <is>
          <t>Instalaciones sanitarias (hidrosanitarias)</t>
        </is>
      </c>
      <c r="O303" s="34" t="inlineStr">
        <is>
          <t>Estimado DION · criterio de mercado Guayaquil 2026 (no verificado en tienda)</t>
        </is>
      </c>
      <c r="P303" s="34" t="inlineStr">
        <is>
          <t>oct-2026 (est.)</t>
        </is>
      </c>
      <c r="Q303" s="34" t="n"/>
    </row>
    <row r="304">
      <c r="A304" s="18" t="n">
        <v>283</v>
      </c>
      <c r="B304" s="19" t="inlineStr">
        <is>
          <t xml:space="preserve">        Neplo / Adaptador Hierro Galvanizado 4"</t>
        </is>
      </c>
      <c r="C304" s="20" t="inlineStr">
        <is>
          <t>Comercial / Industrial</t>
        </is>
      </c>
      <c r="D304" s="18" t="inlineStr">
        <is>
          <t>Neplo / Adaptador HG</t>
        </is>
      </c>
      <c r="E304" s="18" t="inlineStr">
        <is>
          <t>U</t>
        </is>
      </c>
      <c r="F304" s="21" t="n">
        <v>2</v>
      </c>
      <c r="G304" s="22" t="n">
        <v>38.4</v>
      </c>
      <c r="H304" s="22" t="n">
        <v>39.17</v>
      </c>
      <c r="I304" s="18" t="inlineStr">
        <is>
          <t>Megametales</t>
        </is>
      </c>
      <c r="J304" s="22" t="n">
        <v>41.86</v>
      </c>
      <c r="K304" s="18" t="inlineStr">
        <is>
          <t>Ferrisariato</t>
        </is>
      </c>
      <c r="L304" s="8">
        <f>F304*G304</f>
        <v/>
      </c>
      <c r="M304" s="145" t="inlineStr">
        <is>
          <t>IS-D20-ACF-HG-ADM-DN100</t>
        </is>
      </c>
      <c r="N304" s="18" t="inlineStr">
        <is>
          <t>Instalaciones sanitarias (hidrosanitarias)</t>
        </is>
      </c>
      <c r="O304" s="18" t="inlineStr">
        <is>
          <t>Estimado DION · criterio de mercado Guayaquil 2026 (no verificado en tienda)</t>
        </is>
      </c>
      <c r="P304" s="18" t="inlineStr">
        <is>
          <t>oct-2026 (est.)</t>
        </is>
      </c>
      <c r="Q304" s="18" t="n"/>
    </row>
    <row r="305">
      <c r="A305" s="34" t="n">
        <v>284</v>
      </c>
      <c r="B305" s="35" t="inlineStr">
        <is>
          <t xml:space="preserve">        Universal Hierro Galvanizado 4"</t>
        </is>
      </c>
      <c r="C305" s="36" t="inlineStr">
        <is>
          <t>Comercial / Industrial</t>
        </is>
      </c>
      <c r="D305" s="34" t="inlineStr">
        <is>
          <t>Universal HG</t>
        </is>
      </c>
      <c r="E305" s="34" t="inlineStr">
        <is>
          <t>U</t>
        </is>
      </c>
      <c r="F305" s="37" t="n">
        <v>2</v>
      </c>
      <c r="G305" s="38" t="n">
        <v>124.8</v>
      </c>
      <c r="H305" s="38" t="n">
        <v>127.3</v>
      </c>
      <c r="I305" s="34" t="inlineStr">
        <is>
          <t>Megametales</t>
        </is>
      </c>
      <c r="J305" s="38" t="n">
        <v>137.28</v>
      </c>
      <c r="K305" s="34" t="inlineStr">
        <is>
          <t>Kywi / Megakywi</t>
        </is>
      </c>
      <c r="L305" s="39">
        <f>F305*G305</f>
        <v/>
      </c>
      <c r="M305" s="149" t="inlineStr">
        <is>
          <t>IS-D20-ACF-HG-UNV-DN100</t>
        </is>
      </c>
      <c r="N305" s="34" t="inlineStr">
        <is>
          <t>Instalaciones sanitarias (hidrosanitarias)</t>
        </is>
      </c>
      <c r="O305" s="34" t="inlineStr">
        <is>
          <t>Estimado DION · criterio de mercado Guayaquil 2026 (no verificado en tienda)</t>
        </is>
      </c>
      <c r="P305" s="34" t="inlineStr">
        <is>
          <t>oct-2026 (est.)</t>
        </is>
      </c>
      <c r="Q305" s="34" t="n"/>
    </row>
    <row r="306">
      <c r="A306" s="18" t="n">
        <v>285</v>
      </c>
      <c r="B306" s="19" t="inlineStr">
        <is>
          <t xml:space="preserve">        Codo 90° Cobre Soldar ½"</t>
        </is>
      </c>
      <c r="C306" s="20" t="inlineStr">
        <is>
          <t>Comercial / Hospitalario</t>
        </is>
      </c>
      <c r="D306" s="18" t="inlineStr">
        <is>
          <t>Codo 90° Cobre</t>
        </is>
      </c>
      <c r="E306" s="18" t="inlineStr">
        <is>
          <t>U</t>
        </is>
      </c>
      <c r="F306" s="21" t="n">
        <v>4</v>
      </c>
      <c r="G306" s="22" t="n">
        <v>0.95</v>
      </c>
      <c r="H306" s="22" t="n">
        <v>1</v>
      </c>
      <c r="I306" s="18" t="inlineStr">
        <is>
          <t>Megametales</t>
        </is>
      </c>
      <c r="J306" s="22" t="n">
        <v>1.02</v>
      </c>
      <c r="K306" s="18" t="inlineStr">
        <is>
          <t>Ferrisariato</t>
        </is>
      </c>
      <c r="L306" s="8">
        <f>F306*G306</f>
        <v/>
      </c>
      <c r="M306" s="145" t="inlineStr">
        <is>
          <t>IS-D20-ACF-COB-C90-DN15</t>
        </is>
      </c>
      <c r="N306" s="18" t="inlineStr">
        <is>
          <t>Instalaciones sanitarias (hidrosanitarias)</t>
        </is>
      </c>
      <c r="O306" s="18" t="inlineStr">
        <is>
          <t>Estimado DION · criterio de mercado Guayaquil 2026 (no verificado en tienda)</t>
        </is>
      </c>
      <c r="P306" s="18" t="inlineStr">
        <is>
          <t>oct-2026 (est.)</t>
        </is>
      </c>
      <c r="Q306" s="18" t="n"/>
    </row>
    <row r="307">
      <c r="A307" s="34" t="n">
        <v>286</v>
      </c>
      <c r="B307" s="35" t="inlineStr">
        <is>
          <t xml:space="preserve">        Codo 45° Cobre Soldar ½"</t>
        </is>
      </c>
      <c r="C307" s="36" t="inlineStr">
        <is>
          <t>Comercial / Hospitalario</t>
        </is>
      </c>
      <c r="D307" s="34" t="inlineStr">
        <is>
          <t>Codo 45° Cobre</t>
        </is>
      </c>
      <c r="E307" s="34" t="inlineStr">
        <is>
          <t>U</t>
        </is>
      </c>
      <c r="F307" s="37" t="n">
        <v>4</v>
      </c>
      <c r="G307" s="38" t="n">
        <v>0.95</v>
      </c>
      <c r="H307" s="38" t="n">
        <v>0.98</v>
      </c>
      <c r="I307" s="34" t="inlineStr">
        <is>
          <t>Megametales</t>
        </is>
      </c>
      <c r="J307" s="38" t="n">
        <v>1.03</v>
      </c>
      <c r="K307" s="34" t="inlineStr">
        <is>
          <t>Kywi / Megakywi</t>
        </is>
      </c>
      <c r="L307" s="39">
        <f>F307*G307</f>
        <v/>
      </c>
      <c r="M307" s="149" t="inlineStr">
        <is>
          <t>IS-D20-ACF-COB-C45-DN15</t>
        </is>
      </c>
      <c r="N307" s="34" t="inlineStr">
        <is>
          <t>Instalaciones sanitarias (hidrosanitarias)</t>
        </is>
      </c>
      <c r="O307" s="34" t="inlineStr">
        <is>
          <t>Estimado DION · criterio de mercado Guayaquil 2026 (no verificado en tienda)</t>
        </is>
      </c>
      <c r="P307" s="34" t="inlineStr">
        <is>
          <t>oct-2026 (est.)</t>
        </is>
      </c>
      <c r="Q307" s="34" t="n"/>
    </row>
    <row r="308">
      <c r="A308" s="18" t="n">
        <v>287</v>
      </c>
      <c r="B308" s="19" t="inlineStr">
        <is>
          <t xml:space="preserve">        Tee Cobre Soldar ½"</t>
        </is>
      </c>
      <c r="C308" s="20" t="inlineStr">
        <is>
          <t>Comercial / Hospitalario</t>
        </is>
      </c>
      <c r="D308" s="18" t="inlineStr">
        <is>
          <t>Tee Cobre</t>
        </is>
      </c>
      <c r="E308" s="18" t="inlineStr">
        <is>
          <t>U</t>
        </is>
      </c>
      <c r="F308" s="21" t="n">
        <v>4</v>
      </c>
      <c r="G308" s="22" t="n">
        <v>1.33</v>
      </c>
      <c r="H308" s="22" t="n">
        <v>1.38</v>
      </c>
      <c r="I308" s="18" t="inlineStr">
        <is>
          <t>Megametales</t>
        </is>
      </c>
      <c r="J308" s="22" t="n">
        <v>1.44</v>
      </c>
      <c r="K308" s="18" t="inlineStr">
        <is>
          <t>Ferrisariato</t>
        </is>
      </c>
      <c r="L308" s="8">
        <f>F308*G308</f>
        <v/>
      </c>
      <c r="M308" s="145" t="inlineStr">
        <is>
          <t>IS-D20-ACF-COB-TEE-DN15</t>
        </is>
      </c>
      <c r="N308" s="18" t="inlineStr">
        <is>
          <t>Instalaciones sanitarias (hidrosanitarias)</t>
        </is>
      </c>
      <c r="O308" s="18" t="inlineStr">
        <is>
          <t>Estimado DION · criterio de mercado Guayaquil 2026 (no verificado en tienda)</t>
        </is>
      </c>
      <c r="P308" s="18" t="inlineStr">
        <is>
          <t>oct-2026 (est.)</t>
        </is>
      </c>
      <c r="Q308" s="18" t="n"/>
    </row>
    <row r="309">
      <c r="A309" s="34" t="n">
        <v>288</v>
      </c>
      <c r="B309" s="35" t="inlineStr">
        <is>
          <t xml:space="preserve">        Codo 90° Cobre Soldar ¾"</t>
        </is>
      </c>
      <c r="C309" s="36" t="inlineStr">
        <is>
          <t>Comercial / Hospitalario</t>
        </is>
      </c>
      <c r="D309" s="34" t="inlineStr">
        <is>
          <t>Codo 90° Cobre</t>
        </is>
      </c>
      <c r="E309" s="34" t="inlineStr">
        <is>
          <t>U</t>
        </is>
      </c>
      <c r="F309" s="37" t="n">
        <v>4</v>
      </c>
      <c r="G309" s="38" t="n">
        <v>2.1</v>
      </c>
      <c r="H309" s="38" t="n">
        <v>2.21</v>
      </c>
      <c r="I309" s="34" t="inlineStr">
        <is>
          <t>Megametales</t>
        </is>
      </c>
      <c r="J309" s="38" t="n">
        <v>2.31</v>
      </c>
      <c r="K309" s="34" t="inlineStr">
        <is>
          <t>Kywi / Megakywi</t>
        </is>
      </c>
      <c r="L309" s="39">
        <f>F309*G309</f>
        <v/>
      </c>
      <c r="M309" s="149" t="inlineStr">
        <is>
          <t>IS-D20-ACF-COB-C90-DN20</t>
        </is>
      </c>
      <c r="N309" s="34" t="inlineStr">
        <is>
          <t>Instalaciones sanitarias (hidrosanitarias)</t>
        </is>
      </c>
      <c r="O309" s="34" t="inlineStr">
        <is>
          <t>Estimado DION · criterio de mercado Guayaquil 2026 (no verificado en tienda)</t>
        </is>
      </c>
      <c r="P309" s="34" t="inlineStr">
        <is>
          <t>oct-2026 (est.)</t>
        </is>
      </c>
      <c r="Q309" s="34" t="n"/>
    </row>
    <row r="310">
      <c r="A310" s="18" t="n">
        <v>289</v>
      </c>
      <c r="B310" s="19" t="inlineStr">
        <is>
          <t xml:space="preserve">        Codo 45° Cobre Soldar ¾"</t>
        </is>
      </c>
      <c r="C310" s="20" t="inlineStr">
        <is>
          <t>Comercial / Hospitalario</t>
        </is>
      </c>
      <c r="D310" s="18" t="inlineStr">
        <is>
          <t>Codo 45° Cobre</t>
        </is>
      </c>
      <c r="E310" s="18" t="inlineStr">
        <is>
          <t>U</t>
        </is>
      </c>
      <c r="F310" s="21" t="n">
        <v>4</v>
      </c>
      <c r="G310" s="22" t="n">
        <v>2.1</v>
      </c>
      <c r="H310" s="22" t="n">
        <v>2.16</v>
      </c>
      <c r="I310" s="18" t="inlineStr">
        <is>
          <t>Megametales</t>
        </is>
      </c>
      <c r="J310" s="22" t="n">
        <v>2.31</v>
      </c>
      <c r="K310" s="18" t="inlineStr">
        <is>
          <t>Ferrisariato</t>
        </is>
      </c>
      <c r="L310" s="8">
        <f>F310*G310</f>
        <v/>
      </c>
      <c r="M310" s="145" t="inlineStr">
        <is>
          <t>IS-D20-ACF-COB-C45-DN20</t>
        </is>
      </c>
      <c r="N310" s="18" t="inlineStr">
        <is>
          <t>Instalaciones sanitarias (hidrosanitarias)</t>
        </is>
      </c>
      <c r="O310" s="18" t="inlineStr">
        <is>
          <t>Estimado DION · criterio de mercado Guayaquil 2026 (no verificado en tienda)</t>
        </is>
      </c>
      <c r="P310" s="18" t="inlineStr">
        <is>
          <t>oct-2026 (est.)</t>
        </is>
      </c>
      <c r="Q310" s="18" t="n"/>
    </row>
    <row r="311">
      <c r="A311" s="34" t="n">
        <v>290</v>
      </c>
      <c r="B311" s="35" t="inlineStr">
        <is>
          <t xml:space="preserve">        Tee Cobre Soldar ¾"</t>
        </is>
      </c>
      <c r="C311" s="36" t="inlineStr">
        <is>
          <t>Comercial / Hospitalario</t>
        </is>
      </c>
      <c r="D311" s="34" t="inlineStr">
        <is>
          <t>Tee Cobre</t>
        </is>
      </c>
      <c r="E311" s="34" t="inlineStr">
        <is>
          <t>U</t>
        </is>
      </c>
      <c r="F311" s="37" t="n">
        <v>4</v>
      </c>
      <c r="G311" s="38" t="n">
        <v>2.94</v>
      </c>
      <c r="H311" s="38" t="n">
        <v>3</v>
      </c>
      <c r="I311" s="34" t="inlineStr">
        <is>
          <t>Megametales</t>
        </is>
      </c>
      <c r="J311" s="38" t="n">
        <v>3.15</v>
      </c>
      <c r="K311" s="34" t="inlineStr">
        <is>
          <t>Kywi / Megakywi</t>
        </is>
      </c>
      <c r="L311" s="39">
        <f>F311*G311</f>
        <v/>
      </c>
      <c r="M311" s="149" t="inlineStr">
        <is>
          <t>IS-D20-ACF-COB-TEE-DN20</t>
        </is>
      </c>
      <c r="N311" s="34" t="inlineStr">
        <is>
          <t>Instalaciones sanitarias (hidrosanitarias)</t>
        </is>
      </c>
      <c r="O311" s="34" t="inlineStr">
        <is>
          <t>Estimado DION · criterio de mercado Guayaquil 2026 (no verificado en tienda)</t>
        </is>
      </c>
      <c r="P311" s="34" t="inlineStr">
        <is>
          <t>oct-2026 (est.)</t>
        </is>
      </c>
      <c r="Q311" s="34" t="n"/>
    </row>
    <row r="312">
      <c r="A312" s="18" t="n">
        <v>291</v>
      </c>
      <c r="B312" s="19" t="inlineStr">
        <is>
          <t xml:space="preserve">        Codo 90° Cobre Soldar 1"</t>
        </is>
      </c>
      <c r="C312" s="20" t="inlineStr">
        <is>
          <t>Comercial / Hospitalario</t>
        </is>
      </c>
      <c r="D312" s="18" t="inlineStr">
        <is>
          <t>Codo 90° Cobre</t>
        </is>
      </c>
      <c r="E312" s="18" t="inlineStr">
        <is>
          <t>U</t>
        </is>
      </c>
      <c r="F312" s="21" t="n">
        <v>4</v>
      </c>
      <c r="G312" s="22" t="n">
        <v>4.5</v>
      </c>
      <c r="H312" s="22" t="n">
        <v>4.68</v>
      </c>
      <c r="I312" s="18" t="inlineStr">
        <is>
          <t>Megametales</t>
        </is>
      </c>
      <c r="J312" s="22" t="n">
        <v>4.95</v>
      </c>
      <c r="K312" s="18" t="inlineStr">
        <is>
          <t>Ferrisariato</t>
        </is>
      </c>
      <c r="L312" s="8">
        <f>F312*G312</f>
        <v/>
      </c>
      <c r="M312" s="145" t="inlineStr">
        <is>
          <t>IS-D20-ACF-COB-C90-DN25</t>
        </is>
      </c>
      <c r="N312" s="18" t="inlineStr">
        <is>
          <t>Instalaciones sanitarias (hidrosanitarias)</t>
        </is>
      </c>
      <c r="O312" s="18" t="inlineStr">
        <is>
          <t>Estimado DION · criterio de mercado Guayaquil 2026 (no verificado en tienda)</t>
        </is>
      </c>
      <c r="P312" s="18" t="inlineStr">
        <is>
          <t>oct-2026 (est.)</t>
        </is>
      </c>
      <c r="Q312" s="18" t="n"/>
    </row>
    <row r="313">
      <c r="A313" s="34" t="n">
        <v>292</v>
      </c>
      <c r="B313" s="35" t="inlineStr">
        <is>
          <t xml:space="preserve">        Codo 45° Cobre Soldar 1"</t>
        </is>
      </c>
      <c r="C313" s="36" t="inlineStr">
        <is>
          <t>Comercial / Hospitalario</t>
        </is>
      </c>
      <c r="D313" s="34" t="inlineStr">
        <is>
          <t>Codo 45° Cobre</t>
        </is>
      </c>
      <c r="E313" s="34" t="inlineStr">
        <is>
          <t>U</t>
        </is>
      </c>
      <c r="F313" s="37" t="n">
        <v>4</v>
      </c>
      <c r="G313" s="38" t="n">
        <v>4.5</v>
      </c>
      <c r="H313" s="38" t="n">
        <v>4.59</v>
      </c>
      <c r="I313" s="34" t="inlineStr">
        <is>
          <t>Megametales</t>
        </is>
      </c>
      <c r="J313" s="38" t="n">
        <v>4.91</v>
      </c>
      <c r="K313" s="34" t="inlineStr">
        <is>
          <t>Kywi / Megakywi</t>
        </is>
      </c>
      <c r="L313" s="39">
        <f>F313*G313</f>
        <v/>
      </c>
      <c r="M313" s="149" t="inlineStr">
        <is>
          <t>IS-D20-ACF-COB-C45-DN25</t>
        </is>
      </c>
      <c r="N313" s="34" t="inlineStr">
        <is>
          <t>Instalaciones sanitarias (hidrosanitarias)</t>
        </is>
      </c>
      <c r="O313" s="34" t="inlineStr">
        <is>
          <t>Estimado DION · criterio de mercado Guayaquil 2026 (no verificado en tienda)</t>
        </is>
      </c>
      <c r="P313" s="34" t="inlineStr">
        <is>
          <t>oct-2026 (est.)</t>
        </is>
      </c>
      <c r="Q313" s="34" t="n"/>
    </row>
    <row r="314">
      <c r="A314" s="18" t="n">
        <v>293</v>
      </c>
      <c r="B314" s="19" t="inlineStr">
        <is>
          <t xml:space="preserve">        Tee Cobre Soldar 1"</t>
        </is>
      </c>
      <c r="C314" s="20" t="inlineStr">
        <is>
          <t>Comercial / Hospitalario</t>
        </is>
      </c>
      <c r="D314" s="18" t="inlineStr">
        <is>
          <t>Tee Cobre</t>
        </is>
      </c>
      <c r="E314" s="18" t="inlineStr">
        <is>
          <t>U</t>
        </is>
      </c>
      <c r="F314" s="21" t="n">
        <v>4</v>
      </c>
      <c r="G314" s="22" t="n">
        <v>6.3</v>
      </c>
      <c r="H314" s="22" t="n">
        <v>6.43</v>
      </c>
      <c r="I314" s="18" t="inlineStr">
        <is>
          <t>Megametales</t>
        </is>
      </c>
      <c r="J314" s="22" t="n">
        <v>6.87</v>
      </c>
      <c r="K314" s="18" t="inlineStr">
        <is>
          <t>Ferrisariato</t>
        </is>
      </c>
      <c r="L314" s="8">
        <f>F314*G314</f>
        <v/>
      </c>
      <c r="M314" s="145" t="inlineStr">
        <is>
          <t>IS-D20-ACF-COB-TEE-DN25</t>
        </is>
      </c>
      <c r="N314" s="18" t="inlineStr">
        <is>
          <t>Instalaciones sanitarias (hidrosanitarias)</t>
        </is>
      </c>
      <c r="O314" s="18" t="inlineStr">
        <is>
          <t>Estimado DION · criterio de mercado Guayaquil 2026 (no verificado en tienda)</t>
        </is>
      </c>
      <c r="P314" s="18" t="inlineStr">
        <is>
          <t>oct-2026 (est.)</t>
        </is>
      </c>
      <c r="Q314" s="18" t="n"/>
    </row>
    <row r="315">
      <c r="A315" s="34" t="n">
        <v>294</v>
      </c>
      <c r="B315" s="35" t="inlineStr">
        <is>
          <t xml:space="preserve">        Válvula Compuerta Bronce ½"</t>
        </is>
      </c>
      <c r="C315" s="36" t="inlineStr">
        <is>
          <t>Residencial / Comercial</t>
        </is>
      </c>
      <c r="D315" s="34" t="inlineStr">
        <is>
          <t>Válvulas</t>
        </is>
      </c>
      <c r="E315" s="34" t="inlineStr">
        <is>
          <t>U</t>
        </is>
      </c>
      <c r="F315" s="37" t="n">
        <v>2</v>
      </c>
      <c r="G315" s="38" t="n">
        <v>9.199999999999999</v>
      </c>
      <c r="H315" s="38" t="n">
        <v>9.380000000000001</v>
      </c>
      <c r="I315" s="34" t="inlineStr">
        <is>
          <t>Megametales</t>
        </is>
      </c>
      <c r="J315" s="38" t="n">
        <v>10.03</v>
      </c>
      <c r="K315" s="34" t="inlineStr">
        <is>
          <t>Kywi / Megakywi</t>
        </is>
      </c>
      <c r="L315" s="39">
        <f>F315*G315</f>
        <v/>
      </c>
      <c r="M315" s="149" t="inlineStr">
        <is>
          <t>IS-D20-VAL-CMP-DN15</t>
        </is>
      </c>
      <c r="N315" s="34" t="inlineStr">
        <is>
          <t>Instalaciones sanitarias (hidrosanitarias)</t>
        </is>
      </c>
      <c r="O315" s="34" t="inlineStr">
        <is>
          <t>Estimado DION · criterio de mercado Guayaquil 2026 (no verificado en tienda)</t>
        </is>
      </c>
      <c r="P315" s="34" t="inlineStr">
        <is>
          <t>oct-2026 (est.)</t>
        </is>
      </c>
      <c r="Q315" s="34" t="n"/>
    </row>
    <row r="316">
      <c r="A316" s="18" t="n">
        <v>295</v>
      </c>
      <c r="B316" s="19" t="inlineStr">
        <is>
          <t xml:space="preserve">        Válvula Compuerta Bronce ¾"</t>
        </is>
      </c>
      <c r="C316" s="20" t="inlineStr">
        <is>
          <t>Residencial / Comercial</t>
        </is>
      </c>
      <c r="D316" s="18" t="inlineStr">
        <is>
          <t>Válvulas</t>
        </is>
      </c>
      <c r="E316" s="18" t="inlineStr">
        <is>
          <t>U</t>
        </is>
      </c>
      <c r="F316" s="21" t="n">
        <v>2</v>
      </c>
      <c r="G316" s="22" t="n">
        <v>12.4</v>
      </c>
      <c r="H316" s="22" t="n">
        <v>12.65</v>
      </c>
      <c r="I316" s="18" t="inlineStr">
        <is>
          <t>Megametales</t>
        </is>
      </c>
      <c r="J316" s="22" t="n">
        <v>13.64</v>
      </c>
      <c r="K316" s="18" t="inlineStr">
        <is>
          <t>Ferrisariato</t>
        </is>
      </c>
      <c r="L316" s="8">
        <f>F316*G316</f>
        <v/>
      </c>
      <c r="M316" s="145" t="inlineStr">
        <is>
          <t>IS-D20-VAL-CMP-DN20</t>
        </is>
      </c>
      <c r="N316" s="18" t="inlineStr">
        <is>
          <t>Instalaciones sanitarias (hidrosanitarias)</t>
        </is>
      </c>
      <c r="O316" s="18" t="inlineStr">
        <is>
          <t>Estimado DION · criterio de mercado Guayaquil 2026 (no verificado en tienda)</t>
        </is>
      </c>
      <c r="P316" s="18" t="inlineStr">
        <is>
          <t>oct-2026 (est.)</t>
        </is>
      </c>
      <c r="Q316" s="18" t="n"/>
    </row>
    <row r="317">
      <c r="A317" s="34" t="n">
        <v>296</v>
      </c>
      <c r="B317" s="35" t="inlineStr">
        <is>
          <t xml:space="preserve">        Válvula Compuerta Bronce 1"</t>
        </is>
      </c>
      <c r="C317" s="36" t="inlineStr">
        <is>
          <t>Residencial / Comercial</t>
        </is>
      </c>
      <c r="D317" s="34" t="inlineStr">
        <is>
          <t>Válvulas</t>
        </is>
      </c>
      <c r="E317" s="34" t="inlineStr">
        <is>
          <t>U</t>
        </is>
      </c>
      <c r="F317" s="37" t="n">
        <v>2</v>
      </c>
      <c r="G317" s="38" t="n">
        <v>17.5</v>
      </c>
      <c r="H317" s="38" t="n">
        <v>18.03</v>
      </c>
      <c r="I317" s="34" t="inlineStr">
        <is>
          <t>Megametales</t>
        </is>
      </c>
      <c r="J317" s="38" t="n">
        <v>19.25</v>
      </c>
      <c r="K317" s="34" t="inlineStr">
        <is>
          <t>Kywi / Megakywi</t>
        </is>
      </c>
      <c r="L317" s="39">
        <f>F317*G317</f>
        <v/>
      </c>
      <c r="M317" s="149" t="inlineStr">
        <is>
          <t>IS-D20-VAL-CMP-DN25</t>
        </is>
      </c>
      <c r="N317" s="34" t="inlineStr">
        <is>
          <t>Instalaciones sanitarias (hidrosanitarias)</t>
        </is>
      </c>
      <c r="O317" s="34" t="inlineStr">
        <is>
          <t>Estimado DION · criterio de mercado Guayaquil 2026 (no verificado en tienda)</t>
        </is>
      </c>
      <c r="P317" s="34" t="inlineStr">
        <is>
          <t>oct-2026 (est.)</t>
        </is>
      </c>
      <c r="Q317" s="34" t="n"/>
    </row>
    <row r="318">
      <c r="A318" s="18" t="n">
        <v>297</v>
      </c>
      <c r="B318" s="19" t="inlineStr">
        <is>
          <t xml:space="preserve">        Válvula Compuerta Bronce 1¼"</t>
        </is>
      </c>
      <c r="C318" s="20" t="inlineStr">
        <is>
          <t>Comercial / Industrial</t>
        </is>
      </c>
      <c r="D318" s="18" t="inlineStr">
        <is>
          <t>Válvulas</t>
        </is>
      </c>
      <c r="E318" s="18" t="inlineStr">
        <is>
          <t>U</t>
        </is>
      </c>
      <c r="F318" s="21" t="n">
        <v>1</v>
      </c>
      <c r="G318" s="22" t="n">
        <v>26.5</v>
      </c>
      <c r="H318" s="22" t="n">
        <v>27.56</v>
      </c>
      <c r="I318" s="18" t="inlineStr">
        <is>
          <t>Megametales</t>
        </is>
      </c>
      <c r="J318" s="22" t="n">
        <v>28.89</v>
      </c>
      <c r="K318" s="18" t="inlineStr">
        <is>
          <t>Ferrisariato</t>
        </is>
      </c>
      <c r="L318" s="8">
        <f>F318*G318</f>
        <v/>
      </c>
      <c r="M318" s="145" t="inlineStr">
        <is>
          <t>IS-D20-VAL-CMP-DN32</t>
        </is>
      </c>
      <c r="N318" s="18" t="inlineStr">
        <is>
          <t>Instalaciones sanitarias (hidrosanitarias)</t>
        </is>
      </c>
      <c r="O318" s="18" t="inlineStr">
        <is>
          <t>Estimado DION · criterio de mercado Guayaquil 2026 (no verificado en tienda)</t>
        </is>
      </c>
      <c r="P318" s="18" t="inlineStr">
        <is>
          <t>oct-2026 (est.)</t>
        </is>
      </c>
      <c r="Q318" s="18" t="n"/>
    </row>
    <row r="319">
      <c r="A319" s="34" t="n">
        <v>298</v>
      </c>
      <c r="B319" s="35" t="inlineStr">
        <is>
          <t xml:space="preserve">        Válvula Compuerta Bronce 1½"</t>
        </is>
      </c>
      <c r="C319" s="36" t="inlineStr">
        <is>
          <t>Comercial / Industrial</t>
        </is>
      </c>
      <c r="D319" s="34" t="inlineStr">
        <is>
          <t>Válvulas</t>
        </is>
      </c>
      <c r="E319" s="34" t="inlineStr">
        <is>
          <t>U</t>
        </is>
      </c>
      <c r="F319" s="37" t="n">
        <v>1</v>
      </c>
      <c r="G319" s="38" t="n">
        <v>34.5</v>
      </c>
      <c r="H319" s="38" t="n">
        <v>35.19</v>
      </c>
      <c r="I319" s="34" t="inlineStr">
        <is>
          <t>Megametales</t>
        </is>
      </c>
      <c r="J319" s="38" t="n">
        <v>37.95</v>
      </c>
      <c r="K319" s="34" t="inlineStr">
        <is>
          <t>Kywi / Megakywi</t>
        </is>
      </c>
      <c r="L319" s="39">
        <f>F319*G319</f>
        <v/>
      </c>
      <c r="M319" s="149" t="inlineStr">
        <is>
          <t>IS-D20-VAL-CMP-DN40</t>
        </is>
      </c>
      <c r="N319" s="34" t="inlineStr">
        <is>
          <t>Instalaciones sanitarias (hidrosanitarias)</t>
        </is>
      </c>
      <c r="O319" s="34" t="inlineStr">
        <is>
          <t>Estimado DION · criterio de mercado Guayaquil 2026 (no verificado en tienda)</t>
        </is>
      </c>
      <c r="P319" s="34" t="inlineStr">
        <is>
          <t>oct-2026 (est.)</t>
        </is>
      </c>
      <c r="Q319" s="34" t="n"/>
    </row>
    <row r="320">
      <c r="A320" s="18" t="n">
        <v>299</v>
      </c>
      <c r="B320" s="19" t="inlineStr">
        <is>
          <t xml:space="preserve">        Válvula Compuerta Bronce 2"</t>
        </is>
      </c>
      <c r="C320" s="20" t="inlineStr">
        <is>
          <t>Comercial / Industrial</t>
        </is>
      </c>
      <c r="D320" s="18" t="inlineStr">
        <is>
          <t>Válvulas</t>
        </is>
      </c>
      <c r="E320" s="18" t="inlineStr">
        <is>
          <t>U</t>
        </is>
      </c>
      <c r="F320" s="21" t="n">
        <v>1</v>
      </c>
      <c r="G320" s="22" t="n">
        <v>53</v>
      </c>
      <c r="H320" s="22" t="n">
        <v>55.65</v>
      </c>
      <c r="I320" s="18" t="inlineStr">
        <is>
          <t>Megametales</t>
        </is>
      </c>
      <c r="J320" s="22" t="n">
        <v>58.3</v>
      </c>
      <c r="K320" s="18" t="inlineStr">
        <is>
          <t>Ferrisariato</t>
        </is>
      </c>
      <c r="L320" s="8">
        <f>F320*G320</f>
        <v/>
      </c>
      <c r="M320" s="145" t="inlineStr">
        <is>
          <t>IS-D20-VAL-CMP-DN50</t>
        </is>
      </c>
      <c r="N320" s="18" t="inlineStr">
        <is>
          <t>Instalaciones sanitarias (hidrosanitarias)</t>
        </is>
      </c>
      <c r="O320" s="18" t="inlineStr">
        <is>
          <t>Estimado DION · criterio de mercado Guayaquil 2026 (no verificado en tienda)</t>
        </is>
      </c>
      <c r="P320" s="18" t="inlineStr">
        <is>
          <t>oct-2026 (est.)</t>
        </is>
      </c>
      <c r="Q320" s="18" t="n"/>
    </row>
    <row r="321">
      <c r="A321" s="34" t="n">
        <v>300</v>
      </c>
      <c r="B321" s="35" t="inlineStr">
        <is>
          <t xml:space="preserve">        Válvula Compuerta Bronce 2½"</t>
        </is>
      </c>
      <c r="C321" s="36" t="inlineStr">
        <is>
          <t>Comercial / Industrial</t>
        </is>
      </c>
      <c r="D321" s="34" t="inlineStr">
        <is>
          <t>Válvulas</t>
        </is>
      </c>
      <c r="E321" s="34" t="inlineStr">
        <is>
          <t>U</t>
        </is>
      </c>
      <c r="F321" s="37" t="n">
        <v>1</v>
      </c>
      <c r="G321" s="38" t="n">
        <v>96</v>
      </c>
      <c r="H321" s="38" t="n">
        <v>99.84</v>
      </c>
      <c r="I321" s="34" t="inlineStr">
        <is>
          <t>Megametales</t>
        </is>
      </c>
      <c r="J321" s="38" t="n">
        <v>102.72</v>
      </c>
      <c r="K321" s="34" t="inlineStr">
        <is>
          <t>Kywi / Megakywi</t>
        </is>
      </c>
      <c r="L321" s="39">
        <f>F321*G321</f>
        <v/>
      </c>
      <c r="M321" s="149" t="inlineStr">
        <is>
          <t>IS-D20-VAL-CMP-DN65</t>
        </is>
      </c>
      <c r="N321" s="34" t="inlineStr">
        <is>
          <t>Instalaciones sanitarias (hidrosanitarias)</t>
        </is>
      </c>
      <c r="O321" s="34" t="inlineStr">
        <is>
          <t>Estimado DION · criterio de mercado Guayaquil 2026 (no verificado en tienda)</t>
        </is>
      </c>
      <c r="P321" s="34" t="inlineStr">
        <is>
          <t>oct-2026 (est.)</t>
        </is>
      </c>
      <c r="Q321" s="34" t="n"/>
    </row>
    <row r="322">
      <c r="A322" s="18" t="n">
        <v>301</v>
      </c>
      <c r="B322" s="19" t="inlineStr">
        <is>
          <t xml:space="preserve">        Válvula Compuerta Bronce 3"</t>
        </is>
      </c>
      <c r="C322" s="20" t="inlineStr">
        <is>
          <t>Comercial / Industrial</t>
        </is>
      </c>
      <c r="D322" s="18" t="inlineStr">
        <is>
          <t>Válvulas</t>
        </is>
      </c>
      <c r="E322" s="18" t="inlineStr">
        <is>
          <t>U</t>
        </is>
      </c>
      <c r="F322" s="21" t="n">
        <v>1</v>
      </c>
      <c r="G322" s="22" t="n">
        <v>138</v>
      </c>
      <c r="H322" s="22" t="n">
        <v>144.9</v>
      </c>
      <c r="I322" s="18" t="inlineStr">
        <is>
          <t>Megametales</t>
        </is>
      </c>
      <c r="J322" s="22" t="n">
        <v>151.8</v>
      </c>
      <c r="K322" s="18" t="inlineStr">
        <is>
          <t>Ferrisariato</t>
        </is>
      </c>
      <c r="L322" s="8">
        <f>F322*G322</f>
        <v/>
      </c>
      <c r="M322" s="145" t="inlineStr">
        <is>
          <t>IS-D20-VAL-CMP-DN80</t>
        </is>
      </c>
      <c r="N322" s="18" t="inlineStr">
        <is>
          <t>Instalaciones sanitarias (hidrosanitarias)</t>
        </is>
      </c>
      <c r="O322" s="18" t="inlineStr">
        <is>
          <t>Estimado DION · criterio de mercado Guayaquil 2026 (no verificado en tienda)</t>
        </is>
      </c>
      <c r="P322" s="18" t="inlineStr">
        <is>
          <t>oct-2026 (est.)</t>
        </is>
      </c>
      <c r="Q322" s="18" t="n"/>
    </row>
    <row r="323">
      <c r="A323" s="34" t="n">
        <v>302</v>
      </c>
      <c r="B323" s="35" t="inlineStr">
        <is>
          <t xml:space="preserve">        Válvula Compuerta Bronce 4"</t>
        </is>
      </c>
      <c r="C323" s="36" t="inlineStr">
        <is>
          <t>Comercial / Industrial</t>
        </is>
      </c>
      <c r="D323" s="34" t="inlineStr">
        <is>
          <t>Válvulas</t>
        </is>
      </c>
      <c r="E323" s="34" t="inlineStr">
        <is>
          <t>U</t>
        </is>
      </c>
      <c r="F323" s="37" t="n">
        <v>1</v>
      </c>
      <c r="G323" s="38" t="n">
        <v>235</v>
      </c>
      <c r="H323" s="38" t="n">
        <v>244.4</v>
      </c>
      <c r="I323" s="34" t="inlineStr">
        <is>
          <t>Megametales</t>
        </is>
      </c>
      <c r="J323" s="38" t="n">
        <v>260.85</v>
      </c>
      <c r="K323" s="34" t="inlineStr">
        <is>
          <t>Kywi / Megakywi</t>
        </is>
      </c>
      <c r="L323" s="39">
        <f>F323*G323</f>
        <v/>
      </c>
      <c r="M323" s="149" t="inlineStr">
        <is>
          <t>IS-D20-VAL-CMP-DN100</t>
        </is>
      </c>
      <c r="N323" s="34" t="inlineStr">
        <is>
          <t>Instalaciones sanitarias (hidrosanitarias)</t>
        </is>
      </c>
      <c r="O323" s="34" t="inlineStr">
        <is>
          <t>Estimado DION · criterio de mercado Guayaquil 2026 (no verificado en tienda)</t>
        </is>
      </c>
      <c r="P323" s="34" t="inlineStr">
        <is>
          <t>oct-2026 (est.)</t>
        </is>
      </c>
      <c r="Q323" s="34" t="n"/>
    </row>
    <row r="324">
      <c r="A324" s="18" t="n">
        <v>303</v>
      </c>
      <c r="B324" s="19" t="inlineStr">
        <is>
          <t xml:space="preserve">        Válvula de Bola Bronce Paso Total ½"</t>
        </is>
      </c>
      <c r="C324" s="20" t="inlineStr">
        <is>
          <t>Residencial / Comercial</t>
        </is>
      </c>
      <c r="D324" s="18" t="inlineStr">
        <is>
          <t>Válvulas</t>
        </is>
      </c>
      <c r="E324" s="18" t="inlineStr">
        <is>
          <t>U</t>
        </is>
      </c>
      <c r="F324" s="21" t="n">
        <v>2</v>
      </c>
      <c r="G324" s="22" t="n">
        <v>7.8</v>
      </c>
      <c r="H324" s="22" t="n">
        <v>8.029999999999999</v>
      </c>
      <c r="I324" s="18" t="inlineStr">
        <is>
          <t>Megametales</t>
        </is>
      </c>
      <c r="J324" s="22" t="n">
        <v>8.58</v>
      </c>
      <c r="K324" s="18" t="inlineStr">
        <is>
          <t>Ferrisariato</t>
        </is>
      </c>
      <c r="L324" s="8">
        <f>F324*G324</f>
        <v/>
      </c>
      <c r="M324" s="145" t="inlineStr">
        <is>
          <t>IS-D20-VAL-BOL-DN15</t>
        </is>
      </c>
      <c r="N324" s="18" t="inlineStr">
        <is>
          <t>Instalaciones sanitarias (hidrosanitarias)</t>
        </is>
      </c>
      <c r="O324" s="18" t="inlineStr">
        <is>
          <t>Estimado DION · criterio de mercado Guayaquil 2026 (no verificado en tienda)</t>
        </is>
      </c>
      <c r="P324" s="18" t="inlineStr">
        <is>
          <t>oct-2026 (est.)</t>
        </is>
      </c>
      <c r="Q324" s="18" t="n"/>
    </row>
    <row r="325">
      <c r="A325" s="34" t="n">
        <v>304</v>
      </c>
      <c r="B325" s="35" t="inlineStr">
        <is>
          <t xml:space="preserve">        Válvula de Bola Bronce Paso Total 1"</t>
        </is>
      </c>
      <c r="C325" s="36" t="inlineStr">
        <is>
          <t>Residencial / Comercial</t>
        </is>
      </c>
      <c r="D325" s="34" t="inlineStr">
        <is>
          <t>Válvulas</t>
        </is>
      </c>
      <c r="E325" s="34" t="inlineStr">
        <is>
          <t>U</t>
        </is>
      </c>
      <c r="F325" s="37" t="n">
        <v>2</v>
      </c>
      <c r="G325" s="38" t="n">
        <v>15.5</v>
      </c>
      <c r="H325" s="38" t="n">
        <v>16.12</v>
      </c>
      <c r="I325" s="34" t="inlineStr">
        <is>
          <t>Megametales</t>
        </is>
      </c>
      <c r="J325" s="38" t="n">
        <v>16.59</v>
      </c>
      <c r="K325" s="34" t="inlineStr">
        <is>
          <t>Kywi / Megakywi</t>
        </is>
      </c>
      <c r="L325" s="39">
        <f>F325*G325</f>
        <v/>
      </c>
      <c r="M325" s="149" t="inlineStr">
        <is>
          <t>IS-D20-VAL-BOL-DN25</t>
        </is>
      </c>
      <c r="N325" s="34" t="inlineStr">
        <is>
          <t>Instalaciones sanitarias (hidrosanitarias)</t>
        </is>
      </c>
      <c r="O325" s="34" t="inlineStr">
        <is>
          <t>Estimado DION · criterio de mercado Guayaquil 2026 (no verificado en tienda)</t>
        </is>
      </c>
      <c r="P325" s="34" t="inlineStr">
        <is>
          <t>oct-2026 (est.)</t>
        </is>
      </c>
      <c r="Q325" s="34" t="n"/>
    </row>
    <row r="326">
      <c r="A326" s="18" t="n">
        <v>305</v>
      </c>
      <c r="B326" s="19" t="inlineStr">
        <is>
          <t xml:space="preserve">        Válvula de Bola Bronce Paso Total 1¼"</t>
        </is>
      </c>
      <c r="C326" s="20" t="inlineStr">
        <is>
          <t>Comercial / Industrial</t>
        </is>
      </c>
      <c r="D326" s="18" t="inlineStr">
        <is>
          <t>Válvulas</t>
        </is>
      </c>
      <c r="E326" s="18" t="inlineStr">
        <is>
          <t>U</t>
        </is>
      </c>
      <c r="F326" s="21" t="n">
        <v>1</v>
      </c>
      <c r="G326" s="22" t="n">
        <v>24</v>
      </c>
      <c r="H326" s="22" t="n">
        <v>24.96</v>
      </c>
      <c r="I326" s="18" t="inlineStr">
        <is>
          <t>Megametales</t>
        </is>
      </c>
      <c r="J326" s="22" t="n">
        <v>26.16</v>
      </c>
      <c r="K326" s="18" t="inlineStr">
        <is>
          <t>Ferrisariato</t>
        </is>
      </c>
      <c r="L326" s="8">
        <f>F326*G326</f>
        <v/>
      </c>
      <c r="M326" s="145" t="inlineStr">
        <is>
          <t>IS-D20-VAL-BOL-DN32</t>
        </is>
      </c>
      <c r="N326" s="18" t="inlineStr">
        <is>
          <t>Instalaciones sanitarias (hidrosanitarias)</t>
        </is>
      </c>
      <c r="O326" s="18" t="inlineStr">
        <is>
          <t>Estimado DION · criterio de mercado Guayaquil 2026 (no verificado en tienda)</t>
        </is>
      </c>
      <c r="P326" s="18" t="inlineStr">
        <is>
          <t>oct-2026 (est.)</t>
        </is>
      </c>
      <c r="Q326" s="18" t="n"/>
    </row>
    <row r="327">
      <c r="A327" s="34" t="n">
        <v>306</v>
      </c>
      <c r="B327" s="35" t="inlineStr">
        <is>
          <t xml:space="preserve">        Válvula de Bola Bronce Paso Total 1½"</t>
        </is>
      </c>
      <c r="C327" s="36" t="inlineStr">
        <is>
          <t>Comercial / Industrial</t>
        </is>
      </c>
      <c r="D327" s="34" t="inlineStr">
        <is>
          <t>Válvulas</t>
        </is>
      </c>
      <c r="E327" s="34" t="inlineStr">
        <is>
          <t>U</t>
        </is>
      </c>
      <c r="F327" s="37" t="n">
        <v>1</v>
      </c>
      <c r="G327" s="38" t="n">
        <v>31</v>
      </c>
      <c r="H327" s="38" t="n">
        <v>31.62</v>
      </c>
      <c r="I327" s="34" t="inlineStr">
        <is>
          <t>Megametales</t>
        </is>
      </c>
      <c r="J327" s="38" t="n">
        <v>34.41</v>
      </c>
      <c r="K327" s="34" t="inlineStr">
        <is>
          <t>Kywi / Megakywi</t>
        </is>
      </c>
      <c r="L327" s="39">
        <f>F327*G327</f>
        <v/>
      </c>
      <c r="M327" s="149" t="inlineStr">
        <is>
          <t>IS-D20-VAL-BOL-DN40</t>
        </is>
      </c>
      <c r="N327" s="34" t="inlineStr">
        <is>
          <t>Instalaciones sanitarias (hidrosanitarias)</t>
        </is>
      </c>
      <c r="O327" s="34" t="inlineStr">
        <is>
          <t>Estimado DION · criterio de mercado Guayaquil 2026 (no verificado en tienda)</t>
        </is>
      </c>
      <c r="P327" s="34" t="inlineStr">
        <is>
          <t>oct-2026 (est.)</t>
        </is>
      </c>
      <c r="Q327" s="34" t="n"/>
    </row>
    <row r="328">
      <c r="A328" s="18" t="n">
        <v>307</v>
      </c>
      <c r="B328" s="19" t="inlineStr">
        <is>
          <t xml:space="preserve">        Válvula de Bola Bronce Paso Total 2"</t>
        </is>
      </c>
      <c r="C328" s="20" t="inlineStr">
        <is>
          <t>Comercial / Industrial</t>
        </is>
      </c>
      <c r="D328" s="18" t="inlineStr">
        <is>
          <t>Válvulas</t>
        </is>
      </c>
      <c r="E328" s="18" t="inlineStr">
        <is>
          <t>U</t>
        </is>
      </c>
      <c r="F328" s="21" t="n">
        <v>1</v>
      </c>
      <c r="G328" s="22" t="n">
        <v>47</v>
      </c>
      <c r="H328" s="22" t="n">
        <v>48.88</v>
      </c>
      <c r="I328" s="18" t="inlineStr">
        <is>
          <t>Megametales</t>
        </is>
      </c>
      <c r="J328" s="22" t="n">
        <v>51.23</v>
      </c>
      <c r="K328" s="18" t="inlineStr">
        <is>
          <t>Ferrisariato</t>
        </is>
      </c>
      <c r="L328" s="8">
        <f>F328*G328</f>
        <v/>
      </c>
      <c r="M328" s="145" t="inlineStr">
        <is>
          <t>IS-D20-VAL-BOL-DN50</t>
        </is>
      </c>
      <c r="N328" s="18" t="inlineStr">
        <is>
          <t>Instalaciones sanitarias (hidrosanitarias)</t>
        </is>
      </c>
      <c r="O328" s="18" t="inlineStr">
        <is>
          <t>Estimado DION · criterio de mercado Guayaquil 2026 (no verificado en tienda)</t>
        </is>
      </c>
      <c r="P328" s="18" t="inlineStr">
        <is>
          <t>oct-2026 (est.)</t>
        </is>
      </c>
      <c r="Q328" s="18" t="n"/>
    </row>
    <row r="329">
      <c r="A329" s="34" t="n">
        <v>308</v>
      </c>
      <c r="B329" s="35" t="inlineStr">
        <is>
          <t xml:space="preserve">        Válvula de Bola Bronce Paso Total 2½"</t>
        </is>
      </c>
      <c r="C329" s="36" t="inlineStr">
        <is>
          <t>Comercial / Industrial</t>
        </is>
      </c>
      <c r="D329" s="34" t="inlineStr">
        <is>
          <t>Válvulas</t>
        </is>
      </c>
      <c r="E329" s="34" t="inlineStr">
        <is>
          <t>U</t>
        </is>
      </c>
      <c r="F329" s="37" t="n">
        <v>1</v>
      </c>
      <c r="G329" s="38" t="n">
        <v>88</v>
      </c>
      <c r="H329" s="38" t="n">
        <v>90.64</v>
      </c>
      <c r="I329" s="34" t="inlineStr">
        <is>
          <t>Megametales</t>
        </is>
      </c>
      <c r="J329" s="38" t="n">
        <v>94.16</v>
      </c>
      <c r="K329" s="34" t="inlineStr">
        <is>
          <t>Kywi / Megakywi</t>
        </is>
      </c>
      <c r="L329" s="39">
        <f>F329*G329</f>
        <v/>
      </c>
      <c r="M329" s="149" t="inlineStr">
        <is>
          <t>IS-D20-VAL-BOL-DN65</t>
        </is>
      </c>
      <c r="N329" s="34" t="inlineStr">
        <is>
          <t>Instalaciones sanitarias (hidrosanitarias)</t>
        </is>
      </c>
      <c r="O329" s="34" t="inlineStr">
        <is>
          <t>Estimado DION · criterio de mercado Guayaquil 2026 (no verificado en tienda)</t>
        </is>
      </c>
      <c r="P329" s="34" t="inlineStr">
        <is>
          <t>oct-2026 (est.)</t>
        </is>
      </c>
      <c r="Q329" s="34" t="n"/>
    </row>
    <row r="330">
      <c r="A330" s="18" t="n">
        <v>309</v>
      </c>
      <c r="B330" s="19" t="inlineStr">
        <is>
          <t xml:space="preserve">        Válvula de Bola Bronce Paso Total 3"</t>
        </is>
      </c>
      <c r="C330" s="20" t="inlineStr">
        <is>
          <t>Comercial / Industrial</t>
        </is>
      </c>
      <c r="D330" s="18" t="inlineStr">
        <is>
          <t>Válvulas</t>
        </is>
      </c>
      <c r="E330" s="18" t="inlineStr">
        <is>
          <t>U</t>
        </is>
      </c>
      <c r="F330" s="21" t="n">
        <v>1</v>
      </c>
      <c r="G330" s="22" t="n">
        <v>128</v>
      </c>
      <c r="H330" s="22" t="n">
        <v>130.56</v>
      </c>
      <c r="I330" s="18" t="inlineStr">
        <is>
          <t>Megametales</t>
        </is>
      </c>
      <c r="J330" s="22" t="n">
        <v>142.08</v>
      </c>
      <c r="K330" s="18" t="inlineStr">
        <is>
          <t>Ferrisariato</t>
        </is>
      </c>
      <c r="L330" s="8">
        <f>F330*G330</f>
        <v/>
      </c>
      <c r="M330" s="145" t="inlineStr">
        <is>
          <t>IS-D20-VAL-BOL-DN80</t>
        </is>
      </c>
      <c r="N330" s="18" t="inlineStr">
        <is>
          <t>Instalaciones sanitarias (hidrosanitarias)</t>
        </is>
      </c>
      <c r="O330" s="18" t="inlineStr">
        <is>
          <t>Estimado DION · criterio de mercado Guayaquil 2026 (no verificado en tienda)</t>
        </is>
      </c>
      <c r="P330" s="18" t="inlineStr">
        <is>
          <t>oct-2026 (est.)</t>
        </is>
      </c>
      <c r="Q330" s="18" t="n"/>
    </row>
    <row r="331">
      <c r="A331" s="34" t="n">
        <v>310</v>
      </c>
      <c r="B331" s="35" t="inlineStr">
        <is>
          <t xml:space="preserve">        Válvula de Bola Bronce Paso Total 4"</t>
        </is>
      </c>
      <c r="C331" s="36" t="inlineStr">
        <is>
          <t>Comercial / Industrial</t>
        </is>
      </c>
      <c r="D331" s="34" t="inlineStr">
        <is>
          <t>Válvulas</t>
        </is>
      </c>
      <c r="E331" s="34" t="inlineStr">
        <is>
          <t>U</t>
        </is>
      </c>
      <c r="F331" s="37" t="n">
        <v>1</v>
      </c>
      <c r="G331" s="38" t="n">
        <v>215</v>
      </c>
      <c r="H331" s="38" t="n">
        <v>225.75</v>
      </c>
      <c r="I331" s="34" t="inlineStr">
        <is>
          <t>Megametales</t>
        </is>
      </c>
      <c r="J331" s="38" t="n">
        <v>238.65</v>
      </c>
      <c r="K331" s="34" t="inlineStr">
        <is>
          <t>Kywi / Megakywi</t>
        </is>
      </c>
      <c r="L331" s="39">
        <f>F331*G331</f>
        <v/>
      </c>
      <c r="M331" s="149" t="inlineStr">
        <is>
          <t>IS-D20-VAL-BOL-DN100</t>
        </is>
      </c>
      <c r="N331" s="34" t="inlineStr">
        <is>
          <t>Instalaciones sanitarias (hidrosanitarias)</t>
        </is>
      </c>
      <c r="O331" s="34" t="inlineStr">
        <is>
          <t>Estimado DION · criterio de mercado Guayaquil 2026 (no verificado en tienda)</t>
        </is>
      </c>
      <c r="P331" s="34" t="inlineStr">
        <is>
          <t>oct-2026 (est.)</t>
        </is>
      </c>
      <c r="Q331" s="34" t="n"/>
    </row>
    <row r="332">
      <c r="A332" s="18" t="n">
        <v>311</v>
      </c>
      <c r="B332" s="19" t="inlineStr">
        <is>
          <t xml:space="preserve">        Válvula Check Bronce Columpio ½"</t>
        </is>
      </c>
      <c r="C332" s="20" t="inlineStr">
        <is>
          <t>Residencial / Comercial</t>
        </is>
      </c>
      <c r="D332" s="18" t="inlineStr">
        <is>
          <t>Válvulas</t>
        </is>
      </c>
      <c r="E332" s="18" t="inlineStr">
        <is>
          <t>U</t>
        </is>
      </c>
      <c r="F332" s="21" t="n">
        <v>2</v>
      </c>
      <c r="G332" s="22" t="n">
        <v>10.5</v>
      </c>
      <c r="H332" s="22" t="n">
        <v>10.92</v>
      </c>
      <c r="I332" s="18" t="inlineStr">
        <is>
          <t>Megametales</t>
        </is>
      </c>
      <c r="J332" s="22" t="n">
        <v>11.66</v>
      </c>
      <c r="K332" s="18" t="inlineStr">
        <is>
          <t>Ferrisariato</t>
        </is>
      </c>
      <c r="L332" s="8">
        <f>F332*G332</f>
        <v/>
      </c>
      <c r="M332" s="145" t="inlineStr">
        <is>
          <t>IS-D20-VAL-CHK-DN15</t>
        </is>
      </c>
      <c r="N332" s="18" t="inlineStr">
        <is>
          <t>Instalaciones sanitarias (hidrosanitarias)</t>
        </is>
      </c>
      <c r="O332" s="18" t="inlineStr">
        <is>
          <t>Estimado DION · criterio de mercado Guayaquil 2026 (no verificado en tienda)</t>
        </is>
      </c>
      <c r="P332" s="18" t="inlineStr">
        <is>
          <t>oct-2026 (est.)</t>
        </is>
      </c>
      <c r="Q332" s="18" t="n"/>
    </row>
    <row r="333">
      <c r="A333" s="34" t="n">
        <v>312</v>
      </c>
      <c r="B333" s="35" t="inlineStr">
        <is>
          <t xml:space="preserve">        Válvula Check Bronce Columpio 1"</t>
        </is>
      </c>
      <c r="C333" s="36" t="inlineStr">
        <is>
          <t>Residencial / Comercial</t>
        </is>
      </c>
      <c r="D333" s="34" t="inlineStr">
        <is>
          <t>Válvulas</t>
        </is>
      </c>
      <c r="E333" s="34" t="inlineStr">
        <is>
          <t>U</t>
        </is>
      </c>
      <c r="F333" s="37" t="n">
        <v>2</v>
      </c>
      <c r="G333" s="38" t="n">
        <v>19.5</v>
      </c>
      <c r="H333" s="38" t="n">
        <v>19.89</v>
      </c>
      <c r="I333" s="34" t="inlineStr">
        <is>
          <t>Megametales</t>
        </is>
      </c>
      <c r="J333" s="38" t="n">
        <v>21.06</v>
      </c>
      <c r="K333" s="34" t="inlineStr">
        <is>
          <t>Kywi / Megakywi</t>
        </is>
      </c>
      <c r="L333" s="39">
        <f>F333*G333</f>
        <v/>
      </c>
      <c r="M333" s="149" t="inlineStr">
        <is>
          <t>IS-D20-VAL-CHK-DN25</t>
        </is>
      </c>
      <c r="N333" s="34" t="inlineStr">
        <is>
          <t>Instalaciones sanitarias (hidrosanitarias)</t>
        </is>
      </c>
      <c r="O333" s="34" t="inlineStr">
        <is>
          <t>Estimado DION · criterio de mercado Guayaquil 2026 (no verificado en tienda)</t>
        </is>
      </c>
      <c r="P333" s="34" t="inlineStr">
        <is>
          <t>oct-2026 (est.)</t>
        </is>
      </c>
      <c r="Q333" s="34" t="n"/>
    </row>
    <row r="334">
      <c r="A334" s="18" t="n">
        <v>313</v>
      </c>
      <c r="B334" s="19" t="inlineStr">
        <is>
          <t xml:space="preserve">        Válvula Check Bronce Columpio 1¼"</t>
        </is>
      </c>
      <c r="C334" s="20" t="inlineStr">
        <is>
          <t>Comercial / Industrial</t>
        </is>
      </c>
      <c r="D334" s="18" t="inlineStr">
        <is>
          <t>Válvulas</t>
        </is>
      </c>
      <c r="E334" s="18" t="inlineStr">
        <is>
          <t>U</t>
        </is>
      </c>
      <c r="F334" s="21" t="n">
        <v>1</v>
      </c>
      <c r="G334" s="22" t="n">
        <v>29</v>
      </c>
      <c r="H334" s="22" t="n">
        <v>29.58</v>
      </c>
      <c r="I334" s="18" t="inlineStr">
        <is>
          <t>Megametales</t>
        </is>
      </c>
      <c r="J334" s="22" t="n">
        <v>31.32</v>
      </c>
      <c r="K334" s="18" t="inlineStr">
        <is>
          <t>Ferrisariato</t>
        </is>
      </c>
      <c r="L334" s="8">
        <f>F334*G334</f>
        <v/>
      </c>
      <c r="M334" s="145" t="inlineStr">
        <is>
          <t>IS-D20-VAL-CHK-DN32</t>
        </is>
      </c>
      <c r="N334" s="18" t="inlineStr">
        <is>
          <t>Instalaciones sanitarias (hidrosanitarias)</t>
        </is>
      </c>
      <c r="O334" s="18" t="inlineStr">
        <is>
          <t>Estimado DION · criterio de mercado Guayaquil 2026 (no verificado en tienda)</t>
        </is>
      </c>
      <c r="P334" s="18" t="inlineStr">
        <is>
          <t>oct-2026 (est.)</t>
        </is>
      </c>
      <c r="Q334" s="18" t="n"/>
    </row>
    <row r="335">
      <c r="A335" s="34" t="n">
        <v>314</v>
      </c>
      <c r="B335" s="35" t="inlineStr">
        <is>
          <t xml:space="preserve">        Válvula Check Bronce Columpio 1½"</t>
        </is>
      </c>
      <c r="C335" s="36" t="inlineStr">
        <is>
          <t>Comercial / Industrial</t>
        </is>
      </c>
      <c r="D335" s="34" t="inlineStr">
        <is>
          <t>Válvulas</t>
        </is>
      </c>
      <c r="E335" s="34" t="inlineStr">
        <is>
          <t>U</t>
        </is>
      </c>
      <c r="F335" s="37" t="n">
        <v>1</v>
      </c>
      <c r="G335" s="38" t="n">
        <v>37</v>
      </c>
      <c r="H335" s="38" t="n">
        <v>38.11</v>
      </c>
      <c r="I335" s="34" t="inlineStr">
        <is>
          <t>Megametales</t>
        </is>
      </c>
      <c r="J335" s="38" t="n">
        <v>40.33</v>
      </c>
      <c r="K335" s="34" t="inlineStr">
        <is>
          <t>Kywi / Megakywi</t>
        </is>
      </c>
      <c r="L335" s="39">
        <f>F335*G335</f>
        <v/>
      </c>
      <c r="M335" s="149" t="inlineStr">
        <is>
          <t>IS-D20-VAL-CHK-DN40</t>
        </is>
      </c>
      <c r="N335" s="34" t="inlineStr">
        <is>
          <t>Instalaciones sanitarias (hidrosanitarias)</t>
        </is>
      </c>
      <c r="O335" s="34" t="inlineStr">
        <is>
          <t>Estimado DION · criterio de mercado Guayaquil 2026 (no verificado en tienda)</t>
        </is>
      </c>
      <c r="P335" s="34" t="inlineStr">
        <is>
          <t>oct-2026 (est.)</t>
        </is>
      </c>
      <c r="Q335" s="34" t="n"/>
    </row>
    <row r="336">
      <c r="A336" s="18" t="n">
        <v>315</v>
      </c>
      <c r="B336" s="19" t="inlineStr">
        <is>
          <t xml:space="preserve">        Válvula Check Bronce Columpio 2"</t>
        </is>
      </c>
      <c r="C336" s="20" t="inlineStr">
        <is>
          <t>Comercial / Industrial</t>
        </is>
      </c>
      <c r="D336" s="18" t="inlineStr">
        <is>
          <t>Válvulas</t>
        </is>
      </c>
      <c r="E336" s="18" t="inlineStr">
        <is>
          <t>U</t>
        </is>
      </c>
      <c r="F336" s="21" t="n">
        <v>1</v>
      </c>
      <c r="G336" s="22" t="n">
        <v>56</v>
      </c>
      <c r="H336" s="22" t="n">
        <v>58.24</v>
      </c>
      <c r="I336" s="18" t="inlineStr">
        <is>
          <t>Megametales</t>
        </is>
      </c>
      <c r="J336" s="22" t="n">
        <v>60.48</v>
      </c>
      <c r="K336" s="18" t="inlineStr">
        <is>
          <t>Ferrisariato</t>
        </is>
      </c>
      <c r="L336" s="8">
        <f>F336*G336</f>
        <v/>
      </c>
      <c r="M336" s="145" t="inlineStr">
        <is>
          <t>IS-D20-VAL-CHK-DN50</t>
        </is>
      </c>
      <c r="N336" s="18" t="inlineStr">
        <is>
          <t>Instalaciones sanitarias (hidrosanitarias)</t>
        </is>
      </c>
      <c r="O336" s="18" t="inlineStr">
        <is>
          <t>Estimado DION · criterio de mercado Guayaquil 2026 (no verificado en tienda)</t>
        </is>
      </c>
      <c r="P336" s="18" t="inlineStr">
        <is>
          <t>oct-2026 (est.)</t>
        </is>
      </c>
      <c r="Q336" s="18" t="n"/>
    </row>
    <row r="337">
      <c r="A337" s="34" t="n">
        <v>316</v>
      </c>
      <c r="B337" s="35" t="inlineStr">
        <is>
          <t xml:space="preserve">        Válvula Check Bronce Columpio 2½"</t>
        </is>
      </c>
      <c r="C337" s="36" t="inlineStr">
        <is>
          <t>Comercial / Industrial</t>
        </is>
      </c>
      <c r="D337" s="34" t="inlineStr">
        <is>
          <t>Válvulas</t>
        </is>
      </c>
      <c r="E337" s="34" t="inlineStr">
        <is>
          <t>U</t>
        </is>
      </c>
      <c r="F337" s="37" t="n">
        <v>1</v>
      </c>
      <c r="G337" s="38" t="n">
        <v>105</v>
      </c>
      <c r="H337" s="38" t="n">
        <v>109.2</v>
      </c>
      <c r="I337" s="34" t="inlineStr">
        <is>
          <t>Megametales</t>
        </is>
      </c>
      <c r="J337" s="38" t="n">
        <v>114.45</v>
      </c>
      <c r="K337" s="34" t="inlineStr">
        <is>
          <t>Kywi / Megakywi</t>
        </is>
      </c>
      <c r="L337" s="39">
        <f>F337*G337</f>
        <v/>
      </c>
      <c r="M337" s="149" t="inlineStr">
        <is>
          <t>IS-D20-VAL-CHK-DN65</t>
        </is>
      </c>
      <c r="N337" s="34" t="inlineStr">
        <is>
          <t>Instalaciones sanitarias (hidrosanitarias)</t>
        </is>
      </c>
      <c r="O337" s="34" t="inlineStr">
        <is>
          <t>Estimado DION · criterio de mercado Guayaquil 2026 (no verificado en tienda)</t>
        </is>
      </c>
      <c r="P337" s="34" t="inlineStr">
        <is>
          <t>oct-2026 (est.)</t>
        </is>
      </c>
      <c r="Q337" s="34" t="n"/>
    </row>
    <row r="338">
      <c r="A338" s="18" t="n">
        <v>317</v>
      </c>
      <c r="B338" s="19" t="inlineStr">
        <is>
          <t xml:space="preserve">        Válvula Check Bronce Columpio 3"</t>
        </is>
      </c>
      <c r="C338" s="20" t="inlineStr">
        <is>
          <t>Comercial / Industrial</t>
        </is>
      </c>
      <c r="D338" s="18" t="inlineStr">
        <is>
          <t>Válvulas</t>
        </is>
      </c>
      <c r="E338" s="18" t="inlineStr">
        <is>
          <t>U</t>
        </is>
      </c>
      <c r="F338" s="21" t="n">
        <v>1</v>
      </c>
      <c r="G338" s="22" t="n">
        <v>150</v>
      </c>
      <c r="H338" s="22" t="n">
        <v>153</v>
      </c>
      <c r="I338" s="18" t="inlineStr">
        <is>
          <t>Megametales</t>
        </is>
      </c>
      <c r="J338" s="22" t="n">
        <v>165</v>
      </c>
      <c r="K338" s="18" t="inlineStr">
        <is>
          <t>Ferrisariato</t>
        </is>
      </c>
      <c r="L338" s="8">
        <f>F338*G338</f>
        <v/>
      </c>
      <c r="M338" s="145" t="inlineStr">
        <is>
          <t>IS-D20-VAL-CHK-DN80</t>
        </is>
      </c>
      <c r="N338" s="18" t="inlineStr">
        <is>
          <t>Instalaciones sanitarias (hidrosanitarias)</t>
        </is>
      </c>
      <c r="O338" s="18" t="inlineStr">
        <is>
          <t>Estimado DION · criterio de mercado Guayaquil 2026 (no verificado en tienda)</t>
        </is>
      </c>
      <c r="P338" s="18" t="inlineStr">
        <is>
          <t>oct-2026 (est.)</t>
        </is>
      </c>
      <c r="Q338" s="18" t="n"/>
    </row>
    <row r="339">
      <c r="A339" s="34" t="n">
        <v>318</v>
      </c>
      <c r="B339" s="35" t="inlineStr">
        <is>
          <t xml:space="preserve">        Válvula Check Bronce Columpio 4"</t>
        </is>
      </c>
      <c r="C339" s="36" t="inlineStr">
        <is>
          <t>Comercial / Industrial</t>
        </is>
      </c>
      <c r="D339" s="34" t="inlineStr">
        <is>
          <t>Válvulas</t>
        </is>
      </c>
      <c r="E339" s="34" t="inlineStr">
        <is>
          <t>U</t>
        </is>
      </c>
      <c r="F339" s="37" t="n">
        <v>1</v>
      </c>
      <c r="G339" s="38" t="n">
        <v>260</v>
      </c>
      <c r="H339" s="38" t="n">
        <v>267.8</v>
      </c>
      <c r="I339" s="34" t="inlineStr">
        <is>
          <t>Megametales</t>
        </is>
      </c>
      <c r="J339" s="38" t="n">
        <v>278.2</v>
      </c>
      <c r="K339" s="34" t="inlineStr">
        <is>
          <t>Kywi / Megakywi</t>
        </is>
      </c>
      <c r="L339" s="39">
        <f>F339*G339</f>
        <v/>
      </c>
      <c r="M339" s="149" t="inlineStr">
        <is>
          <t>IS-D20-VAL-CHK-DN100</t>
        </is>
      </c>
      <c r="N339" s="34" t="inlineStr">
        <is>
          <t>Instalaciones sanitarias (hidrosanitarias)</t>
        </is>
      </c>
      <c r="O339" s="34" t="inlineStr">
        <is>
          <t>Estimado DION · criterio de mercado Guayaquil 2026 (no verificado en tienda)</t>
        </is>
      </c>
      <c r="P339" s="34" t="inlineStr">
        <is>
          <t>oct-2026 (est.)</t>
        </is>
      </c>
      <c r="Q339" s="34" t="n"/>
    </row>
    <row r="340">
      <c r="A340" s="18" t="n">
        <v>319</v>
      </c>
      <c r="B340" s="19" t="inlineStr">
        <is>
          <t xml:space="preserve">        Válvula de Pie con Canastilla 1"</t>
        </is>
      </c>
      <c r="C340" s="20" t="inlineStr">
        <is>
          <t>Residencial / Comercial</t>
        </is>
      </c>
      <c r="D340" s="18" t="inlineStr">
        <is>
          <t>Válvulas de Pie</t>
        </is>
      </c>
      <c r="E340" s="18" t="inlineStr">
        <is>
          <t>U</t>
        </is>
      </c>
      <c r="F340" s="21" t="n">
        <v>1</v>
      </c>
      <c r="G340" s="22" t="n">
        <v>22</v>
      </c>
      <c r="H340" s="22" t="n">
        <v>22.88</v>
      </c>
      <c r="I340" s="18" t="inlineStr">
        <is>
          <t>Megametales</t>
        </is>
      </c>
      <c r="J340" s="22" t="n">
        <v>24.42</v>
      </c>
      <c r="K340" s="18" t="inlineStr">
        <is>
          <t>Ferrisariato</t>
        </is>
      </c>
      <c r="L340" s="8">
        <f>F340*G340</f>
        <v/>
      </c>
      <c r="M340" s="145" t="inlineStr">
        <is>
          <t>IS-D20-VAL-PIE-DN25</t>
        </is>
      </c>
      <c r="N340" s="18" t="inlineStr">
        <is>
          <t>Instalaciones sanitarias (hidrosanitarias)</t>
        </is>
      </c>
      <c r="O340" s="18" t="inlineStr">
        <is>
          <t>Estimado DION · criterio de mercado Guayaquil 2026 (no verificado en tienda)</t>
        </is>
      </c>
      <c r="P340" s="18" t="inlineStr">
        <is>
          <t>oct-2026 (est.)</t>
        </is>
      </c>
      <c r="Q340" s="18" t="n"/>
    </row>
    <row r="341">
      <c r="A341" s="34" t="n">
        <v>320</v>
      </c>
      <c r="B341" s="35" t="inlineStr">
        <is>
          <t xml:space="preserve">        Válvula de Pie con Canastilla 1½"</t>
        </is>
      </c>
      <c r="C341" s="36" t="inlineStr">
        <is>
          <t>Residencial / Comercial</t>
        </is>
      </c>
      <c r="D341" s="34" t="inlineStr">
        <is>
          <t>Válvulas de Pie</t>
        </is>
      </c>
      <c r="E341" s="34" t="inlineStr">
        <is>
          <t>U</t>
        </is>
      </c>
      <c r="F341" s="37" t="n">
        <v>1</v>
      </c>
      <c r="G341" s="38" t="n">
        <v>38</v>
      </c>
      <c r="H341" s="38" t="n">
        <v>39.14</v>
      </c>
      <c r="I341" s="34" t="inlineStr">
        <is>
          <t>Megametales</t>
        </is>
      </c>
      <c r="J341" s="38" t="n">
        <v>41.8</v>
      </c>
      <c r="K341" s="34" t="inlineStr">
        <is>
          <t>Kywi / Megakywi</t>
        </is>
      </c>
      <c r="L341" s="39">
        <f>F341*G341</f>
        <v/>
      </c>
      <c r="M341" s="149" t="inlineStr">
        <is>
          <t>IS-D20-VAL-PIE-DN40</t>
        </is>
      </c>
      <c r="N341" s="34" t="inlineStr">
        <is>
          <t>Instalaciones sanitarias (hidrosanitarias)</t>
        </is>
      </c>
      <c r="O341" s="34" t="inlineStr">
        <is>
          <t>Estimado DION · criterio de mercado Guayaquil 2026 (no verificado en tienda)</t>
        </is>
      </c>
      <c r="P341" s="34" t="inlineStr">
        <is>
          <t>oct-2026 (est.)</t>
        </is>
      </c>
      <c r="Q341" s="34" t="n"/>
    </row>
    <row r="342">
      <c r="A342" s="18" t="n">
        <v>321</v>
      </c>
      <c r="B342" s="19" t="inlineStr">
        <is>
          <t xml:space="preserve">        Válvula de Pie con Canastilla 2"</t>
        </is>
      </c>
      <c r="C342" s="20" t="inlineStr">
        <is>
          <t>Residencial / Comercial</t>
        </is>
      </c>
      <c r="D342" s="18" t="inlineStr">
        <is>
          <t>Válvulas de Pie</t>
        </is>
      </c>
      <c r="E342" s="18" t="inlineStr">
        <is>
          <t>U</t>
        </is>
      </c>
      <c r="F342" s="21" t="n">
        <v>1</v>
      </c>
      <c r="G342" s="22" t="n">
        <v>58</v>
      </c>
      <c r="H342" s="22" t="n">
        <v>59.16</v>
      </c>
      <c r="I342" s="18" t="inlineStr">
        <is>
          <t>Megametales</t>
        </is>
      </c>
      <c r="J342" s="22" t="n">
        <v>64.38</v>
      </c>
      <c r="K342" s="18" t="inlineStr">
        <is>
          <t>Ferrisariato</t>
        </is>
      </c>
      <c r="L342" s="8">
        <f>F342*G342</f>
        <v/>
      </c>
      <c r="M342" s="145" t="inlineStr">
        <is>
          <t>IS-D20-VAL-PIE-DN50</t>
        </is>
      </c>
      <c r="N342" s="18" t="inlineStr">
        <is>
          <t>Instalaciones sanitarias (hidrosanitarias)</t>
        </is>
      </c>
      <c r="O342" s="18" t="inlineStr">
        <is>
          <t>Estimado DION · criterio de mercado Guayaquil 2026 (no verificado en tienda)</t>
        </is>
      </c>
      <c r="P342" s="18" t="inlineStr">
        <is>
          <t>oct-2026 (est.)</t>
        </is>
      </c>
      <c r="Q342" s="18" t="n"/>
    </row>
    <row r="343">
      <c r="A343" s="34" t="n">
        <v>322</v>
      </c>
      <c r="B343" s="35" t="inlineStr">
        <is>
          <t xml:space="preserve">        Válvula de Pie con Canastilla 3"</t>
        </is>
      </c>
      <c r="C343" s="36" t="inlineStr">
        <is>
          <t>Residencial / Comercial</t>
        </is>
      </c>
      <c r="D343" s="34" t="inlineStr">
        <is>
          <t>Válvulas de Pie</t>
        </is>
      </c>
      <c r="E343" s="34" t="inlineStr">
        <is>
          <t>U</t>
        </is>
      </c>
      <c r="F343" s="37" t="n">
        <v>1</v>
      </c>
      <c r="G343" s="38" t="n">
        <v>145</v>
      </c>
      <c r="H343" s="38" t="n">
        <v>150.8</v>
      </c>
      <c r="I343" s="34" t="inlineStr">
        <is>
          <t>Megametales</t>
        </is>
      </c>
      <c r="J343" s="38" t="n">
        <v>155.15</v>
      </c>
      <c r="K343" s="34" t="inlineStr">
        <is>
          <t>Kywi / Megakywi</t>
        </is>
      </c>
      <c r="L343" s="39">
        <f>F343*G343</f>
        <v/>
      </c>
      <c r="M343" s="149" t="inlineStr">
        <is>
          <t>IS-D20-VAL-PIE-DN80</t>
        </is>
      </c>
      <c r="N343" s="34" t="inlineStr">
        <is>
          <t>Instalaciones sanitarias (hidrosanitarias)</t>
        </is>
      </c>
      <c r="O343" s="34" t="inlineStr">
        <is>
          <t>Estimado DION · criterio de mercado Guayaquil 2026 (no verificado en tienda)</t>
        </is>
      </c>
      <c r="P343" s="34" t="inlineStr">
        <is>
          <t>oct-2026 (est.)</t>
        </is>
      </c>
      <c r="Q343" s="34" t="n"/>
    </row>
    <row r="344">
      <c r="A344" s="18" t="n">
        <v>323</v>
      </c>
      <c r="B344" s="19" t="inlineStr">
        <is>
          <t xml:space="preserve">        Válvula Flotadora (Boya) Bronce ½"</t>
        </is>
      </c>
      <c r="C344" s="20" t="inlineStr">
        <is>
          <t>Residencial / Comercial</t>
        </is>
      </c>
      <c r="D344" s="18" t="inlineStr">
        <is>
          <t>Válvulas Flotadoras</t>
        </is>
      </c>
      <c r="E344" s="18" t="inlineStr">
        <is>
          <t>U</t>
        </is>
      </c>
      <c r="F344" s="21" t="n">
        <v>1</v>
      </c>
      <c r="G344" s="22" t="n">
        <v>12.5</v>
      </c>
      <c r="H344" s="22" t="n">
        <v>13</v>
      </c>
      <c r="I344" s="18" t="inlineStr">
        <is>
          <t>Megametales</t>
        </is>
      </c>
      <c r="J344" s="22" t="n">
        <v>13.75</v>
      </c>
      <c r="K344" s="18" t="inlineStr">
        <is>
          <t>Ferrisariato</t>
        </is>
      </c>
      <c r="L344" s="8">
        <f>F344*G344</f>
        <v/>
      </c>
      <c r="M344" s="145" t="inlineStr">
        <is>
          <t>IS-D20-VAL-FLO-DN15</t>
        </is>
      </c>
      <c r="N344" s="18" t="inlineStr">
        <is>
          <t>Instalaciones sanitarias (hidrosanitarias)</t>
        </is>
      </c>
      <c r="O344" s="18" t="inlineStr">
        <is>
          <t>Estimado DION · criterio de mercado Guayaquil 2026 (no verificado en tienda)</t>
        </is>
      </c>
      <c r="P344" s="18" t="inlineStr">
        <is>
          <t>oct-2026 (est.)</t>
        </is>
      </c>
      <c r="Q344" s="18" t="n"/>
    </row>
    <row r="345">
      <c r="A345" s="34" t="n">
        <v>324</v>
      </c>
      <c r="B345" s="35" t="inlineStr">
        <is>
          <t xml:space="preserve">        Válvula Flotadora (Boya) Bronce ¾"</t>
        </is>
      </c>
      <c r="C345" s="36" t="inlineStr">
        <is>
          <t>Residencial / Comercial</t>
        </is>
      </c>
      <c r="D345" s="34" t="inlineStr">
        <is>
          <t>Válvulas Flotadoras</t>
        </is>
      </c>
      <c r="E345" s="34" t="inlineStr">
        <is>
          <t>U</t>
        </is>
      </c>
      <c r="F345" s="37" t="n">
        <v>1</v>
      </c>
      <c r="G345" s="38" t="n">
        <v>14.5</v>
      </c>
      <c r="H345" s="38" t="n">
        <v>15.08</v>
      </c>
      <c r="I345" s="34" t="inlineStr">
        <is>
          <t>Megametales</t>
        </is>
      </c>
      <c r="J345" s="38" t="n">
        <v>15.66</v>
      </c>
      <c r="K345" s="34" t="inlineStr">
        <is>
          <t>Kywi / Megakywi</t>
        </is>
      </c>
      <c r="L345" s="39">
        <f>F345*G345</f>
        <v/>
      </c>
      <c r="M345" s="149" t="inlineStr">
        <is>
          <t>IS-D20-VAL-FLO-DN20</t>
        </is>
      </c>
      <c r="N345" s="34" t="inlineStr">
        <is>
          <t>Instalaciones sanitarias (hidrosanitarias)</t>
        </is>
      </c>
      <c r="O345" s="34" t="inlineStr">
        <is>
          <t>Estimado DION · criterio de mercado Guayaquil 2026 (no verificado en tienda)</t>
        </is>
      </c>
      <c r="P345" s="34" t="inlineStr">
        <is>
          <t>oct-2026 (est.)</t>
        </is>
      </c>
      <c r="Q345" s="34" t="n"/>
    </row>
    <row r="346">
      <c r="A346" s="18" t="n">
        <v>325</v>
      </c>
      <c r="B346" s="19" t="inlineStr">
        <is>
          <t xml:space="preserve">        Válvula Flotadora (Boya) Bronce 1"</t>
        </is>
      </c>
      <c r="C346" s="20" t="inlineStr">
        <is>
          <t>Residencial / Comercial</t>
        </is>
      </c>
      <c r="D346" s="18" t="inlineStr">
        <is>
          <t>Válvulas Flotadoras</t>
        </is>
      </c>
      <c r="E346" s="18" t="inlineStr">
        <is>
          <t>U</t>
        </is>
      </c>
      <c r="F346" s="21" t="n">
        <v>1</v>
      </c>
      <c r="G346" s="22" t="n">
        <v>19.5</v>
      </c>
      <c r="H346" s="22" t="n">
        <v>20.09</v>
      </c>
      <c r="I346" s="18" t="inlineStr">
        <is>
          <t>Megametales</t>
        </is>
      </c>
      <c r="J346" s="22" t="n">
        <v>21.06</v>
      </c>
      <c r="K346" s="18" t="inlineStr">
        <is>
          <t>Ferrisariato</t>
        </is>
      </c>
      <c r="L346" s="8">
        <f>F346*G346</f>
        <v/>
      </c>
      <c r="M346" s="145" t="inlineStr">
        <is>
          <t>IS-D20-VAL-FLO-DN25</t>
        </is>
      </c>
      <c r="N346" s="18" t="inlineStr">
        <is>
          <t>Instalaciones sanitarias (hidrosanitarias)</t>
        </is>
      </c>
      <c r="O346" s="18" t="inlineStr">
        <is>
          <t>Estimado DION · criterio de mercado Guayaquil 2026 (no verificado en tienda)</t>
        </is>
      </c>
      <c r="P346" s="18" t="inlineStr">
        <is>
          <t>oct-2026 (est.)</t>
        </is>
      </c>
      <c r="Q346" s="18" t="n"/>
    </row>
    <row r="347">
      <c r="A347" s="34" t="n">
        <v>326</v>
      </c>
      <c r="B347" s="35" t="inlineStr">
        <is>
          <t xml:space="preserve">        Válvula Flotadora (Boya) Bronce 2"</t>
        </is>
      </c>
      <c r="C347" s="36" t="inlineStr">
        <is>
          <t>Residencial / Comercial</t>
        </is>
      </c>
      <c r="D347" s="34" t="inlineStr">
        <is>
          <t>Válvulas Flotadoras</t>
        </is>
      </c>
      <c r="E347" s="34" t="inlineStr">
        <is>
          <t>U</t>
        </is>
      </c>
      <c r="F347" s="37" t="n">
        <v>1</v>
      </c>
      <c r="G347" s="38" t="n">
        <v>58</v>
      </c>
      <c r="H347" s="38" t="n">
        <v>60.9</v>
      </c>
      <c r="I347" s="34" t="inlineStr">
        <is>
          <t>Megametales</t>
        </is>
      </c>
      <c r="J347" s="38" t="n">
        <v>63.8</v>
      </c>
      <c r="K347" s="34" t="inlineStr">
        <is>
          <t>Kywi / Megakywi</t>
        </is>
      </c>
      <c r="L347" s="39">
        <f>F347*G347</f>
        <v/>
      </c>
      <c r="M347" s="149" t="inlineStr">
        <is>
          <t>IS-D20-VAL-FLO-DN50</t>
        </is>
      </c>
      <c r="N347" s="34" t="inlineStr">
        <is>
          <t>Instalaciones sanitarias (hidrosanitarias)</t>
        </is>
      </c>
      <c r="O347" s="34" t="inlineStr">
        <is>
          <t>Estimado DION · criterio de mercado Guayaquil 2026 (no verificado en tienda)</t>
        </is>
      </c>
      <c r="P347" s="34" t="inlineStr">
        <is>
          <t>oct-2026 (est.)</t>
        </is>
      </c>
      <c r="Q347" s="34" t="n"/>
    </row>
    <row r="348">
      <c r="A348" s="18" t="n">
        <v>327</v>
      </c>
      <c r="B348" s="19" t="inlineStr">
        <is>
          <t xml:space="preserve">        Válvula Reductora de Presión Bronce ½"</t>
        </is>
      </c>
      <c r="C348" s="20" t="inlineStr">
        <is>
          <t>Residencial / Comercial</t>
        </is>
      </c>
      <c r="D348" s="18" t="inlineStr">
        <is>
          <t>Válvulas Reductoras</t>
        </is>
      </c>
      <c r="E348" s="18" t="inlineStr">
        <is>
          <t>U</t>
        </is>
      </c>
      <c r="F348" s="21" t="n">
        <v>1</v>
      </c>
      <c r="G348" s="22" t="n">
        <v>38</v>
      </c>
      <c r="H348" s="22" t="n">
        <v>38.76</v>
      </c>
      <c r="I348" s="18" t="inlineStr">
        <is>
          <t>Megametales</t>
        </is>
      </c>
      <c r="J348" s="22" t="n">
        <v>41.8</v>
      </c>
      <c r="K348" s="18" t="inlineStr">
        <is>
          <t>Ferrisariato</t>
        </is>
      </c>
      <c r="L348" s="8">
        <f>F348*G348</f>
        <v/>
      </c>
      <c r="M348" s="145" t="inlineStr">
        <is>
          <t>IS-D20-VAL-RPR-DN15</t>
        </is>
      </c>
      <c r="N348" s="18" t="inlineStr">
        <is>
          <t>Instalaciones sanitarias (hidrosanitarias)</t>
        </is>
      </c>
      <c r="O348" s="18" t="inlineStr">
        <is>
          <t>Estimado DION · criterio de mercado Guayaquil 2026 (no verificado en tienda)</t>
        </is>
      </c>
      <c r="P348" s="18" t="inlineStr">
        <is>
          <t>oct-2026 (est.)</t>
        </is>
      </c>
      <c r="Q348" s="18" t="n"/>
    </row>
    <row r="349">
      <c r="A349" s="34" t="n">
        <v>328</v>
      </c>
      <c r="B349" s="35" t="inlineStr">
        <is>
          <t xml:space="preserve">        Válvula Reductora de Presión Bronce ¾"</t>
        </is>
      </c>
      <c r="C349" s="36" t="inlineStr">
        <is>
          <t>Residencial / Comercial</t>
        </is>
      </c>
      <c r="D349" s="34" t="inlineStr">
        <is>
          <t>Válvulas Reductoras</t>
        </is>
      </c>
      <c r="E349" s="34" t="inlineStr">
        <is>
          <t>U</t>
        </is>
      </c>
      <c r="F349" s="37" t="n">
        <v>1</v>
      </c>
      <c r="G349" s="38" t="n">
        <v>45</v>
      </c>
      <c r="H349" s="38" t="n">
        <v>47.25</v>
      </c>
      <c r="I349" s="34" t="inlineStr">
        <is>
          <t>Megametales</t>
        </is>
      </c>
      <c r="J349" s="38" t="n">
        <v>48.6</v>
      </c>
      <c r="K349" s="34" t="inlineStr">
        <is>
          <t>Kywi / Megakywi</t>
        </is>
      </c>
      <c r="L349" s="39">
        <f>F349*G349</f>
        <v/>
      </c>
      <c r="M349" s="149" t="inlineStr">
        <is>
          <t>IS-D20-VAL-RPR-DN20</t>
        </is>
      </c>
      <c r="N349" s="34" t="inlineStr">
        <is>
          <t>Instalaciones sanitarias (hidrosanitarias)</t>
        </is>
      </c>
      <c r="O349" s="34" t="inlineStr">
        <is>
          <t>Estimado DION · criterio de mercado Guayaquil 2026 (no verificado en tienda)</t>
        </is>
      </c>
      <c r="P349" s="34" t="inlineStr">
        <is>
          <t>oct-2026 (est.)</t>
        </is>
      </c>
      <c r="Q349" s="34" t="n"/>
    </row>
    <row r="350">
      <c r="A350" s="18" t="n">
        <v>329</v>
      </c>
      <c r="B350" s="19" t="inlineStr">
        <is>
          <t xml:space="preserve">        Válvula Reductora de Presión Bronce 1"</t>
        </is>
      </c>
      <c r="C350" s="20" t="inlineStr">
        <is>
          <t>Residencial / Comercial</t>
        </is>
      </c>
      <c r="D350" s="18" t="inlineStr">
        <is>
          <t>Válvulas Reductoras</t>
        </is>
      </c>
      <c r="E350" s="18" t="inlineStr">
        <is>
          <t>U</t>
        </is>
      </c>
      <c r="F350" s="21" t="n">
        <v>1</v>
      </c>
      <c r="G350" s="22" t="n">
        <v>62</v>
      </c>
      <c r="H350" s="22" t="n">
        <v>63.24</v>
      </c>
      <c r="I350" s="18" t="inlineStr">
        <is>
          <t>Megametales</t>
        </is>
      </c>
      <c r="J350" s="22" t="n">
        <v>67.58</v>
      </c>
      <c r="K350" s="18" t="inlineStr">
        <is>
          <t>Ferrisariato</t>
        </is>
      </c>
      <c r="L350" s="8">
        <f>F350*G350</f>
        <v/>
      </c>
      <c r="M350" s="145" t="inlineStr">
        <is>
          <t>IS-D20-VAL-RPR-DN25</t>
        </is>
      </c>
      <c r="N350" s="18" t="inlineStr">
        <is>
          <t>Instalaciones sanitarias (hidrosanitarias)</t>
        </is>
      </c>
      <c r="O350" s="18" t="inlineStr">
        <is>
          <t>Estimado DION · criterio de mercado Guayaquil 2026 (no verificado en tienda)</t>
        </is>
      </c>
      <c r="P350" s="18" t="inlineStr">
        <is>
          <t>oct-2026 (est.)</t>
        </is>
      </c>
      <c r="Q350" s="18" t="n"/>
    </row>
    <row r="351">
      <c r="A351" s="34" t="n">
        <v>330</v>
      </c>
      <c r="B351" s="35" t="inlineStr">
        <is>
          <t xml:space="preserve">        Válvula Reductora de Presión Bronce 2"</t>
        </is>
      </c>
      <c r="C351" s="36" t="inlineStr">
        <is>
          <t>Residencial / Comercial</t>
        </is>
      </c>
      <c r="D351" s="34" t="inlineStr">
        <is>
          <t>Válvulas Reductoras</t>
        </is>
      </c>
      <c r="E351" s="34" t="inlineStr">
        <is>
          <t>U</t>
        </is>
      </c>
      <c r="F351" s="37" t="n">
        <v>1</v>
      </c>
      <c r="G351" s="38" t="n">
        <v>185</v>
      </c>
      <c r="H351" s="38" t="n">
        <v>188.7</v>
      </c>
      <c r="I351" s="34" t="inlineStr">
        <is>
          <t>Megametales</t>
        </is>
      </c>
      <c r="J351" s="38" t="n">
        <v>199.8</v>
      </c>
      <c r="K351" s="34" t="inlineStr">
        <is>
          <t>Kywi / Megakywi</t>
        </is>
      </c>
      <c r="L351" s="39">
        <f>F351*G351</f>
        <v/>
      </c>
      <c r="M351" s="149" t="inlineStr">
        <is>
          <t>IS-D20-VAL-RPR-DN50</t>
        </is>
      </c>
      <c r="N351" s="34" t="inlineStr">
        <is>
          <t>Instalaciones sanitarias (hidrosanitarias)</t>
        </is>
      </c>
      <c r="O351" s="34" t="inlineStr">
        <is>
          <t>Estimado DION · criterio de mercado Guayaquil 2026 (no verificado en tienda)</t>
        </is>
      </c>
      <c r="P351" s="34" t="inlineStr">
        <is>
          <t>oct-2026 (est.)</t>
        </is>
      </c>
      <c r="Q351" s="34" t="n"/>
    </row>
    <row r="352">
      <c r="A352" s="18" t="n">
        <v>331</v>
      </c>
      <c r="B352" s="19" t="inlineStr">
        <is>
          <t xml:space="preserve">        Válvula de Aire / Ventosa ½"</t>
        </is>
      </c>
      <c r="C352" s="20" t="inlineStr">
        <is>
          <t>Comercial / Industrial</t>
        </is>
      </c>
      <c r="D352" s="18" t="inlineStr">
        <is>
          <t>Válvulas de Aire</t>
        </is>
      </c>
      <c r="E352" s="18" t="inlineStr">
        <is>
          <t>U</t>
        </is>
      </c>
      <c r="F352" s="21" t="n">
        <v>1</v>
      </c>
      <c r="G352" s="22" t="n">
        <v>24</v>
      </c>
      <c r="H352" s="22" t="n">
        <v>24.96</v>
      </c>
      <c r="I352" s="18" t="inlineStr">
        <is>
          <t>Megametales</t>
        </is>
      </c>
      <c r="J352" s="22" t="n">
        <v>26.16</v>
      </c>
      <c r="K352" s="18" t="inlineStr">
        <is>
          <t>Ferrisariato</t>
        </is>
      </c>
      <c r="L352" s="8">
        <f>F352*G352</f>
        <v/>
      </c>
      <c r="M352" s="145" t="inlineStr">
        <is>
          <t>IS-D20-VAL-AIR-DN15</t>
        </is>
      </c>
      <c r="N352" s="18" t="inlineStr">
        <is>
          <t>Instalaciones sanitarias (hidrosanitarias)</t>
        </is>
      </c>
      <c r="O352" s="18" t="inlineStr">
        <is>
          <t>Estimado DION · criterio de mercado Guayaquil 2026 (no verificado en tienda)</t>
        </is>
      </c>
      <c r="P352" s="18" t="inlineStr">
        <is>
          <t>oct-2026 (est.)</t>
        </is>
      </c>
      <c r="Q352" s="18" t="n"/>
    </row>
    <row r="353">
      <c r="A353" s="34" t="n">
        <v>332</v>
      </c>
      <c r="B353" s="35" t="inlineStr">
        <is>
          <t xml:space="preserve">        Válvula de Aire / Ventosa 1"</t>
        </is>
      </c>
      <c r="C353" s="36" t="inlineStr">
        <is>
          <t>Comercial / Industrial</t>
        </is>
      </c>
      <c r="D353" s="34" t="inlineStr">
        <is>
          <t>Válvulas de Aire</t>
        </is>
      </c>
      <c r="E353" s="34" t="inlineStr">
        <is>
          <t>U</t>
        </is>
      </c>
      <c r="F353" s="37" t="n">
        <v>1</v>
      </c>
      <c r="G353" s="38" t="n">
        <v>48</v>
      </c>
      <c r="H353" s="38" t="n">
        <v>50.4</v>
      </c>
      <c r="I353" s="34" t="inlineStr">
        <is>
          <t>Megametales</t>
        </is>
      </c>
      <c r="J353" s="38" t="n">
        <v>51.36</v>
      </c>
      <c r="K353" s="34" t="inlineStr">
        <is>
          <t>Kywi / Megakywi</t>
        </is>
      </c>
      <c r="L353" s="39">
        <f>F353*G353</f>
        <v/>
      </c>
      <c r="M353" s="149" t="inlineStr">
        <is>
          <t>IS-D20-VAL-AIR-DN25</t>
        </is>
      </c>
      <c r="N353" s="34" t="inlineStr">
        <is>
          <t>Instalaciones sanitarias (hidrosanitarias)</t>
        </is>
      </c>
      <c r="O353" s="34" t="inlineStr">
        <is>
          <t>Estimado DION · criterio de mercado Guayaquil 2026 (no verificado en tienda)</t>
        </is>
      </c>
      <c r="P353" s="34" t="inlineStr">
        <is>
          <t>oct-2026 (est.)</t>
        </is>
      </c>
      <c r="Q353" s="34" t="n"/>
    </row>
    <row r="354">
      <c r="A354" s="18" t="n">
        <v>333</v>
      </c>
      <c r="B354" s="19" t="inlineStr">
        <is>
          <t xml:space="preserve">        Electroválvula Solenoide Agua 1" 24VAC</t>
        </is>
      </c>
      <c r="C354" s="20" t="inlineStr">
        <is>
          <t>Comercial / Industrial</t>
        </is>
      </c>
      <c r="D354" s="18" t="inlineStr">
        <is>
          <t>Electroválvulas</t>
        </is>
      </c>
      <c r="E354" s="18" t="inlineStr">
        <is>
          <t>U</t>
        </is>
      </c>
      <c r="F354" s="21" t="n">
        <v>1</v>
      </c>
      <c r="G354" s="22" t="n">
        <v>58</v>
      </c>
      <c r="H354" s="22" t="n">
        <v>59.74</v>
      </c>
      <c r="I354" s="18" t="inlineStr">
        <is>
          <t>Megametales</t>
        </is>
      </c>
      <c r="J354" s="22" t="n">
        <v>63.22</v>
      </c>
      <c r="K354" s="18" t="inlineStr">
        <is>
          <t>Ferrisariato</t>
        </is>
      </c>
      <c r="L354" s="8">
        <f>F354*G354</f>
        <v/>
      </c>
      <c r="M354" s="145" t="inlineStr">
        <is>
          <t>IS-D20-VAL-SOL-DN25</t>
        </is>
      </c>
      <c r="N354" s="18" t="inlineStr">
        <is>
          <t>Instalaciones sanitarias (hidrosanitarias)</t>
        </is>
      </c>
      <c r="O354" s="18" t="inlineStr">
        <is>
          <t>Estimado DION · criterio de mercado Guayaquil 2026 (no verificado en tienda)</t>
        </is>
      </c>
      <c r="P354" s="18" t="inlineStr">
        <is>
          <t>oct-2026 (est.)</t>
        </is>
      </c>
      <c r="Q354" s="18" t="n"/>
    </row>
    <row r="355">
      <c r="A355" s="34" t="n">
        <v>334</v>
      </c>
      <c r="B355" s="35" t="inlineStr">
        <is>
          <t xml:space="preserve">        Válvula Mariposa Wafer con Palanca 3"</t>
        </is>
      </c>
      <c r="C355" s="36" t="inlineStr">
        <is>
          <t>Comercial / Industrial</t>
        </is>
      </c>
      <c r="D355" s="34" t="inlineStr">
        <is>
          <t>Válvulas Mariposa</t>
        </is>
      </c>
      <c r="E355" s="34" t="inlineStr">
        <is>
          <t>U</t>
        </is>
      </c>
      <c r="F355" s="37" t="n">
        <v>1</v>
      </c>
      <c r="G355" s="38" t="n">
        <v>95</v>
      </c>
      <c r="H355" s="38" t="n">
        <v>96.90000000000001</v>
      </c>
      <c r="I355" s="34" t="inlineStr">
        <is>
          <t>Megametales</t>
        </is>
      </c>
      <c r="J355" s="38" t="n">
        <v>105.45</v>
      </c>
      <c r="K355" s="34" t="inlineStr">
        <is>
          <t>Kywi / Megakywi</t>
        </is>
      </c>
      <c r="L355" s="39">
        <f>F355*G355</f>
        <v/>
      </c>
      <c r="M355" s="149" t="inlineStr">
        <is>
          <t>IS-D20-VAL-MAR-DN80</t>
        </is>
      </c>
      <c r="N355" s="34" t="inlineStr">
        <is>
          <t>Instalaciones sanitarias (hidrosanitarias)</t>
        </is>
      </c>
      <c r="O355" s="34" t="inlineStr">
        <is>
          <t>Estimado DION · criterio de mercado Guayaquil 2026 (no verificado en tienda)</t>
        </is>
      </c>
      <c r="P355" s="34" t="inlineStr">
        <is>
          <t>oct-2026 (est.)</t>
        </is>
      </c>
      <c r="Q355" s="34" t="n"/>
    </row>
    <row r="356">
      <c r="A356" s="18" t="n">
        <v>335</v>
      </c>
      <c r="B356" s="19" t="inlineStr">
        <is>
          <t xml:space="preserve">        Válvula Mariposa Wafer con Palanca 4"</t>
        </is>
      </c>
      <c r="C356" s="20" t="inlineStr">
        <is>
          <t>Comercial / Industrial</t>
        </is>
      </c>
      <c r="D356" s="18" t="inlineStr">
        <is>
          <t>Válvulas Mariposa</t>
        </is>
      </c>
      <c r="E356" s="18" t="inlineStr">
        <is>
          <t>U</t>
        </is>
      </c>
      <c r="F356" s="21" t="n">
        <v>1</v>
      </c>
      <c r="G356" s="22" t="n">
        <v>125</v>
      </c>
      <c r="H356" s="22" t="n">
        <v>131.25</v>
      </c>
      <c r="I356" s="18" t="inlineStr">
        <is>
          <t>Megametales</t>
        </is>
      </c>
      <c r="J356" s="22" t="n">
        <v>135</v>
      </c>
      <c r="K356" s="18" t="inlineStr">
        <is>
          <t>Ferrisariato</t>
        </is>
      </c>
      <c r="L356" s="8">
        <f>F356*G356</f>
        <v/>
      </c>
      <c r="M356" s="145" t="inlineStr">
        <is>
          <t>IS-D20-VAL-MAR-DN100</t>
        </is>
      </c>
      <c r="N356" s="18" t="inlineStr">
        <is>
          <t>Instalaciones sanitarias (hidrosanitarias)</t>
        </is>
      </c>
      <c r="O356" s="18" t="inlineStr">
        <is>
          <t>Estimado DION · criterio de mercado Guayaquil 2026 (no verificado en tienda)</t>
        </is>
      </c>
      <c r="P356" s="18" t="inlineStr">
        <is>
          <t>oct-2026 (est.)</t>
        </is>
      </c>
      <c r="Q356" s="18" t="n"/>
    </row>
    <row r="357">
      <c r="A357" s="34" t="n">
        <v>336</v>
      </c>
      <c r="B357" s="35" t="inlineStr">
        <is>
          <t xml:space="preserve">        Filtro en Y (Strainer) Bronce 1"</t>
        </is>
      </c>
      <c r="C357" s="36" t="inlineStr">
        <is>
          <t>Comercial / Industrial</t>
        </is>
      </c>
      <c r="D357" s="34" t="inlineStr">
        <is>
          <t>Filtros Y</t>
        </is>
      </c>
      <c r="E357" s="34" t="inlineStr">
        <is>
          <t>U</t>
        </is>
      </c>
      <c r="F357" s="37" t="n">
        <v>1</v>
      </c>
      <c r="G357" s="38" t="n">
        <v>28</v>
      </c>
      <c r="H357" s="38" t="n">
        <v>28.84</v>
      </c>
      <c r="I357" s="34" t="inlineStr">
        <is>
          <t>Megametales</t>
        </is>
      </c>
      <c r="J357" s="38" t="n">
        <v>29.96</v>
      </c>
      <c r="K357" s="34" t="inlineStr">
        <is>
          <t>Kywi / Megakywi</t>
        </is>
      </c>
      <c r="L357" s="39">
        <f>F357*G357</f>
        <v/>
      </c>
      <c r="M357" s="149" t="inlineStr">
        <is>
          <t>IS-D20-VAL-FIY-DN25</t>
        </is>
      </c>
      <c r="N357" s="34" t="inlineStr">
        <is>
          <t>Instalaciones sanitarias (hidrosanitarias)</t>
        </is>
      </c>
      <c r="O357" s="34" t="inlineStr">
        <is>
          <t>Estimado DION · criterio de mercado Guayaquil 2026 (no verificado en tienda)</t>
        </is>
      </c>
      <c r="P357" s="34" t="inlineStr">
        <is>
          <t>oct-2026 (est.)</t>
        </is>
      </c>
      <c r="Q357" s="34" t="n"/>
    </row>
    <row r="358">
      <c r="A358" s="18" t="n">
        <v>337</v>
      </c>
      <c r="B358" s="19" t="inlineStr">
        <is>
          <t xml:space="preserve">        Manómetro Glicerina 0-100 PSI ¼"</t>
        </is>
      </c>
      <c r="C358" s="20" t="inlineStr">
        <is>
          <t>Residencial / Comercial / Ind</t>
        </is>
      </c>
      <c r="D358" s="18" t="inlineStr">
        <is>
          <t>Manómetros</t>
        </is>
      </c>
      <c r="E358" s="18" t="inlineStr">
        <is>
          <t>U</t>
        </is>
      </c>
      <c r="F358" s="21" t="n">
        <v>2</v>
      </c>
      <c r="G358" s="22" t="n">
        <v>9.5</v>
      </c>
      <c r="H358" s="22" t="n">
        <v>9.789999999999999</v>
      </c>
      <c r="I358" s="18" t="inlineStr">
        <is>
          <t>Megametales</t>
        </is>
      </c>
      <c r="J358" s="22" t="n">
        <v>10.36</v>
      </c>
      <c r="K358" s="18" t="inlineStr">
        <is>
          <t>Ferrisariato</t>
        </is>
      </c>
      <c r="L358" s="8">
        <f>F358*G358</f>
        <v/>
      </c>
      <c r="M358" s="145" t="inlineStr">
        <is>
          <t>IS-D20-VAL-MAN-100PSI</t>
        </is>
      </c>
      <c r="N358" s="18" t="inlineStr">
        <is>
          <t>Instalaciones sanitarias (hidrosanitarias)</t>
        </is>
      </c>
      <c r="O358" s="18" t="inlineStr">
        <is>
          <t>Estimado DION · criterio de mercado Guayaquil 2026 (no verificado en tienda)</t>
        </is>
      </c>
      <c r="P358" s="18" t="inlineStr">
        <is>
          <t>oct-2026 (est.)</t>
        </is>
      </c>
      <c r="Q358" s="18" t="n"/>
    </row>
    <row r="359">
      <c r="A359" s="34" t="n">
        <v>338</v>
      </c>
      <c r="B359" s="35" t="inlineStr">
        <is>
          <t xml:space="preserve">        Junta Flexible / Antivibratoria Caucho 2"</t>
        </is>
      </c>
      <c r="C359" s="36" t="inlineStr">
        <is>
          <t>Comercial / Industrial</t>
        </is>
      </c>
      <c r="D359" s="34" t="inlineStr">
        <is>
          <t>Juntas Flexibles</t>
        </is>
      </c>
      <c r="E359" s="34" t="inlineStr">
        <is>
          <t>U</t>
        </is>
      </c>
      <c r="F359" s="37" t="n">
        <v>2</v>
      </c>
      <c r="G359" s="38" t="n">
        <v>42</v>
      </c>
      <c r="H359" s="38" t="n">
        <v>42.84</v>
      </c>
      <c r="I359" s="34" t="inlineStr">
        <is>
          <t>Megametales</t>
        </is>
      </c>
      <c r="J359" s="38" t="n">
        <v>46.62</v>
      </c>
      <c r="K359" s="34" t="inlineStr">
        <is>
          <t>Kywi / Megakywi</t>
        </is>
      </c>
      <c r="L359" s="39">
        <f>F359*G359</f>
        <v/>
      </c>
      <c r="M359" s="149" t="inlineStr">
        <is>
          <t>IS-D20-VAL-JFX-DN50</t>
        </is>
      </c>
      <c r="N359" s="34" t="inlineStr">
        <is>
          <t>Instalaciones sanitarias (hidrosanitarias)</t>
        </is>
      </c>
      <c r="O359" s="34" t="inlineStr">
        <is>
          <t>Estimado DION · criterio de mercado Guayaquil 2026 (no verificado en tienda)</t>
        </is>
      </c>
      <c r="P359" s="34" t="inlineStr">
        <is>
          <t>oct-2026 (est.)</t>
        </is>
      </c>
      <c r="Q359" s="34" t="n"/>
    </row>
    <row r="360">
      <c r="A360" s="31" t="inlineStr">
        <is>
          <t>EQUIPOS ESPECIALIZADOS</t>
        </is>
      </c>
      <c r="B360" s="143" t="n"/>
      <c r="C360" s="143" t="n"/>
      <c r="D360" s="143" t="n"/>
      <c r="E360" s="143" t="n"/>
      <c r="F360" s="143" t="n"/>
      <c r="G360" s="143" t="n"/>
      <c r="H360" s="143" t="n"/>
      <c r="I360" s="143" t="n"/>
      <c r="J360" s="143" t="n"/>
      <c r="K360" s="143" t="n"/>
      <c r="L360" s="143" t="n"/>
      <c r="M360" s="143" t="n"/>
      <c r="N360" s="143" t="n"/>
      <c r="O360" s="143" t="n"/>
      <c r="P360" s="143" t="n"/>
      <c r="Q360" s="144" t="n"/>
    </row>
    <row r="361">
      <c r="A361" s="32" t="inlineStr">
        <is>
          <t xml:space="preserve">  ► CATEGORÍA: FILTROS DE SEDIMENTOS, UV Y ABLANDADORES</t>
        </is>
      </c>
      <c r="B361" s="143" t="n"/>
      <c r="C361" s="143" t="n"/>
      <c r="D361" s="143" t="n"/>
      <c r="E361" s="143" t="n"/>
      <c r="F361" s="143" t="n"/>
      <c r="G361" s="143" t="n"/>
      <c r="H361" s="143" t="n"/>
      <c r="I361" s="143" t="n"/>
      <c r="J361" s="143" t="n"/>
      <c r="K361" s="143" t="n"/>
      <c r="L361" s="143" t="n"/>
      <c r="M361" s="143" t="n"/>
      <c r="N361" s="143" t="n"/>
      <c r="O361" s="143" t="n"/>
      <c r="P361" s="143" t="n"/>
      <c r="Q361" s="144" t="n"/>
    </row>
    <row r="362">
      <c r="A362" s="33" t="inlineStr">
        <is>
          <t xml:space="preserve">      • Subcategoría Especificada: Tratamiento de Agua Potable</t>
        </is>
      </c>
      <c r="B362" s="143" t="n"/>
      <c r="C362" s="143" t="n"/>
      <c r="D362" s="143" t="n"/>
      <c r="E362" s="143" t="n"/>
      <c r="F362" s="143" t="n"/>
      <c r="G362" s="143" t="n"/>
      <c r="H362" s="143" t="n"/>
      <c r="I362" s="143" t="n"/>
      <c r="J362" s="143" t="n"/>
      <c r="K362" s="143" t="n"/>
      <c r="L362" s="143" t="n"/>
      <c r="M362" s="143" t="n"/>
      <c r="N362" s="143" t="n"/>
      <c r="O362" s="143" t="n"/>
      <c r="P362" s="143" t="n"/>
      <c r="Q362" s="144" t="n"/>
    </row>
    <row r="363">
      <c r="A363" s="18" t="n">
        <v>339</v>
      </c>
      <c r="B363" s="19" t="inlineStr">
        <is>
          <t xml:space="preserve">        Filtro Cartucho Sedimentos 20" Big Blue Agua Potable</t>
        </is>
      </c>
      <c r="C363" s="20" t="inlineStr">
        <is>
          <t>Residencial / Comercial</t>
        </is>
      </c>
      <c r="D363" s="18" t="inlineStr">
        <is>
          <t>Filtros Cartucho</t>
        </is>
      </c>
      <c r="E363" s="18" t="inlineStr">
        <is>
          <t>U</t>
        </is>
      </c>
      <c r="F363" s="21" t="n">
        <v>2</v>
      </c>
      <c r="G363" s="22" t="n">
        <v>45</v>
      </c>
      <c r="H363" s="22" t="n">
        <v>46.8</v>
      </c>
      <c r="I363" s="18" t="inlineStr">
        <is>
          <t>Megametales</t>
        </is>
      </c>
      <c r="J363" s="22" t="n">
        <v>49.5</v>
      </c>
      <c r="K363" s="18" t="inlineStr">
        <is>
          <t>Kywi / Megakywi</t>
        </is>
      </c>
      <c r="L363" s="8">
        <f>F363*G363</f>
        <v/>
      </c>
      <c r="M363" s="145" t="inlineStr">
        <is>
          <t>IS-D20-TRA-FIL-SED</t>
        </is>
      </c>
      <c r="N363" s="18" t="inlineStr">
        <is>
          <t>Instalaciones sanitarias (hidrosanitarias)</t>
        </is>
      </c>
      <c r="O363" s="18" t="inlineStr">
        <is>
          <t>Estimado · base original del usuario (sin cotización verificada)</t>
        </is>
      </c>
      <c r="P363" s="18" t="inlineStr">
        <is>
          <t>oct-2026 (est.)</t>
        </is>
      </c>
      <c r="Q363" s="18" t="n"/>
    </row>
    <row r="364">
      <c r="A364" s="34" t="n">
        <v>340</v>
      </c>
      <c r="B364" s="35" t="inlineStr">
        <is>
          <t xml:space="preserve">        Sistema Purificador Lámpara UV Agua Potable 12 GPM</t>
        </is>
      </c>
      <c r="C364" s="36" t="inlineStr">
        <is>
          <t>Residencial / Comercial</t>
        </is>
      </c>
      <c r="D364" s="34" t="inlineStr">
        <is>
          <t>Lámparas UV</t>
        </is>
      </c>
      <c r="E364" s="34" t="inlineStr">
        <is>
          <t>U</t>
        </is>
      </c>
      <c r="F364" s="37" t="n">
        <v>1</v>
      </c>
      <c r="G364" s="38" t="n">
        <v>220</v>
      </c>
      <c r="H364" s="38" t="n">
        <v>228</v>
      </c>
      <c r="I364" s="34" t="inlineStr">
        <is>
          <t>Megametales</t>
        </is>
      </c>
      <c r="J364" s="38" t="n">
        <v>242</v>
      </c>
      <c r="K364" s="34" t="inlineStr">
        <is>
          <t>Ferrisariato</t>
        </is>
      </c>
      <c r="L364" s="39">
        <f>F364*G364</f>
        <v/>
      </c>
      <c r="M364" s="149" t="inlineStr">
        <is>
          <t>IS-D20-TRA-UV-ESL</t>
        </is>
      </c>
      <c r="N364" s="34" t="inlineStr">
        <is>
          <t>Instalaciones sanitarias (hidrosanitarias)</t>
        </is>
      </c>
      <c r="O364" s="34" t="inlineStr">
        <is>
          <t>Estimado · base original del usuario (sin cotización verificada)</t>
        </is>
      </c>
      <c r="P364" s="34" t="inlineStr">
        <is>
          <t>oct-2026 (est.)</t>
        </is>
      </c>
      <c r="Q364" s="34" t="n"/>
    </row>
    <row r="365">
      <c r="A365" s="18" t="n">
        <v>341</v>
      </c>
      <c r="B365" s="19" t="inlineStr">
        <is>
          <t xml:space="preserve">        Filtro Suavizador / Ablandador de Agua Resina 1.5 ft3</t>
        </is>
      </c>
      <c r="C365" s="20" t="inlineStr">
        <is>
          <t>Residencial Grande / Comercial</t>
        </is>
      </c>
      <c r="D365" s="18" t="inlineStr">
        <is>
          <t>Ablandadores Agua</t>
        </is>
      </c>
      <c r="E365" s="18" t="inlineStr">
        <is>
          <t>U</t>
        </is>
      </c>
      <c r="F365" s="21" t="n">
        <v>1</v>
      </c>
      <c r="G365" s="22" t="n">
        <v>650</v>
      </c>
      <c r="H365" s="22" t="n">
        <v>675</v>
      </c>
      <c r="I365" s="18" t="inlineStr">
        <is>
          <t>Megametales</t>
        </is>
      </c>
      <c r="J365" s="22" t="n">
        <v>710</v>
      </c>
      <c r="K365" s="18" t="inlineStr">
        <is>
          <t>Kywi / Megakywi</t>
        </is>
      </c>
      <c r="L365" s="8">
        <f>F365*G365</f>
        <v/>
      </c>
      <c r="M365" s="145" t="inlineStr">
        <is>
          <t>IS-D20-TRA-ABL-RES</t>
        </is>
      </c>
      <c r="N365" s="18" t="inlineStr">
        <is>
          <t>Instalaciones sanitarias (hidrosanitarias)</t>
        </is>
      </c>
      <c r="O365" s="18" t="inlineStr">
        <is>
          <t>Estimado · base original del usuario (sin cotización verificada)</t>
        </is>
      </c>
      <c r="P365" s="18" t="inlineStr">
        <is>
          <t>oct-2026 (est.)</t>
        </is>
      </c>
      <c r="Q365" s="18" t="n"/>
    </row>
    <row r="366">
      <c r="A366" s="33" t="inlineStr">
        <is>
          <t xml:space="preserve">      • Subcategoría Especificada: Arena, Carbón, Cloración y Ósmosis</t>
        </is>
      </c>
      <c r="B366" s="143" t="n"/>
      <c r="C366" s="143" t="n"/>
      <c r="D366" s="143" t="n"/>
      <c r="E366" s="143" t="n"/>
      <c r="F366" s="143" t="n"/>
      <c r="G366" s="143" t="n"/>
      <c r="H366" s="143" t="n"/>
      <c r="I366" s="143" t="n"/>
      <c r="J366" s="143" t="n"/>
      <c r="K366" s="143" t="n"/>
      <c r="L366" s="143" t="n"/>
      <c r="M366" s="143" t="n"/>
      <c r="N366" s="143" t="n"/>
      <c r="O366" s="143" t="n"/>
      <c r="P366" s="143" t="n"/>
      <c r="Q366" s="144" t="n"/>
    </row>
    <row r="367">
      <c r="A367" s="34" t="n">
        <v>342</v>
      </c>
      <c r="B367" s="35" t="inlineStr">
        <is>
          <t xml:space="preserve">        Filtro de Arena Sílice / Antracita 10" Retrolavado Automático</t>
        </is>
      </c>
      <c r="C367" s="36" t="inlineStr">
        <is>
          <t>Residencial / Comercial</t>
        </is>
      </c>
      <c r="D367" s="34" t="inlineStr">
        <is>
          <t>Filtros Arena</t>
        </is>
      </c>
      <c r="E367" s="34" t="inlineStr">
        <is>
          <t>U</t>
        </is>
      </c>
      <c r="F367" s="37" t="n">
        <v>0</v>
      </c>
      <c r="G367" s="38" t="n">
        <v>620</v>
      </c>
      <c r="H367" s="38" t="n">
        <v>644.8</v>
      </c>
      <c r="I367" s="34" t="inlineStr">
        <is>
          <t>Megametales</t>
        </is>
      </c>
      <c r="J367" s="38" t="n">
        <v>688.2</v>
      </c>
      <c r="K367" s="34" t="inlineStr">
        <is>
          <t>Kywi / Megakywi</t>
        </is>
      </c>
      <c r="L367" s="39">
        <f>F367*G367</f>
        <v/>
      </c>
      <c r="M367" s="149" t="inlineStr">
        <is>
          <t>IS-D20-TRA-FIL-ARE</t>
        </is>
      </c>
      <c r="N367" s="34" t="inlineStr">
        <is>
          <t>Instalaciones sanitarias (hidrosanitarias)</t>
        </is>
      </c>
      <c r="O367" s="34" t="inlineStr">
        <is>
          <t>Estimado DION · criterio de mercado Guayaquil 2026 (no verificado en tienda)</t>
        </is>
      </c>
      <c r="P367" s="34" t="inlineStr">
        <is>
          <t>oct-2026 (est.)</t>
        </is>
      </c>
      <c r="Q367" s="34" t="n"/>
    </row>
    <row r="368">
      <c r="A368" s="18" t="n">
        <v>343</v>
      </c>
      <c r="B368" s="19" t="inlineStr">
        <is>
          <t xml:space="preserve">        Filtro de Carbón Activado 10" (Cloro/Olor)</t>
        </is>
      </c>
      <c r="C368" s="20" t="inlineStr">
        <is>
          <t>Residencial / Comercial</t>
        </is>
      </c>
      <c r="D368" s="18" t="inlineStr">
        <is>
          <t>Filtros Carbón</t>
        </is>
      </c>
      <c r="E368" s="18" t="inlineStr">
        <is>
          <t>U</t>
        </is>
      </c>
      <c r="F368" s="21" t="n">
        <v>1</v>
      </c>
      <c r="G368" s="22" t="n">
        <v>480</v>
      </c>
      <c r="H368" s="22" t="n">
        <v>494.4</v>
      </c>
      <c r="I368" s="18" t="inlineStr">
        <is>
          <t>Megametales</t>
        </is>
      </c>
      <c r="J368" s="22" t="n">
        <v>513.6</v>
      </c>
      <c r="K368" s="18" t="inlineStr">
        <is>
          <t>Ferrisariato</t>
        </is>
      </c>
      <c r="L368" s="8">
        <f>F368*G368</f>
        <v/>
      </c>
      <c r="M368" s="145" t="inlineStr">
        <is>
          <t>IS-D20-TRA-FIL-CAR</t>
        </is>
      </c>
      <c r="N368" s="18" t="inlineStr">
        <is>
          <t>Instalaciones sanitarias (hidrosanitarias)</t>
        </is>
      </c>
      <c r="O368" s="18" t="inlineStr">
        <is>
          <t>Estimado DION · criterio de mercado Guayaquil 2026 (no verificado en tienda)</t>
        </is>
      </c>
      <c r="P368" s="18" t="inlineStr">
        <is>
          <t>oct-2026 (est.)</t>
        </is>
      </c>
      <c r="Q368" s="18" t="n"/>
    </row>
    <row r="369">
      <c r="A369" s="34" t="n">
        <v>344</v>
      </c>
      <c r="B369" s="35" t="inlineStr">
        <is>
          <t xml:space="preserve">        Dosificador de Cloro / Bomba Dosificadora Hipoclorito</t>
        </is>
      </c>
      <c r="C369" s="36" t="inlineStr">
        <is>
          <t>Comercial / Industrial</t>
        </is>
      </c>
      <c r="D369" s="34" t="inlineStr">
        <is>
          <t>Dosificadores</t>
        </is>
      </c>
      <c r="E369" s="34" t="inlineStr">
        <is>
          <t>U</t>
        </is>
      </c>
      <c r="F369" s="37" t="n">
        <v>1</v>
      </c>
      <c r="G369" s="38" t="n">
        <v>310</v>
      </c>
      <c r="H369" s="38" t="n">
        <v>316.2</v>
      </c>
      <c r="I369" s="34" t="inlineStr">
        <is>
          <t>Megametales</t>
        </is>
      </c>
      <c r="J369" s="38" t="n">
        <v>334.8</v>
      </c>
      <c r="K369" s="34" t="inlineStr">
        <is>
          <t>Kywi / Megakywi</t>
        </is>
      </c>
      <c r="L369" s="39">
        <f>F369*G369</f>
        <v/>
      </c>
      <c r="M369" s="149" t="inlineStr">
        <is>
          <t>IS-D20-TRA-CLO-DOS</t>
        </is>
      </c>
      <c r="N369" s="34" t="inlineStr">
        <is>
          <t>Instalaciones sanitarias (hidrosanitarias)</t>
        </is>
      </c>
      <c r="O369" s="34" t="inlineStr">
        <is>
          <t>Estimado DION · criterio de mercado Guayaquil 2026 (no verificado en tienda)</t>
        </is>
      </c>
      <c r="P369" s="34" t="inlineStr">
        <is>
          <t>oct-2026 (est.)</t>
        </is>
      </c>
      <c r="Q369" s="34" t="n"/>
    </row>
    <row r="370">
      <c r="A370" s="18" t="n">
        <v>345</v>
      </c>
      <c r="B370" s="19" t="inlineStr">
        <is>
          <t xml:space="preserve">        Ósmosis Inversa 5 Etapas 75 GPD (Punto de Uso)</t>
        </is>
      </c>
      <c r="C370" s="20" t="inlineStr">
        <is>
          <t>Residencial / Comercial</t>
        </is>
      </c>
      <c r="D370" s="18" t="inlineStr">
        <is>
          <t>Ósmosis Inversa</t>
        </is>
      </c>
      <c r="E370" s="18" t="inlineStr">
        <is>
          <t>U</t>
        </is>
      </c>
      <c r="F370" s="21" t="n">
        <v>1</v>
      </c>
      <c r="G370" s="22" t="n">
        <v>210</v>
      </c>
      <c r="H370" s="22" t="n">
        <v>218.4</v>
      </c>
      <c r="I370" s="18" t="inlineStr">
        <is>
          <t>Megametales</t>
        </is>
      </c>
      <c r="J370" s="22" t="n">
        <v>226.8</v>
      </c>
      <c r="K370" s="18" t="inlineStr">
        <is>
          <t>Ferrisariato</t>
        </is>
      </c>
      <c r="L370" s="8">
        <f>F370*G370</f>
        <v/>
      </c>
      <c r="M370" s="145" t="inlineStr">
        <is>
          <t>IS-D20-TRA-OSM-INV</t>
        </is>
      </c>
      <c r="N370" s="18" t="inlineStr">
        <is>
          <t>Instalaciones sanitarias (hidrosanitarias)</t>
        </is>
      </c>
      <c r="O370" s="18" t="inlineStr">
        <is>
          <t>Estimado DION · criterio de mercado Guayaquil 2026 (no verificado en tienda)</t>
        </is>
      </c>
      <c r="P370" s="18" t="inlineStr">
        <is>
          <t>oct-2026 (est.)</t>
        </is>
      </c>
      <c r="Q370" s="18" t="n"/>
    </row>
    <row r="371">
      <c r="A371" s="34" t="n">
        <v>346</v>
      </c>
      <c r="B371" s="35" t="inlineStr">
        <is>
          <t xml:space="preserve">        Cartucho Repuesto Sedimentos 20" Big Blue 5 µm</t>
        </is>
      </c>
      <c r="C371" s="36" t="inlineStr">
        <is>
          <t>Residencial / Comercial</t>
        </is>
      </c>
      <c r="D371" s="34" t="inlineStr">
        <is>
          <t>Cartuchos</t>
        </is>
      </c>
      <c r="E371" s="34" t="inlineStr">
        <is>
          <t>U</t>
        </is>
      </c>
      <c r="F371" s="37" t="n">
        <v>4</v>
      </c>
      <c r="G371" s="38" t="n">
        <v>9.5</v>
      </c>
      <c r="H371" s="38" t="n">
        <v>9.970000000000001</v>
      </c>
      <c r="I371" s="34" t="inlineStr">
        <is>
          <t>Megametales</t>
        </is>
      </c>
      <c r="J371" s="38" t="n">
        <v>10.55</v>
      </c>
      <c r="K371" s="34" t="inlineStr">
        <is>
          <t>Kywi / Megakywi</t>
        </is>
      </c>
      <c r="L371" s="39">
        <f>F371*G371</f>
        <v/>
      </c>
      <c r="M371" s="149" t="inlineStr">
        <is>
          <t>IS-D20-TRA-CAR-SED</t>
        </is>
      </c>
      <c r="N371" s="34" t="inlineStr">
        <is>
          <t>Instalaciones sanitarias (hidrosanitarias)</t>
        </is>
      </c>
      <c r="O371" s="34" t="inlineStr">
        <is>
          <t>Estimado DION · criterio de mercado Guayaquil 2026 (no verificado en tienda)</t>
        </is>
      </c>
      <c r="P371" s="34" t="inlineStr">
        <is>
          <t>oct-2026 (est.)</t>
        </is>
      </c>
      <c r="Q371" s="34" t="n"/>
    </row>
    <row r="372">
      <c r="A372" s="40" t="inlineStr">
        <is>
          <t>ACCESORIOS</t>
        </is>
      </c>
      <c r="B372" s="143" t="n"/>
      <c r="C372" s="143" t="n"/>
      <c r="D372" s="143" t="n"/>
      <c r="E372" s="143" t="n"/>
      <c r="F372" s="143" t="n"/>
      <c r="G372" s="143" t="n"/>
      <c r="H372" s="143" t="n"/>
      <c r="I372" s="143" t="n"/>
      <c r="J372" s="143" t="n"/>
      <c r="K372" s="143" t="n"/>
      <c r="L372" s="143" t="n"/>
      <c r="M372" s="143" t="n"/>
      <c r="N372" s="143" t="n"/>
      <c r="O372" s="143" t="n"/>
      <c r="P372" s="143" t="n"/>
      <c r="Q372" s="144" t="n"/>
    </row>
    <row r="373">
      <c r="A373" s="41" t="inlineStr">
        <is>
          <t xml:space="preserve">  ► CATEGORÍA: AISLAMIENTO TÉRMICO COQUILLA</t>
        </is>
      </c>
      <c r="B373" s="143" t="n"/>
      <c r="C373" s="143" t="n"/>
      <c r="D373" s="143" t="n"/>
      <c r="E373" s="143" t="n"/>
      <c r="F373" s="143" t="n"/>
      <c r="G373" s="143" t="n"/>
      <c r="H373" s="143" t="n"/>
      <c r="I373" s="143" t="n"/>
      <c r="J373" s="143" t="n"/>
      <c r="K373" s="143" t="n"/>
      <c r="L373" s="143" t="n"/>
      <c r="M373" s="143" t="n"/>
      <c r="N373" s="143" t="n"/>
      <c r="O373" s="143" t="n"/>
      <c r="P373" s="143" t="n"/>
      <c r="Q373" s="144" t="n"/>
    </row>
    <row r="374">
      <c r="A374" s="42" t="inlineStr">
        <is>
          <t xml:space="preserve">      • Subcategoría Especificada: Aislamiento de Tubería</t>
        </is>
      </c>
      <c r="B374" s="143" t="n"/>
      <c r="C374" s="143" t="n"/>
      <c r="D374" s="143" t="n"/>
      <c r="E374" s="143" t="n"/>
      <c r="F374" s="143" t="n"/>
      <c r="G374" s="143" t="n"/>
      <c r="H374" s="143" t="n"/>
      <c r="I374" s="143" t="n"/>
      <c r="J374" s="143" t="n"/>
      <c r="K374" s="143" t="n"/>
      <c r="L374" s="143" t="n"/>
      <c r="M374" s="143" t="n"/>
      <c r="N374" s="143" t="n"/>
      <c r="O374" s="143" t="n"/>
      <c r="P374" s="143" t="n"/>
      <c r="Q374" s="144" t="n"/>
    </row>
    <row r="375">
      <c r="A375" s="18" t="n">
        <v>347</v>
      </c>
      <c r="B375" s="19" t="inlineStr">
        <is>
          <t xml:space="preserve">        Aislamiento Térmico Coquilla para Tubería Caliente ¾" (m)</t>
        </is>
      </c>
      <c r="C375" s="20" t="inlineStr">
        <is>
          <t>Residencial / Comercial</t>
        </is>
      </c>
      <c r="D375" s="18" t="inlineStr">
        <is>
          <t>Coquillas Aislamiento</t>
        </is>
      </c>
      <c r="E375" s="18" t="inlineStr">
        <is>
          <t>m</t>
        </is>
      </c>
      <c r="F375" s="21" t="n">
        <v>30</v>
      </c>
      <c r="G375" s="22" t="n">
        <v>1.2</v>
      </c>
      <c r="H375" s="22" t="n">
        <v>1.25</v>
      </c>
      <c r="I375" s="18" t="inlineStr">
        <is>
          <t>Megametales</t>
        </is>
      </c>
      <c r="J375" s="22" t="n">
        <v>1.38</v>
      </c>
      <c r="K375" s="18" t="inlineStr">
        <is>
          <t>Ferrisariato</t>
        </is>
      </c>
      <c r="L375" s="8">
        <f>F375*G375</f>
        <v/>
      </c>
      <c r="M375" s="145" t="inlineStr">
        <is>
          <t>IS-D20-TAC-AIS-025</t>
        </is>
      </c>
      <c r="N375" s="18" t="inlineStr">
        <is>
          <t>Instalaciones sanitarias (hidrosanitarias)</t>
        </is>
      </c>
      <c r="O375" s="18" t="inlineStr">
        <is>
          <t>Estimado · base original del usuario (sin cotización verificada)</t>
        </is>
      </c>
      <c r="P375" s="18" t="inlineStr">
        <is>
          <t>oct-2026 (est.)</t>
        </is>
      </c>
      <c r="Q375" s="18" t="n">
        <v>5</v>
      </c>
    </row>
    <row r="376">
      <c r="A376" s="42" t="inlineStr">
        <is>
          <t xml:space="preserve">      • Subcategoría Especificada: Coquilla por Diámetro</t>
        </is>
      </c>
      <c r="B376" s="143" t="n"/>
      <c r="C376" s="143" t="n"/>
      <c r="D376" s="143" t="n"/>
      <c r="E376" s="143" t="n"/>
      <c r="F376" s="143" t="n"/>
      <c r="G376" s="143" t="n"/>
      <c r="H376" s="143" t="n"/>
      <c r="I376" s="143" t="n"/>
      <c r="J376" s="143" t="n"/>
      <c r="K376" s="143" t="n"/>
      <c r="L376" s="143" t="n"/>
      <c r="M376" s="143" t="n"/>
      <c r="N376" s="143" t="n"/>
      <c r="O376" s="143" t="n"/>
      <c r="P376" s="143" t="n"/>
      <c r="Q376" s="144" t="n"/>
    </row>
    <row r="377">
      <c r="A377" s="43" t="n">
        <v>348</v>
      </c>
      <c r="B377" s="44" t="inlineStr">
        <is>
          <t xml:space="preserve">        Aislamiento Coquilla Elastomérica para Tubo ½" e=13mm (m)</t>
        </is>
      </c>
      <c r="C377" s="45" t="inlineStr">
        <is>
          <t>Residencial / Comercial</t>
        </is>
      </c>
      <c r="D377" s="43" t="inlineStr">
        <is>
          <t>Coquillas Aislamiento</t>
        </is>
      </c>
      <c r="E377" s="43" t="inlineStr">
        <is>
          <t>m</t>
        </is>
      </c>
      <c r="F377" s="46" t="n">
        <v>20</v>
      </c>
      <c r="G377" s="47" t="n">
        <v>0.95</v>
      </c>
      <c r="H377" s="47" t="n">
        <v>1</v>
      </c>
      <c r="I377" s="43" t="inlineStr">
        <is>
          <t>Megametales</t>
        </is>
      </c>
      <c r="J377" s="47" t="n">
        <v>1.05</v>
      </c>
      <c r="K377" s="43" t="inlineStr">
        <is>
          <t>Kywi / Megakywi</t>
        </is>
      </c>
      <c r="L377" s="48">
        <f>F377*G377</f>
        <v/>
      </c>
      <c r="M377" s="150" t="inlineStr">
        <is>
          <t>IS-D20-TAC-AIS-020</t>
        </is>
      </c>
      <c r="N377" s="43" t="inlineStr">
        <is>
          <t>Instalaciones sanitarias (hidrosanitarias)</t>
        </is>
      </c>
      <c r="O377" s="43" t="inlineStr">
        <is>
          <t>Estimado DION · criterio de mercado Guayaquil 2026 (no verificado en tienda)</t>
        </is>
      </c>
      <c r="P377" s="43" t="inlineStr">
        <is>
          <t>oct-2026 (est.)</t>
        </is>
      </c>
      <c r="Q377" s="43" t="n">
        <v>5</v>
      </c>
    </row>
    <row r="378">
      <c r="A378" s="18" t="n">
        <v>349</v>
      </c>
      <c r="B378" s="19" t="inlineStr">
        <is>
          <t xml:space="preserve">        Aislamiento Coquilla Elastomérica para Tubo 1" e=13mm (m)</t>
        </is>
      </c>
      <c r="C378" s="20" t="inlineStr">
        <is>
          <t>Residencial / Comercial</t>
        </is>
      </c>
      <c r="D378" s="18" t="inlineStr">
        <is>
          <t>Coquillas Aislamiento</t>
        </is>
      </c>
      <c r="E378" s="18" t="inlineStr">
        <is>
          <t>m</t>
        </is>
      </c>
      <c r="F378" s="21" t="n">
        <v>20</v>
      </c>
      <c r="G378" s="22" t="n">
        <v>1.55</v>
      </c>
      <c r="H378" s="22" t="n">
        <v>1.58</v>
      </c>
      <c r="I378" s="18" t="inlineStr">
        <is>
          <t>Megametales</t>
        </is>
      </c>
      <c r="J378" s="22" t="n">
        <v>1.72</v>
      </c>
      <c r="K378" s="18" t="inlineStr">
        <is>
          <t>Ferrisariato</t>
        </is>
      </c>
      <c r="L378" s="8">
        <f>F378*G378</f>
        <v/>
      </c>
      <c r="M378" s="145" t="inlineStr">
        <is>
          <t>IS-D20-TAC-AIS-032</t>
        </is>
      </c>
      <c r="N378" s="18" t="inlineStr">
        <is>
          <t>Instalaciones sanitarias (hidrosanitarias)</t>
        </is>
      </c>
      <c r="O378" s="18" t="inlineStr">
        <is>
          <t>Estimado DION · criterio de mercado Guayaquil 2026 (no verificado en tienda)</t>
        </is>
      </c>
      <c r="P378" s="18" t="inlineStr">
        <is>
          <t>oct-2026 (est.)</t>
        </is>
      </c>
      <c r="Q378" s="18" t="n">
        <v>5</v>
      </c>
    </row>
    <row r="379">
      <c r="A379" s="43" t="n">
        <v>350</v>
      </c>
      <c r="B379" s="44" t="inlineStr">
        <is>
          <t xml:space="preserve">        Aislamiento Coquilla Elastomérica para Tubo 1¼" e=13mm (m)</t>
        </is>
      </c>
      <c r="C379" s="45" t="inlineStr">
        <is>
          <t>Residencial / Comercial</t>
        </is>
      </c>
      <c r="D379" s="43" t="inlineStr">
        <is>
          <t>Coquillas Aislamiento</t>
        </is>
      </c>
      <c r="E379" s="43" t="inlineStr">
        <is>
          <t>m</t>
        </is>
      </c>
      <c r="F379" s="46" t="n">
        <v>20</v>
      </c>
      <c r="G379" s="47" t="n">
        <v>2.1</v>
      </c>
      <c r="H379" s="47" t="n">
        <v>2.14</v>
      </c>
      <c r="I379" s="43" t="inlineStr">
        <is>
          <t>Megametales</t>
        </is>
      </c>
      <c r="J379" s="47" t="n">
        <v>2.25</v>
      </c>
      <c r="K379" s="43" t="inlineStr">
        <is>
          <t>Kywi / Megakywi</t>
        </is>
      </c>
      <c r="L379" s="48">
        <f>F379*G379</f>
        <v/>
      </c>
      <c r="M379" s="150" t="inlineStr">
        <is>
          <t>IS-D20-TAC-AIS-040</t>
        </is>
      </c>
      <c r="N379" s="43" t="inlineStr">
        <is>
          <t>Instalaciones sanitarias (hidrosanitarias)</t>
        </is>
      </c>
      <c r="O379" s="43" t="inlineStr">
        <is>
          <t>Estimado DION · criterio de mercado Guayaquil 2026 (no verificado en tienda)</t>
        </is>
      </c>
      <c r="P379" s="43" t="inlineStr">
        <is>
          <t>oct-2026 (est.)</t>
        </is>
      </c>
      <c r="Q379" s="43" t="n">
        <v>5</v>
      </c>
    </row>
    <row r="380">
      <c r="A380" s="18" t="n">
        <v>351</v>
      </c>
      <c r="B380" s="19" t="inlineStr">
        <is>
          <t xml:space="preserve">        Aislamiento Coquilla Elastomérica para Tubo 2" e=13mm (m)</t>
        </is>
      </c>
      <c r="C380" s="20" t="inlineStr">
        <is>
          <t>Residencial / Comercial</t>
        </is>
      </c>
      <c r="D380" s="18" t="inlineStr">
        <is>
          <t>Coquillas Aislamiento</t>
        </is>
      </c>
      <c r="E380" s="18" t="inlineStr">
        <is>
          <t>m</t>
        </is>
      </c>
      <c r="F380" s="21" t="n">
        <v>20</v>
      </c>
      <c r="G380" s="22" t="n">
        <v>3.4</v>
      </c>
      <c r="H380" s="22" t="n">
        <v>3.54</v>
      </c>
      <c r="I380" s="18" t="inlineStr">
        <is>
          <t>Megametales</t>
        </is>
      </c>
      <c r="J380" s="22" t="n">
        <v>3.71</v>
      </c>
      <c r="K380" s="18" t="inlineStr">
        <is>
          <t>Ferrisariato</t>
        </is>
      </c>
      <c r="L380" s="8">
        <f>F380*G380</f>
        <v/>
      </c>
      <c r="M380" s="145" t="inlineStr">
        <is>
          <t>IS-D20-TAC-AIS-063</t>
        </is>
      </c>
      <c r="N380" s="18" t="inlineStr">
        <is>
          <t>Instalaciones sanitarias (hidrosanitarias)</t>
        </is>
      </c>
      <c r="O380" s="18" t="inlineStr">
        <is>
          <t>Estimado DION · criterio de mercado Guayaquil 2026 (no verificado en tienda)</t>
        </is>
      </c>
      <c r="P380" s="18" t="inlineStr">
        <is>
          <t>oct-2026 (est.)</t>
        </is>
      </c>
      <c r="Q380" s="18" t="n">
        <v>5</v>
      </c>
    </row>
    <row r="381">
      <c r="A381" s="40" t="inlineStr">
        <is>
          <t>TUBERÍAS</t>
        </is>
      </c>
      <c r="B381" s="143" t="n"/>
      <c r="C381" s="143" t="n"/>
      <c r="D381" s="143" t="n"/>
      <c r="E381" s="143" t="n"/>
      <c r="F381" s="143" t="n"/>
      <c r="G381" s="143" t="n"/>
      <c r="H381" s="143" t="n"/>
      <c r="I381" s="143" t="n"/>
      <c r="J381" s="143" t="n"/>
      <c r="K381" s="143" t="n"/>
      <c r="L381" s="143" t="n"/>
      <c r="M381" s="143" t="n"/>
      <c r="N381" s="143" t="n"/>
      <c r="O381" s="143" t="n"/>
      <c r="P381" s="143" t="n"/>
      <c r="Q381" s="144" t="n"/>
    </row>
    <row r="382">
      <c r="A382" s="41" t="inlineStr">
        <is>
          <t xml:space="preserve">  ► CATEGORÍA: TUBERÍAS PPR PN20 TERMOFUSIÓN Y CPVC CTS</t>
        </is>
      </c>
      <c r="B382" s="143" t="n"/>
      <c r="C382" s="143" t="n"/>
      <c r="D382" s="143" t="n"/>
      <c r="E382" s="143" t="n"/>
      <c r="F382" s="143" t="n"/>
      <c r="G382" s="143" t="n"/>
      <c r="H382" s="143" t="n"/>
      <c r="I382" s="143" t="n"/>
      <c r="J382" s="143" t="n"/>
      <c r="K382" s="143" t="n"/>
      <c r="L382" s="143" t="n"/>
      <c r="M382" s="143" t="n"/>
      <c r="N382" s="143" t="n"/>
      <c r="O382" s="143" t="n"/>
      <c r="P382" s="143" t="n"/>
      <c r="Q382" s="144" t="n"/>
    </row>
    <row r="383">
      <c r="A383" s="42" t="inlineStr">
        <is>
          <t xml:space="preserve">      • Subcategoría Especificada: PPR PN20 Alta Temperatura y CPVC</t>
        </is>
      </c>
      <c r="B383" s="143" t="n"/>
      <c r="C383" s="143" t="n"/>
      <c r="D383" s="143" t="n"/>
      <c r="E383" s="143" t="n"/>
      <c r="F383" s="143" t="n"/>
      <c r="G383" s="143" t="n"/>
      <c r="H383" s="143" t="n"/>
      <c r="I383" s="143" t="n"/>
      <c r="J383" s="143" t="n"/>
      <c r="K383" s="143" t="n"/>
      <c r="L383" s="143" t="n"/>
      <c r="M383" s="143" t="n"/>
      <c r="N383" s="143" t="n"/>
      <c r="O383" s="143" t="n"/>
      <c r="P383" s="143" t="n"/>
      <c r="Q383" s="144" t="n"/>
    </row>
    <row r="384">
      <c r="A384" s="43" t="n">
        <v>352</v>
      </c>
      <c r="B384" s="44" t="inlineStr">
        <is>
          <t xml:space="preserve">        Tubo PPR Agua Caliente 20mm / ½" PN20 (4m)</t>
        </is>
      </c>
      <c r="C384" s="45" t="inlineStr">
        <is>
          <t>Residencial / Comercial</t>
        </is>
      </c>
      <c r="D384" s="43" t="inlineStr">
        <is>
          <t>Tubería PPR PN20</t>
        </is>
      </c>
      <c r="E384" s="43" t="inlineStr">
        <is>
          <t>U</t>
        </is>
      </c>
      <c r="F384" s="46" t="n">
        <v>20</v>
      </c>
      <c r="G384" s="47" t="n">
        <v>5.8</v>
      </c>
      <c r="H384" s="47" t="n">
        <v>5.95</v>
      </c>
      <c r="I384" s="43" t="inlineStr">
        <is>
          <t>Megametales</t>
        </is>
      </c>
      <c r="J384" s="47" t="n">
        <v>6.3</v>
      </c>
      <c r="K384" s="43" t="inlineStr">
        <is>
          <t>Ferrisariato</t>
        </is>
      </c>
      <c r="L384" s="48">
        <f>F384*G384</f>
        <v/>
      </c>
      <c r="M384" s="150" t="inlineStr">
        <is>
          <t>IS-D20-TAC-PPR-020</t>
        </is>
      </c>
      <c r="N384" s="43" t="inlineStr">
        <is>
          <t>Instalaciones sanitarias (hidrosanitarias)</t>
        </is>
      </c>
      <c r="O384" s="43" t="inlineStr">
        <is>
          <t>Estimado · base original del usuario (sin cotización verificada)</t>
        </is>
      </c>
      <c r="P384" s="43" t="inlineStr">
        <is>
          <t>oct-2026 (est.)</t>
        </is>
      </c>
      <c r="Q384" s="43" t="n">
        <v>5</v>
      </c>
    </row>
    <row r="385">
      <c r="A385" s="18" t="n">
        <v>353</v>
      </c>
      <c r="B385" s="19" t="inlineStr">
        <is>
          <t xml:space="preserve">        Tubo PPR Agua Caliente 25mm / ¾" PN20 (4m)</t>
        </is>
      </c>
      <c r="C385" s="20" t="inlineStr">
        <is>
          <t>Residencial / Comercial</t>
        </is>
      </c>
      <c r="D385" s="18" t="inlineStr">
        <is>
          <t>Tubería PPR PN20</t>
        </is>
      </c>
      <c r="E385" s="18" t="inlineStr">
        <is>
          <t>U</t>
        </is>
      </c>
      <c r="F385" s="21" t="n">
        <v>15</v>
      </c>
      <c r="G385" s="22" t="n">
        <v>8.5</v>
      </c>
      <c r="H385" s="22" t="n">
        <v>8.800000000000001</v>
      </c>
      <c r="I385" s="18" t="inlineStr">
        <is>
          <t>Megametales</t>
        </is>
      </c>
      <c r="J385" s="22" t="n">
        <v>9.199999999999999</v>
      </c>
      <c r="K385" s="18" t="inlineStr">
        <is>
          <t>Kywi / Megakywi</t>
        </is>
      </c>
      <c r="L385" s="8">
        <f>F385*G385</f>
        <v/>
      </c>
      <c r="M385" s="145" t="inlineStr">
        <is>
          <t>IS-D20-TAC-PPR-025</t>
        </is>
      </c>
      <c r="N385" s="18" t="inlineStr">
        <is>
          <t>Instalaciones sanitarias (hidrosanitarias)</t>
        </is>
      </c>
      <c r="O385" s="18" t="inlineStr">
        <is>
          <t>Estimado · base original del usuario (sin cotización verificada)</t>
        </is>
      </c>
      <c r="P385" s="18" t="inlineStr">
        <is>
          <t>oct-2026 (est.)</t>
        </is>
      </c>
      <c r="Q385" s="18" t="n">
        <v>5</v>
      </c>
    </row>
    <row r="386">
      <c r="A386" s="43" t="n">
        <v>354</v>
      </c>
      <c r="B386" s="44" t="inlineStr">
        <is>
          <t xml:space="preserve">        Tubo CPVC Agua Caliente ½" / ¾" CTS (3.05m)</t>
        </is>
      </c>
      <c r="C386" s="45" t="inlineStr">
        <is>
          <t>Residencial / Comercial</t>
        </is>
      </c>
      <c r="D386" s="43" t="inlineStr">
        <is>
          <t>Tubería CPVC</t>
        </is>
      </c>
      <c r="E386" s="43" t="inlineStr">
        <is>
          <t>U</t>
        </is>
      </c>
      <c r="F386" s="46" t="n">
        <v>12</v>
      </c>
      <c r="G386" s="47" t="n">
        <v>6.8</v>
      </c>
      <c r="H386" s="47" t="n">
        <v>7.1</v>
      </c>
      <c r="I386" s="43" t="inlineStr">
        <is>
          <t>Megametales</t>
        </is>
      </c>
      <c r="J386" s="47" t="n">
        <v>7.6</v>
      </c>
      <c r="K386" s="43" t="inlineStr">
        <is>
          <t>Ferrisariato</t>
        </is>
      </c>
      <c r="L386" s="48">
        <f>F386*G386</f>
        <v/>
      </c>
      <c r="M386" s="150" t="inlineStr">
        <is>
          <t>IS-D20-TAC-CPVC-DN15</t>
        </is>
      </c>
      <c r="N386" s="43" t="inlineStr">
        <is>
          <t>Instalaciones sanitarias (hidrosanitarias)</t>
        </is>
      </c>
      <c r="O386" s="43" t="inlineStr">
        <is>
          <t>Estimado · base original del usuario (sin cotización verificada)</t>
        </is>
      </c>
      <c r="P386" s="43" t="inlineStr">
        <is>
          <t>oct-2026 (est.)</t>
        </is>
      </c>
      <c r="Q386" s="43" t="n">
        <v>5</v>
      </c>
    </row>
    <row r="387">
      <c r="A387" s="42" t="inlineStr">
        <is>
          <t xml:space="preserve">      • Subcategoría Especificada: PPR PN20 32–63 mm, CPVC, PEX y Cobre</t>
        </is>
      </c>
      <c r="B387" s="143" t="n"/>
      <c r="C387" s="143" t="n"/>
      <c r="D387" s="143" t="n"/>
      <c r="E387" s="143" t="n"/>
      <c r="F387" s="143" t="n"/>
      <c r="G387" s="143" t="n"/>
      <c r="H387" s="143" t="n"/>
      <c r="I387" s="143" t="n"/>
      <c r="J387" s="143" t="n"/>
      <c r="K387" s="143" t="n"/>
      <c r="L387" s="143" t="n"/>
      <c r="M387" s="143" t="n"/>
      <c r="N387" s="143" t="n"/>
      <c r="O387" s="143" t="n"/>
      <c r="P387" s="143" t="n"/>
      <c r="Q387" s="144" t="n"/>
    </row>
    <row r="388">
      <c r="A388" s="18" t="n">
        <v>355</v>
      </c>
      <c r="B388" s="19" t="inlineStr">
        <is>
          <t xml:space="preserve">        Tubo PPR Agua Caliente Ø32 mm / 1" PN20 (4 m)</t>
        </is>
      </c>
      <c r="C388" s="20" t="inlineStr">
        <is>
          <t>Residencial / Comercial</t>
        </is>
      </c>
      <c r="D388" s="18" t="inlineStr">
        <is>
          <t>Tubería PPR PN20</t>
        </is>
      </c>
      <c r="E388" s="18" t="inlineStr">
        <is>
          <t>U</t>
        </is>
      </c>
      <c r="F388" s="21" t="n">
        <v>4</v>
      </c>
      <c r="G388" s="22" t="n">
        <v>13.66</v>
      </c>
      <c r="H388" s="22" t="n">
        <v>13.93</v>
      </c>
      <c r="I388" s="18" t="inlineStr">
        <is>
          <t>Megametales</t>
        </is>
      </c>
      <c r="J388" s="22" t="n">
        <v>15.03</v>
      </c>
      <c r="K388" s="18" t="inlineStr">
        <is>
          <t>Ferrisariato</t>
        </is>
      </c>
      <c r="L388" s="8">
        <f>F388*G388</f>
        <v/>
      </c>
      <c r="M388" s="145" t="inlineStr">
        <is>
          <t>IS-D20-TAC-PPR-032</t>
        </is>
      </c>
      <c r="N388" s="18" t="inlineStr">
        <is>
          <t>Instalaciones sanitarias (hidrosanitarias)</t>
        </is>
      </c>
      <c r="O388" s="18" t="inlineStr">
        <is>
          <t>Estimado DION · criterio de mercado Guayaquil 2026 (no verificado en tienda)</t>
        </is>
      </c>
      <c r="P388" s="18" t="inlineStr">
        <is>
          <t>oct-2026 (est.)</t>
        </is>
      </c>
      <c r="Q388" s="18" t="n">
        <v>5</v>
      </c>
    </row>
    <row r="389">
      <c r="A389" s="43" t="n">
        <v>356</v>
      </c>
      <c r="B389" s="44" t="inlineStr">
        <is>
          <t xml:space="preserve">        Tubo PPR Agua Caliente Ø40 mm / 1¼" PN20 (4 m)</t>
        </is>
      </c>
      <c r="C389" s="45" t="inlineStr">
        <is>
          <t>Residencial / Comercial</t>
        </is>
      </c>
      <c r="D389" s="43" t="inlineStr">
        <is>
          <t>Tubería PPR PN20</t>
        </is>
      </c>
      <c r="E389" s="43" t="inlineStr">
        <is>
          <t>U</t>
        </is>
      </c>
      <c r="F389" s="46" t="n">
        <v>4</v>
      </c>
      <c r="G389" s="47" t="n">
        <v>21.35</v>
      </c>
      <c r="H389" s="47" t="n">
        <v>21.78</v>
      </c>
      <c r="I389" s="43" t="inlineStr">
        <is>
          <t>Megametales</t>
        </is>
      </c>
      <c r="J389" s="47" t="n">
        <v>22.84</v>
      </c>
      <c r="K389" s="43" t="inlineStr">
        <is>
          <t>Kywi / Megakywi</t>
        </is>
      </c>
      <c r="L389" s="48">
        <f>F389*G389</f>
        <v/>
      </c>
      <c r="M389" s="150" t="inlineStr">
        <is>
          <t>IS-D20-TAC-PPR-040</t>
        </is>
      </c>
      <c r="N389" s="43" t="inlineStr">
        <is>
          <t>Instalaciones sanitarias (hidrosanitarias)</t>
        </is>
      </c>
      <c r="O389" s="43" t="inlineStr">
        <is>
          <t>Estimado DION · criterio de mercado Guayaquil 2026 (no verificado en tienda)</t>
        </is>
      </c>
      <c r="P389" s="43" t="inlineStr">
        <is>
          <t>oct-2026 (est.)</t>
        </is>
      </c>
      <c r="Q389" s="43" t="n">
        <v>5</v>
      </c>
    </row>
    <row r="390">
      <c r="A390" s="18" t="n">
        <v>357</v>
      </c>
      <c r="B390" s="19" t="inlineStr">
        <is>
          <t xml:space="preserve">        Tubo PPR Agua Caliente Ø50 mm / 1½" PN20 (4 m)</t>
        </is>
      </c>
      <c r="C390" s="20" t="inlineStr">
        <is>
          <t>Comercial / Industrial</t>
        </is>
      </c>
      <c r="D390" s="18" t="inlineStr">
        <is>
          <t>Tubería PPR PN20</t>
        </is>
      </c>
      <c r="E390" s="18" t="inlineStr">
        <is>
          <t>U</t>
        </is>
      </c>
      <c r="F390" s="21" t="n">
        <v>4</v>
      </c>
      <c r="G390" s="22" t="n">
        <v>32.94</v>
      </c>
      <c r="H390" s="22" t="n">
        <v>33.6</v>
      </c>
      <c r="I390" s="18" t="inlineStr">
        <is>
          <t>Megametales</t>
        </is>
      </c>
      <c r="J390" s="22" t="n">
        <v>35.9</v>
      </c>
      <c r="K390" s="18" t="inlineStr">
        <is>
          <t>Ferrisariato</t>
        </is>
      </c>
      <c r="L390" s="8">
        <f>F390*G390</f>
        <v/>
      </c>
      <c r="M390" s="145" t="inlineStr">
        <is>
          <t>IS-D20-TAC-PPR-050</t>
        </is>
      </c>
      <c r="N390" s="18" t="inlineStr">
        <is>
          <t>Instalaciones sanitarias (hidrosanitarias)</t>
        </is>
      </c>
      <c r="O390" s="18" t="inlineStr">
        <is>
          <t>Estimado DION · criterio de mercado Guayaquil 2026 (no verificado en tienda)</t>
        </is>
      </c>
      <c r="P390" s="18" t="inlineStr">
        <is>
          <t>oct-2026 (est.)</t>
        </is>
      </c>
      <c r="Q390" s="18" t="n">
        <v>5</v>
      </c>
    </row>
    <row r="391">
      <c r="A391" s="43" t="n">
        <v>358</v>
      </c>
      <c r="B391" s="44" t="inlineStr">
        <is>
          <t xml:space="preserve">        Tubo PPR Agua Caliente Ø63 mm / 2" PN20 (4 m)</t>
        </is>
      </c>
      <c r="C391" s="45" t="inlineStr">
        <is>
          <t>Comercial / Industrial</t>
        </is>
      </c>
      <c r="D391" s="43" t="inlineStr">
        <is>
          <t>Tubería PPR PN20</t>
        </is>
      </c>
      <c r="E391" s="43" t="inlineStr">
        <is>
          <t>U</t>
        </is>
      </c>
      <c r="F391" s="46" t="n">
        <v>4</v>
      </c>
      <c r="G391" s="47" t="n">
        <v>51.24</v>
      </c>
      <c r="H391" s="47" t="n">
        <v>52.26</v>
      </c>
      <c r="I391" s="43" t="inlineStr">
        <is>
          <t>Megametales</t>
        </is>
      </c>
      <c r="J391" s="47" t="n">
        <v>54.83</v>
      </c>
      <c r="K391" s="43" t="inlineStr">
        <is>
          <t>Kywi / Megakywi</t>
        </is>
      </c>
      <c r="L391" s="48">
        <f>F391*G391</f>
        <v/>
      </c>
      <c r="M391" s="150" t="inlineStr">
        <is>
          <t>IS-D20-TAC-PPR-063</t>
        </is>
      </c>
      <c r="N391" s="43" t="inlineStr">
        <is>
          <t>Instalaciones sanitarias (hidrosanitarias)</t>
        </is>
      </c>
      <c r="O391" s="43" t="inlineStr">
        <is>
          <t>Estimado DION · criterio de mercado Guayaquil 2026 (no verificado en tienda)</t>
        </is>
      </c>
      <c r="P391" s="43" t="inlineStr">
        <is>
          <t>oct-2026 (est.)</t>
        </is>
      </c>
      <c r="Q391" s="43" t="n">
        <v>5</v>
      </c>
    </row>
    <row r="392">
      <c r="A392" s="18" t="n">
        <v>359</v>
      </c>
      <c r="B392" s="19" t="inlineStr">
        <is>
          <t xml:space="preserve">        Tubo CPVC Agua Caliente ¾" CTS (3.05 m)</t>
        </is>
      </c>
      <c r="C392" s="20" t="inlineStr">
        <is>
          <t>Residencial / Comercial</t>
        </is>
      </c>
      <c r="D392" s="18" t="inlineStr">
        <is>
          <t>Tubería CPVC</t>
        </is>
      </c>
      <c r="E392" s="18" t="inlineStr">
        <is>
          <t>U</t>
        </is>
      </c>
      <c r="F392" s="21" t="n">
        <v>6</v>
      </c>
      <c r="G392" s="22" t="n">
        <v>6.9</v>
      </c>
      <c r="H392" s="22" t="n">
        <v>7.18</v>
      </c>
      <c r="I392" s="18" t="inlineStr">
        <is>
          <t>Megametales</t>
        </is>
      </c>
      <c r="J392" s="22" t="n">
        <v>7.45</v>
      </c>
      <c r="K392" s="18" t="inlineStr">
        <is>
          <t>Ferrisariato</t>
        </is>
      </c>
      <c r="L392" s="8">
        <f>F392*G392</f>
        <v/>
      </c>
      <c r="M392" s="145" t="inlineStr">
        <is>
          <t>IS-D20-TAC-CPVC-DN20</t>
        </is>
      </c>
      <c r="N392" s="18" t="inlineStr">
        <is>
          <t>Instalaciones sanitarias (hidrosanitarias)</t>
        </is>
      </c>
      <c r="O392" s="18" t="inlineStr">
        <is>
          <t>Estimado DION · criterio de mercado Guayaquil 2026 (no verificado en tienda)</t>
        </is>
      </c>
      <c r="P392" s="18" t="inlineStr">
        <is>
          <t>oct-2026 (est.)</t>
        </is>
      </c>
      <c r="Q392" s="18" t="n">
        <v>5</v>
      </c>
    </row>
    <row r="393">
      <c r="A393" s="43" t="n">
        <v>360</v>
      </c>
      <c r="B393" s="44" t="inlineStr">
        <is>
          <t xml:space="preserve">        Tubo CPVC Agua Caliente 1" CTS (3.05 m)</t>
        </is>
      </c>
      <c r="C393" s="45" t="inlineStr">
        <is>
          <t>Residencial / Comercial</t>
        </is>
      </c>
      <c r="D393" s="43" t="inlineStr">
        <is>
          <t>Tubería CPVC</t>
        </is>
      </c>
      <c r="E393" s="43" t="inlineStr">
        <is>
          <t>U</t>
        </is>
      </c>
      <c r="F393" s="46" t="n">
        <v>4</v>
      </c>
      <c r="G393" s="47" t="n">
        <v>10.2</v>
      </c>
      <c r="H393" s="47" t="n">
        <v>10.71</v>
      </c>
      <c r="I393" s="43" t="inlineStr">
        <is>
          <t>Megametales</t>
        </is>
      </c>
      <c r="J393" s="47" t="n">
        <v>11.02</v>
      </c>
      <c r="K393" s="43" t="inlineStr">
        <is>
          <t>Kywi / Megakywi</t>
        </is>
      </c>
      <c r="L393" s="48">
        <f>F393*G393</f>
        <v/>
      </c>
      <c r="M393" s="150" t="inlineStr">
        <is>
          <t>IS-D20-TAC-CPVC-DN25</t>
        </is>
      </c>
      <c r="N393" s="43" t="inlineStr">
        <is>
          <t>Instalaciones sanitarias (hidrosanitarias)</t>
        </is>
      </c>
      <c r="O393" s="43" t="inlineStr">
        <is>
          <t>Estimado DION · criterio de mercado Guayaquil 2026 (no verificado en tienda)</t>
        </is>
      </c>
      <c r="P393" s="43" t="inlineStr">
        <is>
          <t>oct-2026 (est.)</t>
        </is>
      </c>
      <c r="Q393" s="43" t="n">
        <v>5</v>
      </c>
    </row>
    <row r="394">
      <c r="A394" s="18" t="n">
        <v>361</v>
      </c>
      <c r="B394" s="19" t="inlineStr">
        <is>
          <t xml:space="preserve">        Tubería PEX-AL-PEX Multicapa Ø16 mm (m)</t>
        </is>
      </c>
      <c r="C394" s="20" t="inlineStr">
        <is>
          <t>Residencial / Comercial</t>
        </is>
      </c>
      <c r="D394" s="18" t="inlineStr">
        <is>
          <t>Tubería PEX</t>
        </is>
      </c>
      <c r="E394" s="18" t="inlineStr">
        <is>
          <t>m</t>
        </is>
      </c>
      <c r="F394" s="21" t="n">
        <v>30</v>
      </c>
      <c r="G394" s="22" t="n">
        <v>0.95</v>
      </c>
      <c r="H394" s="22" t="n">
        <v>0.97</v>
      </c>
      <c r="I394" s="18" t="inlineStr">
        <is>
          <t>Megametales</t>
        </is>
      </c>
      <c r="J394" s="22" t="n">
        <v>1.04</v>
      </c>
      <c r="K394" s="18" t="inlineStr">
        <is>
          <t>Ferrisariato</t>
        </is>
      </c>
      <c r="L394" s="8">
        <f>F394*G394</f>
        <v/>
      </c>
      <c r="M394" s="145" t="inlineStr">
        <is>
          <t>IS-D20-TAC-PEX-016</t>
        </is>
      </c>
      <c r="N394" s="18" t="inlineStr">
        <is>
          <t>Instalaciones sanitarias (hidrosanitarias)</t>
        </is>
      </c>
      <c r="O394" s="18" t="inlineStr">
        <is>
          <t>Estimado DION · criterio de mercado Guayaquil 2026 (no verificado en tienda)</t>
        </is>
      </c>
      <c r="P394" s="18" t="inlineStr">
        <is>
          <t>oct-2026 (est.)</t>
        </is>
      </c>
      <c r="Q394" s="18" t="n">
        <v>3</v>
      </c>
    </row>
    <row r="395">
      <c r="A395" s="43" t="n">
        <v>362</v>
      </c>
      <c r="B395" s="44" t="inlineStr">
        <is>
          <t xml:space="preserve">        Tubería PEX-AL-PEX Multicapa Ø20 mm (m)</t>
        </is>
      </c>
      <c r="C395" s="45" t="inlineStr">
        <is>
          <t>Residencial / Comercial</t>
        </is>
      </c>
      <c r="D395" s="43" t="inlineStr">
        <is>
          <t>Tubería PEX</t>
        </is>
      </c>
      <c r="E395" s="43" t="inlineStr">
        <is>
          <t>m</t>
        </is>
      </c>
      <c r="F395" s="46" t="n">
        <v>30</v>
      </c>
      <c r="G395" s="47" t="n">
        <v>1.35</v>
      </c>
      <c r="H395" s="47" t="n">
        <v>1.39</v>
      </c>
      <c r="I395" s="43" t="inlineStr">
        <is>
          <t>Megametales</t>
        </is>
      </c>
      <c r="J395" s="47" t="n">
        <v>1.47</v>
      </c>
      <c r="K395" s="43" t="inlineStr">
        <is>
          <t>Kywi / Megakywi</t>
        </is>
      </c>
      <c r="L395" s="48">
        <f>F395*G395</f>
        <v/>
      </c>
      <c r="M395" s="150" t="inlineStr">
        <is>
          <t>IS-D20-TAC-PEX-020</t>
        </is>
      </c>
      <c r="N395" s="43" t="inlineStr">
        <is>
          <t>Instalaciones sanitarias (hidrosanitarias)</t>
        </is>
      </c>
      <c r="O395" s="43" t="inlineStr">
        <is>
          <t>Estimado DION · criterio de mercado Guayaquil 2026 (no verificado en tienda)</t>
        </is>
      </c>
      <c r="P395" s="43" t="inlineStr">
        <is>
          <t>oct-2026 (est.)</t>
        </is>
      </c>
      <c r="Q395" s="43" t="n">
        <v>3</v>
      </c>
    </row>
    <row r="396">
      <c r="A396" s="18" t="n">
        <v>363</v>
      </c>
      <c r="B396" s="19" t="inlineStr">
        <is>
          <t xml:space="preserve">        Tubería PEX-AL-PEX Multicapa Ø26 mm (m)</t>
        </is>
      </c>
      <c r="C396" s="20" t="inlineStr">
        <is>
          <t>Residencial / Comercial</t>
        </is>
      </c>
      <c r="D396" s="18" t="inlineStr">
        <is>
          <t>Tubería PEX</t>
        </is>
      </c>
      <c r="E396" s="18" t="inlineStr">
        <is>
          <t>m</t>
        </is>
      </c>
      <c r="F396" s="21" t="n">
        <v>30</v>
      </c>
      <c r="G396" s="22" t="n">
        <v>2.05</v>
      </c>
      <c r="H396" s="22" t="n">
        <v>2.09</v>
      </c>
      <c r="I396" s="18" t="inlineStr">
        <is>
          <t>Megametales</t>
        </is>
      </c>
      <c r="J396" s="22" t="n">
        <v>2.23</v>
      </c>
      <c r="K396" s="18" t="inlineStr">
        <is>
          <t>Ferrisariato</t>
        </is>
      </c>
      <c r="L396" s="8">
        <f>F396*G396</f>
        <v/>
      </c>
      <c r="M396" s="145" t="inlineStr">
        <is>
          <t>IS-D20-TAC-PEX-026</t>
        </is>
      </c>
      <c r="N396" s="18" t="inlineStr">
        <is>
          <t>Instalaciones sanitarias (hidrosanitarias)</t>
        </is>
      </c>
      <c r="O396" s="18" t="inlineStr">
        <is>
          <t>Estimado DION · criterio de mercado Guayaquil 2026 (no verificado en tienda)</t>
        </is>
      </c>
      <c r="P396" s="18" t="inlineStr">
        <is>
          <t>oct-2026 (est.)</t>
        </is>
      </c>
      <c r="Q396" s="18" t="n">
        <v>3</v>
      </c>
    </row>
    <row r="397">
      <c r="A397" s="43" t="n">
        <v>364</v>
      </c>
      <c r="B397" s="44" t="inlineStr">
        <is>
          <t xml:space="preserve">        Tubería PEX-AL-PEX Multicapa Ø32 mm (m)</t>
        </is>
      </c>
      <c r="C397" s="45" t="inlineStr">
        <is>
          <t>Residencial / Comercial</t>
        </is>
      </c>
      <c r="D397" s="43" t="inlineStr">
        <is>
          <t>Tubería PEX</t>
        </is>
      </c>
      <c r="E397" s="43" t="inlineStr">
        <is>
          <t>m</t>
        </is>
      </c>
      <c r="F397" s="46" t="n">
        <v>30</v>
      </c>
      <c r="G397" s="47" t="n">
        <v>2.95</v>
      </c>
      <c r="H397" s="47" t="n">
        <v>3.04</v>
      </c>
      <c r="I397" s="43" t="inlineStr">
        <is>
          <t>Megametales</t>
        </is>
      </c>
      <c r="J397" s="47" t="n">
        <v>3.22</v>
      </c>
      <c r="K397" s="43" t="inlineStr">
        <is>
          <t>Kywi / Megakywi</t>
        </is>
      </c>
      <c r="L397" s="48">
        <f>F397*G397</f>
        <v/>
      </c>
      <c r="M397" s="150" t="inlineStr">
        <is>
          <t>IS-D20-TAC-PEX-032</t>
        </is>
      </c>
      <c r="N397" s="43" t="inlineStr">
        <is>
          <t>Instalaciones sanitarias (hidrosanitarias)</t>
        </is>
      </c>
      <c r="O397" s="43" t="inlineStr">
        <is>
          <t>Estimado DION · criterio de mercado Guayaquil 2026 (no verificado en tienda)</t>
        </is>
      </c>
      <c r="P397" s="43" t="inlineStr">
        <is>
          <t>oct-2026 (est.)</t>
        </is>
      </c>
      <c r="Q397" s="43" t="n">
        <v>3</v>
      </c>
    </row>
    <row r="398">
      <c r="A398" s="18" t="n">
        <v>365</v>
      </c>
      <c r="B398" s="19" t="inlineStr">
        <is>
          <t xml:space="preserve">        Tubería Cobre Tipo L ½" Agua Caliente (m)</t>
        </is>
      </c>
      <c r="C398" s="20" t="inlineStr">
        <is>
          <t>Comercial / Hospitalario</t>
        </is>
      </c>
      <c r="D398" s="18" t="inlineStr">
        <is>
          <t>Tubería Cobre</t>
        </is>
      </c>
      <c r="E398" s="18" t="inlineStr">
        <is>
          <t>m</t>
        </is>
      </c>
      <c r="F398" s="21" t="n">
        <v>10</v>
      </c>
      <c r="G398" s="22" t="n">
        <v>7.6</v>
      </c>
      <c r="H398" s="22" t="n">
        <v>7.75</v>
      </c>
      <c r="I398" s="18" t="inlineStr">
        <is>
          <t>Megametales</t>
        </is>
      </c>
      <c r="J398" s="22" t="n">
        <v>8.44</v>
      </c>
      <c r="K398" s="18" t="inlineStr">
        <is>
          <t>Ferrisariato</t>
        </is>
      </c>
      <c r="L398" s="8">
        <f>F398*G398</f>
        <v/>
      </c>
      <c r="M398" s="145" t="inlineStr">
        <is>
          <t>IS-D20-TAC-COB-DN15</t>
        </is>
      </c>
      <c r="N398" s="18" t="inlineStr">
        <is>
          <t>Instalaciones sanitarias (hidrosanitarias)</t>
        </is>
      </c>
      <c r="O398" s="18" t="inlineStr">
        <is>
          <t>Estimado DION · criterio de mercado Guayaquil 2026 (no verificado en tienda)</t>
        </is>
      </c>
      <c r="P398" s="18" t="inlineStr">
        <is>
          <t>oct-2026 (est.)</t>
        </is>
      </c>
      <c r="Q398" s="18" t="n">
        <v>3</v>
      </c>
    </row>
    <row r="399">
      <c r="A399" s="43" t="n">
        <v>366</v>
      </c>
      <c r="B399" s="44" t="inlineStr">
        <is>
          <t xml:space="preserve">        Tubería Cobre Tipo L ¾" Agua Caliente (m)</t>
        </is>
      </c>
      <c r="C399" s="45" t="inlineStr">
        <is>
          <t>Comercial / Hospitalario</t>
        </is>
      </c>
      <c r="D399" s="43" t="inlineStr">
        <is>
          <t>Tubería Cobre</t>
        </is>
      </c>
      <c r="E399" s="43" t="inlineStr">
        <is>
          <t>m</t>
        </is>
      </c>
      <c r="F399" s="46" t="n">
        <v>10</v>
      </c>
      <c r="G399" s="47" t="n">
        <v>11.8</v>
      </c>
      <c r="H399" s="47" t="n">
        <v>12.15</v>
      </c>
      <c r="I399" s="43" t="inlineStr">
        <is>
          <t>Megametales</t>
        </is>
      </c>
      <c r="J399" s="47" t="n">
        <v>12.63</v>
      </c>
      <c r="K399" s="43" t="inlineStr">
        <is>
          <t>Kywi / Megakywi</t>
        </is>
      </c>
      <c r="L399" s="48">
        <f>F399*G399</f>
        <v/>
      </c>
      <c r="M399" s="150" t="inlineStr">
        <is>
          <t>IS-D20-TAC-COB-DN20</t>
        </is>
      </c>
      <c r="N399" s="43" t="inlineStr">
        <is>
          <t>Instalaciones sanitarias (hidrosanitarias)</t>
        </is>
      </c>
      <c r="O399" s="43" t="inlineStr">
        <is>
          <t>Estimado DION · criterio de mercado Guayaquil 2026 (no verificado en tienda)</t>
        </is>
      </c>
      <c r="P399" s="43" t="inlineStr">
        <is>
          <t>oct-2026 (est.)</t>
        </is>
      </c>
      <c r="Q399" s="43" t="n">
        <v>3</v>
      </c>
    </row>
    <row r="400">
      <c r="A400" s="18" t="n">
        <v>367</v>
      </c>
      <c r="B400" s="19" t="inlineStr">
        <is>
          <t xml:space="preserve">        Tubería Cobre Tipo L 1" Agua Caliente (m)</t>
        </is>
      </c>
      <c r="C400" s="20" t="inlineStr">
        <is>
          <t>Comercial / Hospitalario</t>
        </is>
      </c>
      <c r="D400" s="18" t="inlineStr">
        <is>
          <t>Tubería Cobre</t>
        </is>
      </c>
      <c r="E400" s="18" t="inlineStr">
        <is>
          <t>m</t>
        </is>
      </c>
      <c r="F400" s="21" t="n">
        <v>10</v>
      </c>
      <c r="G400" s="22" t="n">
        <v>16.4</v>
      </c>
      <c r="H400" s="22" t="n">
        <v>16.73</v>
      </c>
      <c r="I400" s="18" t="inlineStr">
        <is>
          <t>Megametales</t>
        </is>
      </c>
      <c r="J400" s="22" t="n">
        <v>18.04</v>
      </c>
      <c r="K400" s="18" t="inlineStr">
        <is>
          <t>Ferrisariato</t>
        </is>
      </c>
      <c r="L400" s="8">
        <f>F400*G400</f>
        <v/>
      </c>
      <c r="M400" s="145" t="inlineStr">
        <is>
          <t>IS-D20-TAC-COB-DN25</t>
        </is>
      </c>
      <c r="N400" s="18" t="inlineStr">
        <is>
          <t>Instalaciones sanitarias (hidrosanitarias)</t>
        </is>
      </c>
      <c r="O400" s="18" t="inlineStr">
        <is>
          <t>Estimado DION · criterio de mercado Guayaquil 2026 (no verificado en tienda)</t>
        </is>
      </c>
      <c r="P400" s="18" t="inlineStr">
        <is>
          <t>oct-2026 (est.)</t>
        </is>
      </c>
      <c r="Q400" s="18" t="n">
        <v>3</v>
      </c>
    </row>
    <row r="401">
      <c r="A401" s="40" t="inlineStr">
        <is>
          <t>EQUIPOS</t>
        </is>
      </c>
      <c r="B401" s="143" t="n"/>
      <c r="C401" s="143" t="n"/>
      <c r="D401" s="143" t="n"/>
      <c r="E401" s="143" t="n"/>
      <c r="F401" s="143" t="n"/>
      <c r="G401" s="143" t="n"/>
      <c r="H401" s="143" t="n"/>
      <c r="I401" s="143" t="n"/>
      <c r="J401" s="143" t="n"/>
      <c r="K401" s="143" t="n"/>
      <c r="L401" s="143" t="n"/>
      <c r="M401" s="143" t="n"/>
      <c r="N401" s="143" t="n"/>
      <c r="O401" s="143" t="n"/>
      <c r="P401" s="143" t="n"/>
      <c r="Q401" s="144" t="n"/>
    </row>
    <row r="402">
      <c r="A402" s="41" t="inlineStr">
        <is>
          <t xml:space="preserve">  ► CATEGORÍA: CALENTADORES A GAS, ELÉCTRICOS Y SOLARES</t>
        </is>
      </c>
      <c r="B402" s="143" t="n"/>
      <c r="C402" s="143" t="n"/>
      <c r="D402" s="143" t="n"/>
      <c r="E402" s="143" t="n"/>
      <c r="F402" s="143" t="n"/>
      <c r="G402" s="143" t="n"/>
      <c r="H402" s="143" t="n"/>
      <c r="I402" s="143" t="n"/>
      <c r="J402" s="143" t="n"/>
      <c r="K402" s="143" t="n"/>
      <c r="L402" s="143" t="n"/>
      <c r="M402" s="143" t="n"/>
      <c r="N402" s="143" t="n"/>
      <c r="O402" s="143" t="n"/>
      <c r="P402" s="143" t="n"/>
      <c r="Q402" s="144" t="n"/>
    </row>
    <row r="403">
      <c r="A403" s="42" t="inlineStr">
        <is>
          <t xml:space="preserve">      • Subcategoría Especificada: Paso Rápido, Acumulación y Colectores Solares</t>
        </is>
      </c>
      <c r="B403" s="143" t="n"/>
      <c r="C403" s="143" t="n"/>
      <c r="D403" s="143" t="n"/>
      <c r="E403" s="143" t="n"/>
      <c r="F403" s="143" t="n"/>
      <c r="G403" s="143" t="n"/>
      <c r="H403" s="143" t="n"/>
      <c r="I403" s="143" t="n"/>
      <c r="J403" s="143" t="n"/>
      <c r="K403" s="143" t="n"/>
      <c r="L403" s="143" t="n"/>
      <c r="M403" s="143" t="n"/>
      <c r="N403" s="143" t="n"/>
      <c r="O403" s="143" t="n"/>
      <c r="P403" s="143" t="n"/>
      <c r="Q403" s="144" t="n"/>
    </row>
    <row r="404">
      <c r="A404" s="43" t="n">
        <v>368</v>
      </c>
      <c r="B404" s="44" t="inlineStr">
        <is>
          <t xml:space="preserve">        Calentador de Agua a Gas Paso Rápido 16L/min</t>
        </is>
      </c>
      <c r="C404" s="45" t="inlineStr">
        <is>
          <t>Residencial</t>
        </is>
      </c>
      <c r="D404" s="43" t="inlineStr">
        <is>
          <t>Calentadores Gas</t>
        </is>
      </c>
      <c r="E404" s="43" t="inlineStr">
        <is>
          <t>U</t>
        </is>
      </c>
      <c r="F404" s="46" t="n">
        <v>1</v>
      </c>
      <c r="G404" s="47" t="n">
        <v>280</v>
      </c>
      <c r="H404" s="47" t="n">
        <v>285</v>
      </c>
      <c r="I404" s="43" t="inlineStr">
        <is>
          <t>Megametales</t>
        </is>
      </c>
      <c r="J404" s="47" t="n">
        <v>299</v>
      </c>
      <c r="K404" s="43" t="inlineStr">
        <is>
          <t>Kywi / Megakywi</t>
        </is>
      </c>
      <c r="L404" s="48">
        <f>F404*G404</f>
        <v/>
      </c>
      <c r="M404" s="150" t="inlineStr">
        <is>
          <t>IS-D20-CAL-GAS-16L</t>
        </is>
      </c>
      <c r="N404" s="43" t="inlineStr">
        <is>
          <t>Instalaciones sanitarias (hidrosanitarias)</t>
        </is>
      </c>
      <c r="O404" s="43" t="inlineStr">
        <is>
          <t>Estimado · base original del usuario (sin cotización verificada)</t>
        </is>
      </c>
      <c r="P404" s="43" t="inlineStr">
        <is>
          <t>oct-2026 (est.)</t>
        </is>
      </c>
      <c r="Q404" s="43" t="n"/>
    </row>
    <row r="405">
      <c r="A405" s="18" t="n">
        <v>369</v>
      </c>
      <c r="B405" s="19" t="inlineStr">
        <is>
          <t xml:space="preserve">        Calentador Eléctrico Acumulación 40 Galones Vertical</t>
        </is>
      </c>
      <c r="C405" s="20" t="inlineStr">
        <is>
          <t>Residencial / Comercial</t>
        </is>
      </c>
      <c r="D405" s="18" t="inlineStr">
        <is>
          <t>Calentadores Eléctricos</t>
        </is>
      </c>
      <c r="E405" s="18" t="inlineStr">
        <is>
          <t>U</t>
        </is>
      </c>
      <c r="F405" s="21" t="n">
        <v>1</v>
      </c>
      <c r="G405" s="22" t="n">
        <v>480</v>
      </c>
      <c r="H405" s="22" t="n">
        <v>495</v>
      </c>
      <c r="I405" s="18" t="inlineStr">
        <is>
          <t>Megametales</t>
        </is>
      </c>
      <c r="J405" s="22" t="n">
        <v>520</v>
      </c>
      <c r="K405" s="18" t="inlineStr">
        <is>
          <t>Ferrisariato</t>
        </is>
      </c>
      <c r="L405" s="8">
        <f>F405*G405</f>
        <v/>
      </c>
      <c r="M405" s="145" t="inlineStr">
        <is>
          <t>IS-D20-CAL-ELE-040G</t>
        </is>
      </c>
      <c r="N405" s="18" t="inlineStr">
        <is>
          <t>Instalaciones sanitarias (hidrosanitarias)</t>
        </is>
      </c>
      <c r="O405" s="18" t="inlineStr">
        <is>
          <t>Estimado · base original del usuario (sin cotización verificada)</t>
        </is>
      </c>
      <c r="P405" s="18" t="inlineStr">
        <is>
          <t>oct-2026 (est.)</t>
        </is>
      </c>
      <c r="Q405" s="18" t="n"/>
    </row>
    <row r="406">
      <c r="A406" s="43" t="n">
        <v>370</v>
      </c>
      <c r="B406" s="44" t="inlineStr">
        <is>
          <t xml:space="preserve">        Colector Solar Térmico para Agua Caliente 200L</t>
        </is>
      </c>
      <c r="C406" s="45" t="inlineStr">
        <is>
          <t>Residencial / Comercial</t>
        </is>
      </c>
      <c r="D406" s="43" t="inlineStr">
        <is>
          <t>Calentadores Solares</t>
        </is>
      </c>
      <c r="E406" s="43" t="inlineStr">
        <is>
          <t>U</t>
        </is>
      </c>
      <c r="F406" s="46" t="n">
        <v>1</v>
      </c>
      <c r="G406" s="47" t="n">
        <v>950</v>
      </c>
      <c r="H406" s="47" t="n">
        <v>980</v>
      </c>
      <c r="I406" s="43" t="inlineStr">
        <is>
          <t>Megametales</t>
        </is>
      </c>
      <c r="J406" s="47" t="n">
        <v>1040</v>
      </c>
      <c r="K406" s="43" t="inlineStr">
        <is>
          <t>Kywi / Megakywi</t>
        </is>
      </c>
      <c r="L406" s="48">
        <f>F406*G406</f>
        <v/>
      </c>
      <c r="M406" s="150" t="inlineStr">
        <is>
          <t>IS-D20-CAL-SOL-200L</t>
        </is>
      </c>
      <c r="N406" s="43" t="inlineStr">
        <is>
          <t>Instalaciones sanitarias (hidrosanitarias)</t>
        </is>
      </c>
      <c r="O406" s="43" t="inlineStr">
        <is>
          <t>Estimado · base original del usuario (sin cotización verificada)</t>
        </is>
      </c>
      <c r="P406" s="43" t="inlineStr">
        <is>
          <t>oct-2026 (est.)</t>
        </is>
      </c>
      <c r="Q406" s="43" t="n"/>
    </row>
    <row r="407">
      <c r="A407" s="18" t="n">
        <v>371</v>
      </c>
      <c r="B407" s="19" t="inlineStr">
        <is>
          <t xml:space="preserve">        Bomba Recirculadora de Agua Caliente 1/6 HP Silenciosa</t>
        </is>
      </c>
      <c r="C407" s="20" t="inlineStr">
        <is>
          <t>Residencial / Comercial</t>
        </is>
      </c>
      <c r="D407" s="18" t="inlineStr">
        <is>
          <t>Bombas Recirculadoras</t>
        </is>
      </c>
      <c r="E407" s="18" t="inlineStr">
        <is>
          <t>U</t>
        </is>
      </c>
      <c r="F407" s="21" t="n">
        <v>1</v>
      </c>
      <c r="G407" s="22" t="n">
        <v>125</v>
      </c>
      <c r="H407" s="22" t="n">
        <v>130</v>
      </c>
      <c r="I407" s="18" t="inlineStr">
        <is>
          <t>Megametales</t>
        </is>
      </c>
      <c r="J407" s="22" t="n">
        <v>138</v>
      </c>
      <c r="K407" s="18" t="inlineStr">
        <is>
          <t>Ferrisariato</t>
        </is>
      </c>
      <c r="L407" s="8">
        <f>F407*G407</f>
        <v/>
      </c>
      <c r="M407" s="145" t="inlineStr">
        <is>
          <t>IS-D20-BOM-CIR-AC</t>
        </is>
      </c>
      <c r="N407" s="18" t="inlineStr">
        <is>
          <t>Instalaciones sanitarias (hidrosanitarias)</t>
        </is>
      </c>
      <c r="O407" s="18" t="inlineStr">
        <is>
          <t>Estimado · base original del usuario (sin cotización verificada)</t>
        </is>
      </c>
      <c r="P407" s="18" t="inlineStr">
        <is>
          <t>oct-2026 (est.)</t>
        </is>
      </c>
      <c r="Q407" s="18" t="n"/>
    </row>
    <row r="408">
      <c r="A408" s="42" t="inlineStr">
        <is>
          <t xml:space="preserve">      • Subcategoría Especificada: Calentadores por Capacidad, Bombas de Calor y Acumulación</t>
        </is>
      </c>
      <c r="B408" s="143" t="n"/>
      <c r="C408" s="143" t="n"/>
      <c r="D408" s="143" t="n"/>
      <c r="E408" s="143" t="n"/>
      <c r="F408" s="143" t="n"/>
      <c r="G408" s="143" t="n"/>
      <c r="H408" s="143" t="n"/>
      <c r="I408" s="143" t="n"/>
      <c r="J408" s="143" t="n"/>
      <c r="K408" s="143" t="n"/>
      <c r="L408" s="143" t="n"/>
      <c r="M408" s="143" t="n"/>
      <c r="N408" s="143" t="n"/>
      <c r="O408" s="143" t="n"/>
      <c r="P408" s="143" t="n"/>
      <c r="Q408" s="144" t="n"/>
    </row>
    <row r="409">
      <c r="A409" s="43" t="n">
        <v>372</v>
      </c>
      <c r="B409" s="44" t="inlineStr">
        <is>
          <t xml:space="preserve">        Calentador Eléctrico de Acumulación 10 gal</t>
        </is>
      </c>
      <c r="C409" s="45" t="inlineStr">
        <is>
          <t>Residencial / Comercial</t>
        </is>
      </c>
      <c r="D409" s="43" t="inlineStr">
        <is>
          <t>Calentadores Eléctricos</t>
        </is>
      </c>
      <c r="E409" s="43" t="inlineStr">
        <is>
          <t>U</t>
        </is>
      </c>
      <c r="F409" s="46" t="n">
        <v>1</v>
      </c>
      <c r="G409" s="47" t="n">
        <v>165</v>
      </c>
      <c r="H409" s="47" t="n">
        <v>169.95</v>
      </c>
      <c r="I409" s="43" t="inlineStr">
        <is>
          <t>Megametales</t>
        </is>
      </c>
      <c r="J409" s="47" t="n">
        <v>178.2</v>
      </c>
      <c r="K409" s="43" t="inlineStr">
        <is>
          <t>Kywi / Megakywi</t>
        </is>
      </c>
      <c r="L409" s="48">
        <f>F409*G409</f>
        <v/>
      </c>
      <c r="M409" s="150" t="inlineStr">
        <is>
          <t>IS-D20-CAL-ELE-010G</t>
        </is>
      </c>
      <c r="N409" s="43" t="inlineStr">
        <is>
          <t>Instalaciones sanitarias (hidrosanitarias)</t>
        </is>
      </c>
      <c r="O409" s="43" t="inlineStr">
        <is>
          <t>Estimado DION · criterio de mercado Guayaquil 2026 (no verificado en tienda)</t>
        </is>
      </c>
      <c r="P409" s="43" t="inlineStr">
        <is>
          <t>oct-2026 (est.)</t>
        </is>
      </c>
      <c r="Q409" s="43" t="n"/>
    </row>
    <row r="410">
      <c r="A410" s="18" t="n">
        <v>373</v>
      </c>
      <c r="B410" s="19" t="inlineStr">
        <is>
          <t xml:space="preserve">        Calentador Eléctrico de Acumulación 20 gal</t>
        </is>
      </c>
      <c r="C410" s="20" t="inlineStr">
        <is>
          <t>Residencial / Comercial</t>
        </is>
      </c>
      <c r="D410" s="18" t="inlineStr">
        <is>
          <t>Calentadores Eléctricos</t>
        </is>
      </c>
      <c r="E410" s="18" t="inlineStr">
        <is>
          <t>U</t>
        </is>
      </c>
      <c r="F410" s="21" t="n">
        <v>1</v>
      </c>
      <c r="G410" s="22" t="n">
        <v>265</v>
      </c>
      <c r="H410" s="22" t="n">
        <v>270.3</v>
      </c>
      <c r="I410" s="18" t="inlineStr">
        <is>
          <t>Megametales</t>
        </is>
      </c>
      <c r="J410" s="22" t="n">
        <v>283.55</v>
      </c>
      <c r="K410" s="18" t="inlineStr">
        <is>
          <t>Ferrisariato</t>
        </is>
      </c>
      <c r="L410" s="8">
        <f>F410*G410</f>
        <v/>
      </c>
      <c r="M410" s="145" t="inlineStr">
        <is>
          <t>IS-D20-CAL-ELE-020G</t>
        </is>
      </c>
      <c r="N410" s="18" t="inlineStr">
        <is>
          <t>Instalaciones sanitarias (hidrosanitarias)</t>
        </is>
      </c>
      <c r="O410" s="18" t="inlineStr">
        <is>
          <t>Estimado DION · criterio de mercado Guayaquil 2026 (no verificado en tienda)</t>
        </is>
      </c>
      <c r="P410" s="18" t="inlineStr">
        <is>
          <t>oct-2026 (est.)</t>
        </is>
      </c>
      <c r="Q410" s="18" t="n"/>
    </row>
    <row r="411">
      <c r="A411" s="43" t="n">
        <v>374</v>
      </c>
      <c r="B411" s="44" t="inlineStr">
        <is>
          <t xml:space="preserve">        Calentador Eléctrico de Acumulación 30 gal</t>
        </is>
      </c>
      <c r="C411" s="45" t="inlineStr">
        <is>
          <t>Residencial / Comercial</t>
        </is>
      </c>
      <c r="D411" s="43" t="inlineStr">
        <is>
          <t>Calentadores Eléctricos</t>
        </is>
      </c>
      <c r="E411" s="43" t="inlineStr">
        <is>
          <t>U</t>
        </is>
      </c>
      <c r="F411" s="46" t="n">
        <v>1</v>
      </c>
      <c r="G411" s="47" t="n">
        <v>385</v>
      </c>
      <c r="H411" s="47" t="n">
        <v>392.7</v>
      </c>
      <c r="I411" s="43" t="inlineStr">
        <is>
          <t>Megametales</t>
        </is>
      </c>
      <c r="J411" s="47" t="n">
        <v>427.35</v>
      </c>
      <c r="K411" s="43" t="inlineStr">
        <is>
          <t>Kywi / Megakywi</t>
        </is>
      </c>
      <c r="L411" s="48">
        <f>F411*G411</f>
        <v/>
      </c>
      <c r="M411" s="150" t="inlineStr">
        <is>
          <t>IS-D20-CAL-ELE-030G</t>
        </is>
      </c>
      <c r="N411" s="43" t="inlineStr">
        <is>
          <t>Instalaciones sanitarias (hidrosanitarias)</t>
        </is>
      </c>
      <c r="O411" s="43" t="inlineStr">
        <is>
          <t>Estimado DION · criterio de mercado Guayaquil 2026 (no verificado en tienda)</t>
        </is>
      </c>
      <c r="P411" s="43" t="inlineStr">
        <is>
          <t>oct-2026 (est.)</t>
        </is>
      </c>
      <c r="Q411" s="43" t="n"/>
    </row>
    <row r="412">
      <c r="A412" s="18" t="n">
        <v>375</v>
      </c>
      <c r="B412" s="19" t="inlineStr">
        <is>
          <t xml:space="preserve">        Calentador Eléctrico de Acumulación 52 gal</t>
        </is>
      </c>
      <c r="C412" s="20" t="inlineStr">
        <is>
          <t>Residencial / Comercial</t>
        </is>
      </c>
      <c r="D412" s="18" t="inlineStr">
        <is>
          <t>Calentadores Eléctricos</t>
        </is>
      </c>
      <c r="E412" s="18" t="inlineStr">
        <is>
          <t>U</t>
        </is>
      </c>
      <c r="F412" s="21" t="n">
        <v>0</v>
      </c>
      <c r="G412" s="22" t="n">
        <v>620</v>
      </c>
      <c r="H412" s="22" t="n">
        <v>632.4</v>
      </c>
      <c r="I412" s="18" t="inlineStr">
        <is>
          <t>Megametales</t>
        </is>
      </c>
      <c r="J412" s="22" t="n">
        <v>663.4</v>
      </c>
      <c r="K412" s="18" t="inlineStr">
        <is>
          <t>Ferrisariato</t>
        </is>
      </c>
      <c r="L412" s="8">
        <f>F412*G412</f>
        <v/>
      </c>
      <c r="M412" s="145" t="inlineStr">
        <is>
          <t>IS-D20-CAL-ELE-052G</t>
        </is>
      </c>
      <c r="N412" s="18" t="inlineStr">
        <is>
          <t>Instalaciones sanitarias (hidrosanitarias)</t>
        </is>
      </c>
      <c r="O412" s="18" t="inlineStr">
        <is>
          <t>Estimado DION · criterio de mercado Guayaquil 2026 (no verificado en tienda)</t>
        </is>
      </c>
      <c r="P412" s="18" t="inlineStr">
        <is>
          <t>oct-2026 (est.)</t>
        </is>
      </c>
      <c r="Q412" s="18" t="n"/>
    </row>
    <row r="413">
      <c r="A413" s="43" t="n">
        <v>376</v>
      </c>
      <c r="B413" s="44" t="inlineStr">
        <is>
          <t xml:space="preserve">        Calentador Eléctrico de Acumulación 80 gal</t>
        </is>
      </c>
      <c r="C413" s="45" t="inlineStr">
        <is>
          <t>Residencial / Comercial</t>
        </is>
      </c>
      <c r="D413" s="43" t="inlineStr">
        <is>
          <t>Calentadores Eléctricos</t>
        </is>
      </c>
      <c r="E413" s="43" t="inlineStr">
        <is>
          <t>U</t>
        </is>
      </c>
      <c r="F413" s="46" t="n">
        <v>0</v>
      </c>
      <c r="G413" s="47" t="n">
        <v>980</v>
      </c>
      <c r="H413" s="47" t="n">
        <v>1019.2</v>
      </c>
      <c r="I413" s="43" t="inlineStr">
        <is>
          <t>Megametales</t>
        </is>
      </c>
      <c r="J413" s="47" t="n">
        <v>1048.6</v>
      </c>
      <c r="K413" s="43" t="inlineStr">
        <is>
          <t>Kywi / Megakywi</t>
        </is>
      </c>
      <c r="L413" s="48">
        <f>F413*G413</f>
        <v/>
      </c>
      <c r="M413" s="150" t="inlineStr">
        <is>
          <t>IS-D20-CAL-ELE-080G</t>
        </is>
      </c>
      <c r="N413" s="43" t="inlineStr">
        <is>
          <t>Instalaciones sanitarias (hidrosanitarias)</t>
        </is>
      </c>
      <c r="O413" s="43" t="inlineStr">
        <is>
          <t>Estimado DION · criterio de mercado Guayaquil 2026 (no verificado en tienda)</t>
        </is>
      </c>
      <c r="P413" s="43" t="inlineStr">
        <is>
          <t>oct-2026 (est.)</t>
        </is>
      </c>
      <c r="Q413" s="43" t="n"/>
    </row>
    <row r="414">
      <c r="A414" s="18" t="n">
        <v>377</v>
      </c>
      <c r="B414" s="19" t="inlineStr">
        <is>
          <t xml:space="preserve">        Calentador a Gas Paso Rápido 13 L/min Tiro Forzado</t>
        </is>
      </c>
      <c r="C414" s="20" t="inlineStr">
        <is>
          <t>Residencial / Comercial</t>
        </is>
      </c>
      <c r="D414" s="18" t="inlineStr">
        <is>
          <t>Calentadores Gas</t>
        </is>
      </c>
      <c r="E414" s="18" t="inlineStr">
        <is>
          <t>U</t>
        </is>
      </c>
      <c r="F414" s="21" t="n">
        <v>1</v>
      </c>
      <c r="G414" s="22" t="n">
        <v>235</v>
      </c>
      <c r="H414" s="22" t="n">
        <v>242.05</v>
      </c>
      <c r="I414" s="18" t="inlineStr">
        <is>
          <t>Megametales</t>
        </is>
      </c>
      <c r="J414" s="22" t="n">
        <v>256.15</v>
      </c>
      <c r="K414" s="18" t="inlineStr">
        <is>
          <t>Ferrisariato</t>
        </is>
      </c>
      <c r="L414" s="8">
        <f>F414*G414</f>
        <v/>
      </c>
      <c r="M414" s="145" t="inlineStr">
        <is>
          <t>IS-D20-CAL-GAS-13L</t>
        </is>
      </c>
      <c r="N414" s="18" t="inlineStr">
        <is>
          <t>Instalaciones sanitarias (hidrosanitarias)</t>
        </is>
      </c>
      <c r="O414" s="18" t="inlineStr">
        <is>
          <t>Estimado DION · criterio de mercado Guayaquil 2026 (no verificado en tienda)</t>
        </is>
      </c>
      <c r="P414" s="18" t="inlineStr">
        <is>
          <t>oct-2026 (est.)</t>
        </is>
      </c>
      <c r="Q414" s="18" t="n"/>
    </row>
    <row r="415">
      <c r="A415" s="43" t="n">
        <v>378</v>
      </c>
      <c r="B415" s="44" t="inlineStr">
        <is>
          <t xml:space="preserve">        Calentador a Gas Paso Rápido 20 L/min Tiro Forzado</t>
        </is>
      </c>
      <c r="C415" s="45" t="inlineStr">
        <is>
          <t>Residencial / Comercial</t>
        </is>
      </c>
      <c r="D415" s="43" t="inlineStr">
        <is>
          <t>Calentadores Gas</t>
        </is>
      </c>
      <c r="E415" s="43" t="inlineStr">
        <is>
          <t>U</t>
        </is>
      </c>
      <c r="F415" s="46" t="n">
        <v>1</v>
      </c>
      <c r="G415" s="47" t="n">
        <v>395</v>
      </c>
      <c r="H415" s="47" t="n">
        <v>406.85</v>
      </c>
      <c r="I415" s="43" t="inlineStr">
        <is>
          <t>Megametales</t>
        </is>
      </c>
      <c r="J415" s="47" t="n">
        <v>434.5</v>
      </c>
      <c r="K415" s="43" t="inlineStr">
        <is>
          <t>Kywi / Megakywi</t>
        </is>
      </c>
      <c r="L415" s="48">
        <f>F415*G415</f>
        <v/>
      </c>
      <c r="M415" s="150" t="inlineStr">
        <is>
          <t>IS-D20-CAL-GAS-20L</t>
        </is>
      </c>
      <c r="N415" s="43" t="inlineStr">
        <is>
          <t>Instalaciones sanitarias (hidrosanitarias)</t>
        </is>
      </c>
      <c r="O415" s="43" t="inlineStr">
        <is>
          <t>Estimado DION · criterio de mercado Guayaquil 2026 (no verificado en tienda)</t>
        </is>
      </c>
      <c r="P415" s="43" t="inlineStr">
        <is>
          <t>oct-2026 (est.)</t>
        </is>
      </c>
      <c r="Q415" s="43" t="n"/>
    </row>
    <row r="416">
      <c r="A416" s="18" t="n">
        <v>379</v>
      </c>
      <c r="B416" s="19" t="inlineStr">
        <is>
          <t xml:space="preserve">        Calentador a Gas Paso Rápido 26 L/min Tiro Forzado</t>
        </is>
      </c>
      <c r="C416" s="20" t="inlineStr">
        <is>
          <t>Residencial / Comercial</t>
        </is>
      </c>
      <c r="D416" s="18" t="inlineStr">
        <is>
          <t>Calentadores Gas</t>
        </is>
      </c>
      <c r="E416" s="18" t="inlineStr">
        <is>
          <t>U</t>
        </is>
      </c>
      <c r="F416" s="21" t="n">
        <v>0</v>
      </c>
      <c r="G416" s="22" t="n">
        <v>520</v>
      </c>
      <c r="H416" s="22" t="n">
        <v>546</v>
      </c>
      <c r="I416" s="18" t="inlineStr">
        <is>
          <t>Megametales</t>
        </is>
      </c>
      <c r="J416" s="22" t="n">
        <v>572</v>
      </c>
      <c r="K416" s="18" t="inlineStr">
        <is>
          <t>Ferrisariato</t>
        </is>
      </c>
      <c r="L416" s="8">
        <f>F416*G416</f>
        <v/>
      </c>
      <c r="M416" s="145" t="inlineStr">
        <is>
          <t>IS-D20-CAL-GAS-26L</t>
        </is>
      </c>
      <c r="N416" s="18" t="inlineStr">
        <is>
          <t>Instalaciones sanitarias (hidrosanitarias)</t>
        </is>
      </c>
      <c r="O416" s="18" t="inlineStr">
        <is>
          <t>Estimado DION · criterio de mercado Guayaquil 2026 (no verificado en tienda)</t>
        </is>
      </c>
      <c r="P416" s="18" t="inlineStr">
        <is>
          <t>oct-2026 (est.)</t>
        </is>
      </c>
      <c r="Q416" s="18" t="n"/>
    </row>
    <row r="417">
      <c r="A417" s="43" t="n">
        <v>380</v>
      </c>
      <c r="B417" s="44" t="inlineStr">
        <is>
          <t xml:space="preserve">        Calentador a Gas Paso Rápido 32 L/min Tiro Forzado</t>
        </is>
      </c>
      <c r="C417" s="45" t="inlineStr">
        <is>
          <t>Residencial / Comercial</t>
        </is>
      </c>
      <c r="D417" s="43" t="inlineStr">
        <is>
          <t>Calentadores Gas</t>
        </is>
      </c>
      <c r="E417" s="43" t="inlineStr">
        <is>
          <t>U</t>
        </is>
      </c>
      <c r="F417" s="46" t="n">
        <v>0</v>
      </c>
      <c r="G417" s="47" t="n">
        <v>690</v>
      </c>
      <c r="H417" s="47" t="n">
        <v>724.5</v>
      </c>
      <c r="I417" s="43" t="inlineStr">
        <is>
          <t>Megametales</t>
        </is>
      </c>
      <c r="J417" s="47" t="n">
        <v>759</v>
      </c>
      <c r="K417" s="43" t="inlineStr">
        <is>
          <t>Kywi / Megakywi</t>
        </is>
      </c>
      <c r="L417" s="48">
        <f>F417*G417</f>
        <v/>
      </c>
      <c r="M417" s="150" t="inlineStr">
        <is>
          <t>IS-D20-CAL-GAS-32L</t>
        </is>
      </c>
      <c r="N417" s="43" t="inlineStr">
        <is>
          <t>Instalaciones sanitarias (hidrosanitarias)</t>
        </is>
      </c>
      <c r="O417" s="43" t="inlineStr">
        <is>
          <t>Estimado DION · criterio de mercado Guayaquil 2026 (no verificado en tienda)</t>
        </is>
      </c>
      <c r="P417" s="43" t="inlineStr">
        <is>
          <t>oct-2026 (est.)</t>
        </is>
      </c>
      <c r="Q417" s="43" t="n"/>
    </row>
    <row r="418">
      <c r="A418" s="18" t="n">
        <v>381</v>
      </c>
      <c r="B418" s="19" t="inlineStr">
        <is>
          <t xml:space="preserve">        Calentador Solar Termosifón 150 L</t>
        </is>
      </c>
      <c r="C418" s="20" t="inlineStr">
        <is>
          <t>Residencial / Comercial</t>
        </is>
      </c>
      <c r="D418" s="18" t="inlineStr">
        <is>
          <t>Calentadores Solares</t>
        </is>
      </c>
      <c r="E418" s="18" t="inlineStr">
        <is>
          <t>U</t>
        </is>
      </c>
      <c r="F418" s="21" t="n">
        <v>0</v>
      </c>
      <c r="G418" s="22" t="n">
        <v>760</v>
      </c>
      <c r="H418" s="22" t="n">
        <v>790.4</v>
      </c>
      <c r="I418" s="18" t="inlineStr">
        <is>
          <t>Megametales</t>
        </is>
      </c>
      <c r="J418" s="22" t="n">
        <v>828.4</v>
      </c>
      <c r="K418" s="18" t="inlineStr">
        <is>
          <t>Ferrisariato</t>
        </is>
      </c>
      <c r="L418" s="8">
        <f>F418*G418</f>
        <v/>
      </c>
      <c r="M418" s="145" t="inlineStr">
        <is>
          <t>IS-D20-CAL-SOL-150L</t>
        </is>
      </c>
      <c r="N418" s="18" t="inlineStr">
        <is>
          <t>Instalaciones sanitarias (hidrosanitarias)</t>
        </is>
      </c>
      <c r="O418" s="18" t="inlineStr">
        <is>
          <t>Estimado DION · criterio de mercado Guayaquil 2026 (no verificado en tienda)</t>
        </is>
      </c>
      <c r="P418" s="18" t="inlineStr">
        <is>
          <t>oct-2026 (est.)</t>
        </is>
      </c>
      <c r="Q418" s="18" t="n"/>
    </row>
    <row r="419">
      <c r="A419" s="43" t="n">
        <v>382</v>
      </c>
      <c r="B419" s="44" t="inlineStr">
        <is>
          <t xml:space="preserve">        Calentador Solar Termosifón 300 L</t>
        </is>
      </c>
      <c r="C419" s="45" t="inlineStr">
        <is>
          <t>Residencial / Comercial</t>
        </is>
      </c>
      <c r="D419" s="43" t="inlineStr">
        <is>
          <t>Calentadores Solares</t>
        </is>
      </c>
      <c r="E419" s="43" t="inlineStr">
        <is>
          <t>U</t>
        </is>
      </c>
      <c r="F419" s="46" t="n">
        <v>0</v>
      </c>
      <c r="G419" s="47" t="n">
        <v>1350</v>
      </c>
      <c r="H419" s="47" t="n">
        <v>1390.5</v>
      </c>
      <c r="I419" s="43" t="inlineStr">
        <is>
          <t>Megametales</t>
        </is>
      </c>
      <c r="J419" s="47" t="n">
        <v>1498.5</v>
      </c>
      <c r="K419" s="43" t="inlineStr">
        <is>
          <t>Kywi / Megakywi</t>
        </is>
      </c>
      <c r="L419" s="48">
        <f>F419*G419</f>
        <v/>
      </c>
      <c r="M419" s="150" t="inlineStr">
        <is>
          <t>IS-D20-CAL-SOL-300L</t>
        </is>
      </c>
      <c r="N419" s="43" t="inlineStr">
        <is>
          <t>Instalaciones sanitarias (hidrosanitarias)</t>
        </is>
      </c>
      <c r="O419" s="43" t="inlineStr">
        <is>
          <t>Estimado DION · criterio de mercado Guayaquil 2026 (no verificado en tienda)</t>
        </is>
      </c>
      <c r="P419" s="43" t="inlineStr">
        <is>
          <t>oct-2026 (est.)</t>
        </is>
      </c>
      <c r="Q419" s="43" t="n"/>
    </row>
    <row r="420">
      <c r="A420" s="18" t="n">
        <v>383</v>
      </c>
      <c r="B420" s="19" t="inlineStr">
        <is>
          <t xml:space="preserve">        Calentador Solar Termosifón 500 L</t>
        </is>
      </c>
      <c r="C420" s="20" t="inlineStr">
        <is>
          <t>Residencial / Comercial</t>
        </is>
      </c>
      <c r="D420" s="18" t="inlineStr">
        <is>
          <t>Calentadores Solares</t>
        </is>
      </c>
      <c r="E420" s="18" t="inlineStr">
        <is>
          <t>U</t>
        </is>
      </c>
      <c r="F420" s="21" t="n">
        <v>0</v>
      </c>
      <c r="G420" s="22" t="n">
        <v>2250</v>
      </c>
      <c r="H420" s="22" t="n">
        <v>2362.5</v>
      </c>
      <c r="I420" s="18" t="inlineStr">
        <is>
          <t>Megametales</t>
        </is>
      </c>
      <c r="J420" s="22" t="n">
        <v>2497.5</v>
      </c>
      <c r="K420" s="18" t="inlineStr">
        <is>
          <t>Ferrisariato</t>
        </is>
      </c>
      <c r="L420" s="8">
        <f>F420*G420</f>
        <v/>
      </c>
      <c r="M420" s="145" t="inlineStr">
        <is>
          <t>IS-D20-CAL-SOL-500L</t>
        </is>
      </c>
      <c r="N420" s="18" t="inlineStr">
        <is>
          <t>Instalaciones sanitarias (hidrosanitarias)</t>
        </is>
      </c>
      <c r="O420" s="18" t="inlineStr">
        <is>
          <t>Estimado DION · criterio de mercado Guayaquil 2026 (no verificado en tienda)</t>
        </is>
      </c>
      <c r="P420" s="18" t="inlineStr">
        <is>
          <t>oct-2026 (est.)</t>
        </is>
      </c>
      <c r="Q420" s="18" t="n"/>
    </row>
    <row r="421">
      <c r="A421" s="43" t="n">
        <v>384</v>
      </c>
      <c r="B421" s="44" t="inlineStr">
        <is>
          <t xml:space="preserve">        Bomba de Calor Agua Caliente Sanitaria 5 kW</t>
        </is>
      </c>
      <c r="C421" s="45" t="inlineStr">
        <is>
          <t>Comercial / Industrial</t>
        </is>
      </c>
      <c r="D421" s="43" t="inlineStr">
        <is>
          <t>Bombas de Calor ACS</t>
        </is>
      </c>
      <c r="E421" s="43" t="inlineStr">
        <is>
          <t>U</t>
        </is>
      </c>
      <c r="F421" s="46" t="n">
        <v>0</v>
      </c>
      <c r="G421" s="47" t="n">
        <v>1650</v>
      </c>
      <c r="H421" s="47" t="n">
        <v>1683</v>
      </c>
      <c r="I421" s="43" t="inlineStr">
        <is>
          <t>Megametales</t>
        </is>
      </c>
      <c r="J421" s="47" t="n">
        <v>1765.5</v>
      </c>
      <c r="K421" s="43" t="inlineStr">
        <is>
          <t>Kywi / Megakywi</t>
        </is>
      </c>
      <c r="L421" s="48">
        <f>F421*G421</f>
        <v/>
      </c>
      <c r="M421" s="150" t="inlineStr">
        <is>
          <t>IS-D20-CAL-BDC-05KW</t>
        </is>
      </c>
      <c r="N421" s="43" t="inlineStr">
        <is>
          <t>Instalaciones sanitarias (hidrosanitarias)</t>
        </is>
      </c>
      <c r="O421" s="43" t="inlineStr">
        <is>
          <t>Estimado DION · criterio de mercado Guayaquil 2026 (no verificado en tienda)</t>
        </is>
      </c>
      <c r="P421" s="43" t="inlineStr">
        <is>
          <t>oct-2026 (est.)</t>
        </is>
      </c>
      <c r="Q421" s="43" t="n"/>
    </row>
    <row r="422">
      <c r="A422" s="18" t="n">
        <v>385</v>
      </c>
      <c r="B422" s="19" t="inlineStr">
        <is>
          <t xml:space="preserve">        Bomba de Calor Agua Caliente Sanitaria 10 kW</t>
        </is>
      </c>
      <c r="C422" s="20" t="inlineStr">
        <is>
          <t>Comercial / Industrial</t>
        </is>
      </c>
      <c r="D422" s="18" t="inlineStr">
        <is>
          <t>Bombas de Calor ACS</t>
        </is>
      </c>
      <c r="E422" s="18" t="inlineStr">
        <is>
          <t>U</t>
        </is>
      </c>
      <c r="F422" s="21" t="n">
        <v>0</v>
      </c>
      <c r="G422" s="22" t="n">
        <v>2900</v>
      </c>
      <c r="H422" s="22" t="n">
        <v>2987</v>
      </c>
      <c r="I422" s="18" t="inlineStr">
        <is>
          <t>Megametales</t>
        </is>
      </c>
      <c r="J422" s="22" t="n">
        <v>3219</v>
      </c>
      <c r="K422" s="18" t="inlineStr">
        <is>
          <t>Ferrisariato</t>
        </is>
      </c>
      <c r="L422" s="8">
        <f>F422*G422</f>
        <v/>
      </c>
      <c r="M422" s="145" t="inlineStr">
        <is>
          <t>IS-D20-CAL-BDC-10KW</t>
        </is>
      </c>
      <c r="N422" s="18" t="inlineStr">
        <is>
          <t>Instalaciones sanitarias (hidrosanitarias)</t>
        </is>
      </c>
      <c r="O422" s="18" t="inlineStr">
        <is>
          <t>Estimado DION · criterio de mercado Guayaquil 2026 (no verificado en tienda)</t>
        </is>
      </c>
      <c r="P422" s="18" t="inlineStr">
        <is>
          <t>oct-2026 (est.)</t>
        </is>
      </c>
      <c r="Q422" s="18" t="n"/>
    </row>
    <row r="423">
      <c r="A423" s="43" t="n">
        <v>386</v>
      </c>
      <c r="B423" s="44" t="inlineStr">
        <is>
          <t xml:space="preserve">        Bomba de Calor Agua Caliente Sanitaria 25 kW</t>
        </is>
      </c>
      <c r="C423" s="45" t="inlineStr">
        <is>
          <t>Comercial / Industrial</t>
        </is>
      </c>
      <c r="D423" s="43" t="inlineStr">
        <is>
          <t>Bombas de Calor ACS</t>
        </is>
      </c>
      <c r="E423" s="43" t="inlineStr">
        <is>
          <t>U</t>
        </is>
      </c>
      <c r="F423" s="46" t="n">
        <v>0</v>
      </c>
      <c r="G423" s="47" t="n">
        <v>6200</v>
      </c>
      <c r="H423" s="47" t="n">
        <v>6510</v>
      </c>
      <c r="I423" s="43" t="inlineStr">
        <is>
          <t>Megametales</t>
        </is>
      </c>
      <c r="J423" s="47" t="n">
        <v>6758</v>
      </c>
      <c r="K423" s="43" t="inlineStr">
        <is>
          <t>Kywi / Megakywi</t>
        </is>
      </c>
      <c r="L423" s="48">
        <f>F423*G423</f>
        <v/>
      </c>
      <c r="M423" s="150" t="inlineStr">
        <is>
          <t>IS-D20-CAL-BDC-25KW</t>
        </is>
      </c>
      <c r="N423" s="43" t="inlineStr">
        <is>
          <t>Instalaciones sanitarias (hidrosanitarias)</t>
        </is>
      </c>
      <c r="O423" s="43" t="inlineStr">
        <is>
          <t>Estimado DION · criterio de mercado Guayaquil 2026 (no verificado en tienda)</t>
        </is>
      </c>
      <c r="P423" s="43" t="inlineStr">
        <is>
          <t>oct-2026 (est.)</t>
        </is>
      </c>
      <c r="Q423" s="43" t="n"/>
    </row>
    <row r="424">
      <c r="A424" s="18" t="n">
        <v>387</v>
      </c>
      <c r="B424" s="19" t="inlineStr">
        <is>
          <t xml:space="preserve">        Tanque Acumulador ACS Acero Inox 1000 L</t>
        </is>
      </c>
      <c r="C424" s="20" t="inlineStr">
        <is>
          <t>Comercial / Industrial</t>
        </is>
      </c>
      <c r="D424" s="18" t="inlineStr">
        <is>
          <t>Tanques Acumuladores</t>
        </is>
      </c>
      <c r="E424" s="18" t="inlineStr">
        <is>
          <t>U</t>
        </is>
      </c>
      <c r="F424" s="21" t="n">
        <v>0</v>
      </c>
      <c r="G424" s="22" t="n">
        <v>3400</v>
      </c>
      <c r="H424" s="22" t="n">
        <v>3536</v>
      </c>
      <c r="I424" s="18" t="inlineStr">
        <is>
          <t>Megametales</t>
        </is>
      </c>
      <c r="J424" s="22" t="n">
        <v>3774</v>
      </c>
      <c r="K424" s="18" t="inlineStr">
        <is>
          <t>Ferrisariato</t>
        </is>
      </c>
      <c r="L424" s="8">
        <f>F424*G424</f>
        <v/>
      </c>
      <c r="M424" s="145" t="inlineStr">
        <is>
          <t>IS-D20-CAL-TAN-ACU-1000L</t>
        </is>
      </c>
      <c r="N424" s="18" t="inlineStr">
        <is>
          <t>Instalaciones sanitarias (hidrosanitarias)</t>
        </is>
      </c>
      <c r="O424" s="18" t="inlineStr">
        <is>
          <t>Estimado DION · criterio de mercado Guayaquil 2026 (no verificado en tienda)</t>
        </is>
      </c>
      <c r="P424" s="18" t="inlineStr">
        <is>
          <t>oct-2026 (est.)</t>
        </is>
      </c>
      <c r="Q424" s="18" t="n"/>
    </row>
    <row r="425">
      <c r="A425" s="43" t="n">
        <v>388</v>
      </c>
      <c r="B425" s="44" t="inlineStr">
        <is>
          <t xml:space="preserve">        Caldera Industrial Agua Caliente 200 kW (Referencial)</t>
        </is>
      </c>
      <c r="C425" s="45" t="inlineStr">
        <is>
          <t>Industrial / Hospitalario</t>
        </is>
      </c>
      <c r="D425" s="43" t="inlineStr">
        <is>
          <t>Calderas</t>
        </is>
      </c>
      <c r="E425" s="43" t="inlineStr">
        <is>
          <t>U</t>
        </is>
      </c>
      <c r="F425" s="46" t="n">
        <v>0</v>
      </c>
      <c r="G425" s="47" t="n">
        <v>24500</v>
      </c>
      <c r="H425" s="47" t="n">
        <v>25235</v>
      </c>
      <c r="I425" s="43" t="inlineStr">
        <is>
          <t>Megametales</t>
        </is>
      </c>
      <c r="J425" s="47" t="n">
        <v>26950</v>
      </c>
      <c r="K425" s="43" t="inlineStr">
        <is>
          <t>Kywi / Megakywi</t>
        </is>
      </c>
      <c r="L425" s="48">
        <f>F425*G425</f>
        <v/>
      </c>
      <c r="M425" s="150" t="inlineStr">
        <is>
          <t>IS-D20-CAL-CAL-IND-200KW</t>
        </is>
      </c>
      <c r="N425" s="43" t="inlineStr">
        <is>
          <t>Instalaciones sanitarias (hidrosanitarias)</t>
        </is>
      </c>
      <c r="O425" s="43" t="inlineStr">
        <is>
          <t>Estimado DION · criterio de mercado Guayaquil 2026 (no verificado en tienda)</t>
        </is>
      </c>
      <c r="P425" s="43" t="inlineStr">
        <is>
          <t>oct-2026 (est.)</t>
        </is>
      </c>
      <c r="Q425" s="43" t="n"/>
    </row>
    <row r="426">
      <c r="A426" s="40" t="inlineStr">
        <is>
          <t>CONEXIONES</t>
        </is>
      </c>
      <c r="B426" s="143" t="n"/>
      <c r="C426" s="143" t="n"/>
      <c r="D426" s="143" t="n"/>
      <c r="E426" s="143" t="n"/>
      <c r="F426" s="143" t="n"/>
      <c r="G426" s="143" t="n"/>
      <c r="H426" s="143" t="n"/>
      <c r="I426" s="143" t="n"/>
      <c r="J426" s="143" t="n"/>
      <c r="K426" s="143" t="n"/>
      <c r="L426" s="143" t="n"/>
      <c r="M426" s="143" t="n"/>
      <c r="N426" s="143" t="n"/>
      <c r="O426" s="143" t="n"/>
      <c r="P426" s="143" t="n"/>
      <c r="Q426" s="144" t="n"/>
    </row>
    <row r="427">
      <c r="A427" s="41" t="inlineStr">
        <is>
          <t xml:space="preserve">  ► CATEGORÍA: CODOS, TEES, ADAPTORES Y VÁLVULAS TÉRMICAS</t>
        </is>
      </c>
      <c r="B427" s="143" t="n"/>
      <c r="C427" s="143" t="n"/>
      <c r="D427" s="143" t="n"/>
      <c r="E427" s="143" t="n"/>
      <c r="F427" s="143" t="n"/>
      <c r="G427" s="143" t="n"/>
      <c r="H427" s="143" t="n"/>
      <c r="I427" s="143" t="n"/>
      <c r="J427" s="143" t="n"/>
      <c r="K427" s="143" t="n"/>
      <c r="L427" s="143" t="n"/>
      <c r="M427" s="143" t="n"/>
      <c r="N427" s="143" t="n"/>
      <c r="O427" s="143" t="n"/>
      <c r="P427" s="143" t="n"/>
      <c r="Q427" s="144" t="n"/>
    </row>
    <row r="428">
      <c r="A428" s="42" t="inlineStr">
        <is>
          <t xml:space="preserve">      • Subcategoría Especificada: Conexiones PPR PN20, CPVC y Latón</t>
        </is>
      </c>
      <c r="B428" s="143" t="n"/>
      <c r="C428" s="143" t="n"/>
      <c r="D428" s="143" t="n"/>
      <c r="E428" s="143" t="n"/>
      <c r="F428" s="143" t="n"/>
      <c r="G428" s="143" t="n"/>
      <c r="H428" s="143" t="n"/>
      <c r="I428" s="143" t="n"/>
      <c r="J428" s="143" t="n"/>
      <c r="K428" s="143" t="n"/>
      <c r="L428" s="143" t="n"/>
      <c r="M428" s="143" t="n"/>
      <c r="N428" s="143" t="n"/>
      <c r="O428" s="143" t="n"/>
      <c r="P428" s="143" t="n"/>
      <c r="Q428" s="144" t="n"/>
    </row>
    <row r="429">
      <c r="A429" s="18" t="n">
        <v>389</v>
      </c>
      <c r="B429" s="19" t="inlineStr">
        <is>
          <t xml:space="preserve">        Codo PPR Rosca Hembra Metal 20mm x ½" (Duchas)</t>
        </is>
      </c>
      <c r="C429" s="20" t="inlineStr">
        <is>
          <t>Residencial / Comercial</t>
        </is>
      </c>
      <c r="D429" s="18" t="inlineStr">
        <is>
          <t>Codos Roscados</t>
        </is>
      </c>
      <c r="E429" s="18" t="inlineStr">
        <is>
          <t>U</t>
        </is>
      </c>
      <c r="F429" s="21" t="n">
        <v>24</v>
      </c>
      <c r="G429" s="22" t="n">
        <v>1.85</v>
      </c>
      <c r="H429" s="22" t="n">
        <v>1.9</v>
      </c>
      <c r="I429" s="18" t="inlineStr">
        <is>
          <t>Megametales</t>
        </is>
      </c>
      <c r="J429" s="22" t="n">
        <v>2.05</v>
      </c>
      <c r="K429" s="18" t="inlineStr">
        <is>
          <t>Kywi / Megakywi</t>
        </is>
      </c>
      <c r="L429" s="8">
        <f>F429*G429</f>
        <v/>
      </c>
      <c r="M429" s="145" t="inlineStr">
        <is>
          <t>IS-D20-ACF-PPR-CRH-020</t>
        </is>
      </c>
      <c r="N429" s="18" t="inlineStr">
        <is>
          <t>Instalaciones sanitarias (hidrosanitarias)</t>
        </is>
      </c>
      <c r="O429" s="18" t="inlineStr">
        <is>
          <t>Estimado · base original del usuario (sin cotización verificada)</t>
        </is>
      </c>
      <c r="P429" s="18" t="inlineStr">
        <is>
          <t>oct-2026 (est.)</t>
        </is>
      </c>
      <c r="Q429" s="18" t="n"/>
    </row>
    <row r="430">
      <c r="A430" s="43" t="n">
        <v>390</v>
      </c>
      <c r="B430" s="44" t="inlineStr">
        <is>
          <t xml:space="preserve">        Tee PPR Reducida 25mm x 20mm x 25mm Caliente</t>
        </is>
      </c>
      <c r="C430" s="45" t="inlineStr">
        <is>
          <t>Residencial / Comercial</t>
        </is>
      </c>
      <c r="D430" s="43" t="inlineStr">
        <is>
          <t>Tees Reducidas</t>
        </is>
      </c>
      <c r="E430" s="43" t="inlineStr">
        <is>
          <t>U</t>
        </is>
      </c>
      <c r="F430" s="46" t="n">
        <v>15</v>
      </c>
      <c r="G430" s="47" t="n">
        <v>1.15</v>
      </c>
      <c r="H430" s="47" t="n">
        <v>1.2</v>
      </c>
      <c r="I430" s="43" t="inlineStr">
        <is>
          <t>Megametales</t>
        </is>
      </c>
      <c r="J430" s="47" t="n">
        <v>1.32</v>
      </c>
      <c r="K430" s="43" t="inlineStr">
        <is>
          <t>Ferrisariato</t>
        </is>
      </c>
      <c r="L430" s="48">
        <f>F430*G430</f>
        <v/>
      </c>
      <c r="M430" s="150" t="inlineStr">
        <is>
          <t>IS-D20-ACF-PPR-TRD-025X020</t>
        </is>
      </c>
      <c r="N430" s="43" t="inlineStr">
        <is>
          <t>Instalaciones sanitarias (hidrosanitarias)</t>
        </is>
      </c>
      <c r="O430" s="43" t="inlineStr">
        <is>
          <t>Estimado · base original del usuario (sin cotización verificada)</t>
        </is>
      </c>
      <c r="P430" s="43" t="inlineStr">
        <is>
          <t>oct-2026 (est.)</t>
        </is>
      </c>
      <c r="Q430" s="43" t="n"/>
    </row>
    <row r="431">
      <c r="A431" s="18" t="n">
        <v>391</v>
      </c>
      <c r="B431" s="19" t="inlineStr">
        <is>
          <t xml:space="preserve">        Válvula Mezcladora Termostática Agua Caliente ¾"</t>
        </is>
      </c>
      <c r="C431" s="20" t="inlineStr">
        <is>
          <t>Comercial / Hospitalario</t>
        </is>
      </c>
      <c r="D431" s="18" t="inlineStr">
        <is>
          <t>Válvulas Térmicas</t>
        </is>
      </c>
      <c r="E431" s="18" t="inlineStr">
        <is>
          <t>U</t>
        </is>
      </c>
      <c r="F431" s="21" t="n">
        <v>1</v>
      </c>
      <c r="G431" s="22" t="n">
        <v>85</v>
      </c>
      <c r="H431" s="22" t="n">
        <v>88</v>
      </c>
      <c r="I431" s="18" t="inlineStr">
        <is>
          <t>Megametales</t>
        </is>
      </c>
      <c r="J431" s="22" t="n">
        <v>94</v>
      </c>
      <c r="K431" s="18" t="inlineStr">
        <is>
          <t>Kywi / Megakywi</t>
        </is>
      </c>
      <c r="L431" s="8">
        <f>F431*G431</f>
        <v/>
      </c>
      <c r="M431" s="145" t="inlineStr">
        <is>
          <t>IS-D20-VAL-TMX-DN20</t>
        </is>
      </c>
      <c r="N431" s="18" t="inlineStr">
        <is>
          <t>Instalaciones sanitarias (hidrosanitarias)</t>
        </is>
      </c>
      <c r="O431" s="18" t="inlineStr">
        <is>
          <t>Estimado · base original del usuario (sin cotización verificada)</t>
        </is>
      </c>
      <c r="P431" s="18" t="inlineStr">
        <is>
          <t>oct-2026 (est.)</t>
        </is>
      </c>
      <c r="Q431" s="18" t="n"/>
    </row>
    <row r="432">
      <c r="A432" s="42" t="inlineStr">
        <is>
          <t xml:space="preserve">      • Subcategoría Especificada: Adaptadores Roscados, CPVC y PEX</t>
        </is>
      </c>
      <c r="B432" s="143" t="n"/>
      <c r="C432" s="143" t="n"/>
      <c r="D432" s="143" t="n"/>
      <c r="E432" s="143" t="n"/>
      <c r="F432" s="143" t="n"/>
      <c r="G432" s="143" t="n"/>
      <c r="H432" s="143" t="n"/>
      <c r="I432" s="143" t="n"/>
      <c r="J432" s="143" t="n"/>
      <c r="K432" s="143" t="n"/>
      <c r="L432" s="143" t="n"/>
      <c r="M432" s="143" t="n"/>
      <c r="N432" s="143" t="n"/>
      <c r="O432" s="143" t="n"/>
      <c r="P432" s="143" t="n"/>
      <c r="Q432" s="144" t="n"/>
    </row>
    <row r="433">
      <c r="A433" s="43" t="n">
        <v>392</v>
      </c>
      <c r="B433" s="44" t="inlineStr">
        <is>
          <t xml:space="preserve">        Codo PPR Rosca Hembra Metálica 25 mm x ¾"</t>
        </is>
      </c>
      <c r="C433" s="45" t="inlineStr">
        <is>
          <t>Residencial / Comercial</t>
        </is>
      </c>
      <c r="D433" s="43" t="inlineStr">
        <is>
          <t>Codos Roscados</t>
        </is>
      </c>
      <c r="E433" s="43" t="inlineStr">
        <is>
          <t>U</t>
        </is>
      </c>
      <c r="F433" s="46" t="n">
        <v>6</v>
      </c>
      <c r="G433" s="47" t="n">
        <v>2.6</v>
      </c>
      <c r="H433" s="47" t="n">
        <v>2.65</v>
      </c>
      <c r="I433" s="43" t="inlineStr">
        <is>
          <t>Megametales</t>
        </is>
      </c>
      <c r="J433" s="47" t="n">
        <v>2.89</v>
      </c>
      <c r="K433" s="43" t="inlineStr">
        <is>
          <t>Kywi / Megakywi</t>
        </is>
      </c>
      <c r="L433" s="48">
        <f>F433*G433</f>
        <v/>
      </c>
      <c r="M433" s="150" t="inlineStr">
        <is>
          <t>IS-D20-ACF-PPR-CRH-025</t>
        </is>
      </c>
      <c r="N433" s="43" t="inlineStr">
        <is>
          <t>Instalaciones sanitarias (hidrosanitarias)</t>
        </is>
      </c>
      <c r="O433" s="43" t="inlineStr">
        <is>
          <t>Estimado DION · criterio de mercado Guayaquil 2026 (no verificado en tienda)</t>
        </is>
      </c>
      <c r="P433" s="43" t="inlineStr">
        <is>
          <t>oct-2026 (est.)</t>
        </is>
      </c>
      <c r="Q433" s="43" t="n"/>
    </row>
    <row r="434">
      <c r="A434" s="18" t="n">
        <v>393</v>
      </c>
      <c r="B434" s="19" t="inlineStr">
        <is>
          <t xml:space="preserve">        Codo PPR Rosca Hembra Metálica 32 mm x 1"</t>
        </is>
      </c>
      <c r="C434" s="20" t="inlineStr">
        <is>
          <t>Residencial / Comercial</t>
        </is>
      </c>
      <c r="D434" s="18" t="inlineStr">
        <is>
          <t>Codos Roscados</t>
        </is>
      </c>
      <c r="E434" s="18" t="inlineStr">
        <is>
          <t>U</t>
        </is>
      </c>
      <c r="F434" s="21" t="n">
        <v>6</v>
      </c>
      <c r="G434" s="22" t="n">
        <v>4.8</v>
      </c>
      <c r="H434" s="22" t="n">
        <v>4.9</v>
      </c>
      <c r="I434" s="18" t="inlineStr">
        <is>
          <t>Megametales</t>
        </is>
      </c>
      <c r="J434" s="22" t="n">
        <v>5.28</v>
      </c>
      <c r="K434" s="18" t="inlineStr">
        <is>
          <t>Ferrisariato</t>
        </is>
      </c>
      <c r="L434" s="8">
        <f>F434*G434</f>
        <v/>
      </c>
      <c r="M434" s="145" t="inlineStr">
        <is>
          <t>IS-D20-ACF-PPR-CRH-032</t>
        </is>
      </c>
      <c r="N434" s="18" t="inlineStr">
        <is>
          <t>Instalaciones sanitarias (hidrosanitarias)</t>
        </is>
      </c>
      <c r="O434" s="18" t="inlineStr">
        <is>
          <t>Estimado DION · criterio de mercado Guayaquil 2026 (no verificado en tienda)</t>
        </is>
      </c>
      <c r="P434" s="18" t="inlineStr">
        <is>
          <t>oct-2026 (est.)</t>
        </is>
      </c>
      <c r="Q434" s="18" t="n"/>
    </row>
    <row r="435">
      <c r="A435" s="43" t="n">
        <v>394</v>
      </c>
      <c r="B435" s="44" t="inlineStr">
        <is>
          <t xml:space="preserve">        Adaptador PPR Rosca Macho Metálica 20 mm</t>
        </is>
      </c>
      <c r="C435" s="45" t="inlineStr">
        <is>
          <t>Residencial / Comercial</t>
        </is>
      </c>
      <c r="D435" s="43" t="inlineStr">
        <is>
          <t>Adaptadores PPR</t>
        </is>
      </c>
      <c r="E435" s="43" t="inlineStr">
        <is>
          <t>U</t>
        </is>
      </c>
      <c r="F435" s="46" t="n">
        <v>6</v>
      </c>
      <c r="G435" s="47" t="n">
        <v>1.95</v>
      </c>
      <c r="H435" s="47" t="n">
        <v>2.05</v>
      </c>
      <c r="I435" s="43" t="inlineStr">
        <is>
          <t>Megametales</t>
        </is>
      </c>
      <c r="J435" s="47" t="n">
        <v>2.15</v>
      </c>
      <c r="K435" s="43" t="inlineStr">
        <is>
          <t>Kywi / Megakywi</t>
        </is>
      </c>
      <c r="L435" s="48">
        <f>F435*G435</f>
        <v/>
      </c>
      <c r="M435" s="150" t="inlineStr">
        <is>
          <t>IS-D20-ACF-PPR-AMM-020</t>
        </is>
      </c>
      <c r="N435" s="43" t="inlineStr">
        <is>
          <t>Instalaciones sanitarias (hidrosanitarias)</t>
        </is>
      </c>
      <c r="O435" s="43" t="inlineStr">
        <is>
          <t>Estimado DION · criterio de mercado Guayaquil 2026 (no verificado en tienda)</t>
        </is>
      </c>
      <c r="P435" s="43" t="inlineStr">
        <is>
          <t>oct-2026 (est.)</t>
        </is>
      </c>
      <c r="Q435" s="43" t="n"/>
    </row>
    <row r="436">
      <c r="A436" s="18" t="n">
        <v>395</v>
      </c>
      <c r="B436" s="19" t="inlineStr">
        <is>
          <t xml:space="preserve">        Adaptador PPR Rosca Macho Metálica 25 mm</t>
        </is>
      </c>
      <c r="C436" s="20" t="inlineStr">
        <is>
          <t>Residencial / Comercial</t>
        </is>
      </c>
      <c r="D436" s="18" t="inlineStr">
        <is>
          <t>Adaptadores PPR</t>
        </is>
      </c>
      <c r="E436" s="18" t="inlineStr">
        <is>
          <t>U</t>
        </is>
      </c>
      <c r="F436" s="21" t="n">
        <v>6</v>
      </c>
      <c r="G436" s="22" t="n">
        <v>2.7</v>
      </c>
      <c r="H436" s="22" t="n">
        <v>2.75</v>
      </c>
      <c r="I436" s="18" t="inlineStr">
        <is>
          <t>Megametales</t>
        </is>
      </c>
      <c r="J436" s="22" t="n">
        <v>2.97</v>
      </c>
      <c r="K436" s="18" t="inlineStr">
        <is>
          <t>Ferrisariato</t>
        </is>
      </c>
      <c r="L436" s="8">
        <f>F436*G436</f>
        <v/>
      </c>
      <c r="M436" s="145" t="inlineStr">
        <is>
          <t>IS-D20-ACF-PPR-AMM-025</t>
        </is>
      </c>
      <c r="N436" s="18" t="inlineStr">
        <is>
          <t>Instalaciones sanitarias (hidrosanitarias)</t>
        </is>
      </c>
      <c r="O436" s="18" t="inlineStr">
        <is>
          <t>Estimado DION · criterio de mercado Guayaquil 2026 (no verificado en tienda)</t>
        </is>
      </c>
      <c r="P436" s="18" t="inlineStr">
        <is>
          <t>oct-2026 (est.)</t>
        </is>
      </c>
      <c r="Q436" s="18" t="n"/>
    </row>
    <row r="437">
      <c r="A437" s="43" t="n">
        <v>396</v>
      </c>
      <c r="B437" s="44" t="inlineStr">
        <is>
          <t xml:space="preserve">        Adaptador PPR Rosca Macho Metálica 32 mm</t>
        </is>
      </c>
      <c r="C437" s="45" t="inlineStr">
        <is>
          <t>Residencial / Comercial</t>
        </is>
      </c>
      <c r="D437" s="43" t="inlineStr">
        <is>
          <t>Adaptadores PPR</t>
        </is>
      </c>
      <c r="E437" s="43" t="inlineStr">
        <is>
          <t>U</t>
        </is>
      </c>
      <c r="F437" s="46" t="n">
        <v>6</v>
      </c>
      <c r="G437" s="47" t="n">
        <v>5.1</v>
      </c>
      <c r="H437" s="47" t="n">
        <v>5.3</v>
      </c>
      <c r="I437" s="43" t="inlineStr">
        <is>
          <t>Megametales</t>
        </is>
      </c>
      <c r="J437" s="47" t="n">
        <v>5.46</v>
      </c>
      <c r="K437" s="43" t="inlineStr">
        <is>
          <t>Kywi / Megakywi</t>
        </is>
      </c>
      <c r="L437" s="48">
        <f>F437*G437</f>
        <v/>
      </c>
      <c r="M437" s="150" t="inlineStr">
        <is>
          <t>IS-D20-ACF-PPR-AMM-032</t>
        </is>
      </c>
      <c r="N437" s="43" t="inlineStr">
        <is>
          <t>Instalaciones sanitarias (hidrosanitarias)</t>
        </is>
      </c>
      <c r="O437" s="43" t="inlineStr">
        <is>
          <t>Estimado DION · criterio de mercado Guayaquil 2026 (no verificado en tienda)</t>
        </is>
      </c>
      <c r="P437" s="43" t="inlineStr">
        <is>
          <t>oct-2026 (est.)</t>
        </is>
      </c>
      <c r="Q437" s="43" t="n"/>
    </row>
    <row r="438">
      <c r="A438" s="18" t="n">
        <v>397</v>
      </c>
      <c r="B438" s="19" t="inlineStr">
        <is>
          <t xml:space="preserve">        Codo CPVC 90° ½"</t>
        </is>
      </c>
      <c r="C438" s="20" t="inlineStr">
        <is>
          <t>Residencial / Comercial</t>
        </is>
      </c>
      <c r="D438" s="18" t="inlineStr">
        <is>
          <t>Codos CPVC</t>
        </is>
      </c>
      <c r="E438" s="18" t="inlineStr">
        <is>
          <t>U</t>
        </is>
      </c>
      <c r="F438" s="21" t="n">
        <v>10</v>
      </c>
      <c r="G438" s="22" t="n">
        <v>0.42</v>
      </c>
      <c r="H438" s="22" t="n">
        <v>0.44</v>
      </c>
      <c r="I438" s="18" t="inlineStr">
        <is>
          <t>Megametales</t>
        </is>
      </c>
      <c r="J438" s="22" t="n">
        <v>0.45</v>
      </c>
      <c r="K438" s="18" t="inlineStr">
        <is>
          <t>Ferrisariato</t>
        </is>
      </c>
      <c r="L438" s="8">
        <f>F438*G438</f>
        <v/>
      </c>
      <c r="M438" s="145" t="inlineStr">
        <is>
          <t>IS-D20-ACF-CPVC-C90-DN15</t>
        </is>
      </c>
      <c r="N438" s="18" t="inlineStr">
        <is>
          <t>Instalaciones sanitarias (hidrosanitarias)</t>
        </is>
      </c>
      <c r="O438" s="18" t="inlineStr">
        <is>
          <t>Estimado DION · criterio de mercado Guayaquil 2026 (no verificado en tienda)</t>
        </is>
      </c>
      <c r="P438" s="18" t="inlineStr">
        <is>
          <t>oct-2026 (est.)</t>
        </is>
      </c>
      <c r="Q438" s="18" t="n"/>
    </row>
    <row r="439">
      <c r="A439" s="43" t="n">
        <v>398</v>
      </c>
      <c r="B439" s="44" t="inlineStr">
        <is>
          <t xml:space="preserve">        Codo CPVC 90° ¾"</t>
        </is>
      </c>
      <c r="C439" s="45" t="inlineStr">
        <is>
          <t>Residencial / Comercial</t>
        </is>
      </c>
      <c r="D439" s="43" t="inlineStr">
        <is>
          <t>Codos CPVC</t>
        </is>
      </c>
      <c r="E439" s="43" t="inlineStr">
        <is>
          <t>U</t>
        </is>
      </c>
      <c r="F439" s="46" t="n">
        <v>10</v>
      </c>
      <c r="G439" s="47" t="n">
        <v>0.75</v>
      </c>
      <c r="H439" s="47" t="n">
        <v>0.77</v>
      </c>
      <c r="I439" s="43" t="inlineStr">
        <is>
          <t>Megametales</t>
        </is>
      </c>
      <c r="J439" s="47" t="n">
        <v>0.83</v>
      </c>
      <c r="K439" s="43" t="inlineStr">
        <is>
          <t>Kywi / Megakywi</t>
        </is>
      </c>
      <c r="L439" s="48">
        <f>F439*G439</f>
        <v/>
      </c>
      <c r="M439" s="150" t="inlineStr">
        <is>
          <t>IS-D20-ACF-CPVC-C90-DN20</t>
        </is>
      </c>
      <c r="N439" s="43" t="inlineStr">
        <is>
          <t>Instalaciones sanitarias (hidrosanitarias)</t>
        </is>
      </c>
      <c r="O439" s="43" t="inlineStr">
        <is>
          <t>Estimado DION · criterio de mercado Guayaquil 2026 (no verificado en tienda)</t>
        </is>
      </c>
      <c r="P439" s="43" t="inlineStr">
        <is>
          <t>oct-2026 (est.)</t>
        </is>
      </c>
      <c r="Q439" s="43" t="n"/>
    </row>
    <row r="440">
      <c r="A440" s="18" t="n">
        <v>399</v>
      </c>
      <c r="B440" s="19" t="inlineStr">
        <is>
          <t xml:space="preserve">        Tee CPVC ½"</t>
        </is>
      </c>
      <c r="C440" s="20" t="inlineStr">
        <is>
          <t>Residencial / Comercial</t>
        </is>
      </c>
      <c r="D440" s="18" t="inlineStr">
        <is>
          <t>Tees CPVC</t>
        </is>
      </c>
      <c r="E440" s="18" t="inlineStr">
        <is>
          <t>U</t>
        </is>
      </c>
      <c r="F440" s="21" t="n">
        <v>6</v>
      </c>
      <c r="G440" s="22" t="n">
        <v>0.55</v>
      </c>
      <c r="H440" s="22" t="n">
        <v>0.57</v>
      </c>
      <c r="I440" s="18" t="inlineStr">
        <is>
          <t>Megametales</t>
        </is>
      </c>
      <c r="J440" s="22" t="n">
        <v>0.6</v>
      </c>
      <c r="K440" s="18" t="inlineStr">
        <is>
          <t>Ferrisariato</t>
        </is>
      </c>
      <c r="L440" s="8">
        <f>F440*G440</f>
        <v/>
      </c>
      <c r="M440" s="145" t="inlineStr">
        <is>
          <t>IS-D20-ACF-CPVC-TEE-DN15</t>
        </is>
      </c>
      <c r="N440" s="18" t="inlineStr">
        <is>
          <t>Instalaciones sanitarias (hidrosanitarias)</t>
        </is>
      </c>
      <c r="O440" s="18" t="inlineStr">
        <is>
          <t>Estimado DION · criterio de mercado Guayaquil 2026 (no verificado en tienda)</t>
        </is>
      </c>
      <c r="P440" s="18" t="inlineStr">
        <is>
          <t>oct-2026 (est.)</t>
        </is>
      </c>
      <c r="Q440" s="18" t="n"/>
    </row>
    <row r="441">
      <c r="A441" s="43" t="n">
        <v>400</v>
      </c>
      <c r="B441" s="44" t="inlineStr">
        <is>
          <t xml:space="preserve">        Tee CPVC ¾"</t>
        </is>
      </c>
      <c r="C441" s="45" t="inlineStr">
        <is>
          <t>Residencial / Comercial</t>
        </is>
      </c>
      <c r="D441" s="43" t="inlineStr">
        <is>
          <t>Tees CPVC</t>
        </is>
      </c>
      <c r="E441" s="43" t="inlineStr">
        <is>
          <t>U</t>
        </is>
      </c>
      <c r="F441" s="46" t="n">
        <v>6</v>
      </c>
      <c r="G441" s="47" t="n">
        <v>0.98</v>
      </c>
      <c r="H441" s="47" t="n">
        <v>1.02</v>
      </c>
      <c r="I441" s="43" t="inlineStr">
        <is>
          <t>Megametales</t>
        </is>
      </c>
      <c r="J441" s="47" t="n">
        <v>1.06</v>
      </c>
      <c r="K441" s="43" t="inlineStr">
        <is>
          <t>Kywi / Megakywi</t>
        </is>
      </c>
      <c r="L441" s="48">
        <f>F441*G441</f>
        <v/>
      </c>
      <c r="M441" s="150" t="inlineStr">
        <is>
          <t>IS-D20-ACF-CPVC-TEE-DN20</t>
        </is>
      </c>
      <c r="N441" s="43" t="inlineStr">
        <is>
          <t>Instalaciones sanitarias (hidrosanitarias)</t>
        </is>
      </c>
      <c r="O441" s="43" t="inlineStr">
        <is>
          <t>Estimado DION · criterio de mercado Guayaquil 2026 (no verificado en tienda)</t>
        </is>
      </c>
      <c r="P441" s="43" t="inlineStr">
        <is>
          <t>oct-2026 (est.)</t>
        </is>
      </c>
      <c r="Q441" s="43" t="n"/>
    </row>
    <row r="442">
      <c r="A442" s="18" t="n">
        <v>401</v>
      </c>
      <c r="B442" s="19" t="inlineStr">
        <is>
          <t xml:space="preserve">        Conector Prensado PEX Codo Ø16-20 mm</t>
        </is>
      </c>
      <c r="C442" s="20" t="inlineStr">
        <is>
          <t>Residencial / Comercial</t>
        </is>
      </c>
      <c r="D442" s="18" t="inlineStr">
        <is>
          <t>Conectores PEX</t>
        </is>
      </c>
      <c r="E442" s="18" t="inlineStr">
        <is>
          <t>U</t>
        </is>
      </c>
      <c r="F442" s="21" t="n">
        <v>10</v>
      </c>
      <c r="G442" s="22" t="n">
        <v>3.2</v>
      </c>
      <c r="H442" s="22" t="n">
        <v>3.33</v>
      </c>
      <c r="I442" s="18" t="inlineStr">
        <is>
          <t>Megametales</t>
        </is>
      </c>
      <c r="J442" s="22" t="n">
        <v>3.42</v>
      </c>
      <c r="K442" s="18" t="inlineStr">
        <is>
          <t>Ferrisariato</t>
        </is>
      </c>
      <c r="L442" s="8">
        <f>F442*G442</f>
        <v/>
      </c>
      <c r="M442" s="145" t="inlineStr">
        <is>
          <t>IS-D20-ACF-PEX-C90-016</t>
        </is>
      </c>
      <c r="N442" s="18" t="inlineStr">
        <is>
          <t>Instalaciones sanitarias (hidrosanitarias)</t>
        </is>
      </c>
      <c r="O442" s="18" t="inlineStr">
        <is>
          <t>Estimado DION · criterio de mercado Guayaquil 2026 (no verificado en tienda)</t>
        </is>
      </c>
      <c r="P442" s="18" t="inlineStr">
        <is>
          <t>oct-2026 (est.)</t>
        </is>
      </c>
      <c r="Q442" s="18" t="n"/>
    </row>
    <row r="443">
      <c r="A443" s="43" t="n">
        <v>402</v>
      </c>
      <c r="B443" s="44" t="inlineStr">
        <is>
          <t xml:space="preserve">        Conector Prensado PEX Tee Ø16-20 mm</t>
        </is>
      </c>
      <c r="C443" s="45" t="inlineStr">
        <is>
          <t>Residencial / Comercial</t>
        </is>
      </c>
      <c r="D443" s="43" t="inlineStr">
        <is>
          <t>Conectores PEX</t>
        </is>
      </c>
      <c r="E443" s="43" t="inlineStr">
        <is>
          <t>U</t>
        </is>
      </c>
      <c r="F443" s="46" t="n">
        <v>10</v>
      </c>
      <c r="G443" s="47" t="n">
        <v>4.4</v>
      </c>
      <c r="H443" s="47" t="n">
        <v>4.58</v>
      </c>
      <c r="I443" s="43" t="inlineStr">
        <is>
          <t>Megametales</t>
        </is>
      </c>
      <c r="J443" s="47" t="n">
        <v>4.71</v>
      </c>
      <c r="K443" s="43" t="inlineStr">
        <is>
          <t>Kywi / Megakywi</t>
        </is>
      </c>
      <c r="L443" s="48">
        <f>F443*G443</f>
        <v/>
      </c>
      <c r="M443" s="150" t="inlineStr">
        <is>
          <t>IS-D20-ACF-PEX-TEE-016</t>
        </is>
      </c>
      <c r="N443" s="43" t="inlineStr">
        <is>
          <t>Instalaciones sanitarias (hidrosanitarias)</t>
        </is>
      </c>
      <c r="O443" s="43" t="inlineStr">
        <is>
          <t>Estimado DION · criterio de mercado Guayaquil 2026 (no verificado en tienda)</t>
        </is>
      </c>
      <c r="P443" s="43" t="inlineStr">
        <is>
          <t>oct-2026 (est.)</t>
        </is>
      </c>
      <c r="Q443" s="43" t="n"/>
    </row>
    <row r="444">
      <c r="A444" s="18" t="n">
        <v>403</v>
      </c>
      <c r="B444" s="19" t="inlineStr">
        <is>
          <t xml:space="preserve">        Conector Prensado PEX Unión Ø16-20 mm</t>
        </is>
      </c>
      <c r="C444" s="20" t="inlineStr">
        <is>
          <t>Residencial / Comercial</t>
        </is>
      </c>
      <c r="D444" s="18" t="inlineStr">
        <is>
          <t>Conectores PEX</t>
        </is>
      </c>
      <c r="E444" s="18" t="inlineStr">
        <is>
          <t>U</t>
        </is>
      </c>
      <c r="F444" s="21" t="n">
        <v>10</v>
      </c>
      <c r="G444" s="22" t="n">
        <v>2.8</v>
      </c>
      <c r="H444" s="22" t="n">
        <v>2.88</v>
      </c>
      <c r="I444" s="18" t="inlineStr">
        <is>
          <t>Megametales</t>
        </is>
      </c>
      <c r="J444" s="22" t="n">
        <v>3.11</v>
      </c>
      <c r="K444" s="18" t="inlineStr">
        <is>
          <t>Ferrisariato</t>
        </is>
      </c>
      <c r="L444" s="8">
        <f>F444*G444</f>
        <v/>
      </c>
      <c r="M444" s="145" t="inlineStr">
        <is>
          <t>IS-D20-ACF-PEX-UNI-016</t>
        </is>
      </c>
      <c r="N444" s="18" t="inlineStr">
        <is>
          <t>Instalaciones sanitarias (hidrosanitarias)</t>
        </is>
      </c>
      <c r="O444" s="18" t="inlineStr">
        <is>
          <t>Estimado DION · criterio de mercado Guayaquil 2026 (no verificado en tienda)</t>
        </is>
      </c>
      <c r="P444" s="18" t="inlineStr">
        <is>
          <t>oct-2026 (est.)</t>
        </is>
      </c>
      <c r="Q444" s="18" t="n"/>
    </row>
    <row r="445">
      <c r="A445" s="43" t="n">
        <v>404</v>
      </c>
      <c r="B445" s="44" t="inlineStr">
        <is>
          <t xml:space="preserve">        Válvula Mezcladora Termostática 1" (Central)</t>
        </is>
      </c>
      <c r="C445" s="45" t="inlineStr">
        <is>
          <t>Comercial / Hospitalario</t>
        </is>
      </c>
      <c r="D445" s="43" t="inlineStr">
        <is>
          <t>Válvulas Térmicas</t>
        </is>
      </c>
      <c r="E445" s="43" t="inlineStr">
        <is>
          <t>U</t>
        </is>
      </c>
      <c r="F445" s="46" t="n">
        <v>1</v>
      </c>
      <c r="G445" s="47" t="n">
        <v>145</v>
      </c>
      <c r="H445" s="47" t="n">
        <v>149.35</v>
      </c>
      <c r="I445" s="43" t="inlineStr">
        <is>
          <t>Megametales</t>
        </is>
      </c>
      <c r="J445" s="47" t="n">
        <v>155.15</v>
      </c>
      <c r="K445" s="43" t="inlineStr">
        <is>
          <t>Kywi / Megakywi</t>
        </is>
      </c>
      <c r="L445" s="48">
        <f>F445*G445</f>
        <v/>
      </c>
      <c r="M445" s="150" t="inlineStr">
        <is>
          <t>IS-D20-VAL-TMX-DN25</t>
        </is>
      </c>
      <c r="N445" s="43" t="inlineStr">
        <is>
          <t>Instalaciones sanitarias (hidrosanitarias)</t>
        </is>
      </c>
      <c r="O445" s="43" t="inlineStr">
        <is>
          <t>Estimado DION · criterio de mercado Guayaquil 2026 (no verificado en tienda)</t>
        </is>
      </c>
      <c r="P445" s="43" t="inlineStr">
        <is>
          <t>oct-2026 (est.)</t>
        </is>
      </c>
      <c r="Q445" s="43" t="n"/>
    </row>
    <row r="446">
      <c r="A446" s="40" t="inlineStr">
        <is>
          <t>EQUIPOS ESPECIALIZADOS</t>
        </is>
      </c>
      <c r="B446" s="143" t="n"/>
      <c r="C446" s="143" t="n"/>
      <c r="D446" s="143" t="n"/>
      <c r="E446" s="143" t="n"/>
      <c r="F446" s="143" t="n"/>
      <c r="G446" s="143" t="n"/>
      <c r="H446" s="143" t="n"/>
      <c r="I446" s="143" t="n"/>
      <c r="J446" s="143" t="n"/>
      <c r="K446" s="143" t="n"/>
      <c r="L446" s="143" t="n"/>
      <c r="M446" s="143" t="n"/>
      <c r="N446" s="143" t="n"/>
      <c r="O446" s="143" t="n"/>
      <c r="P446" s="143" t="n"/>
      <c r="Q446" s="144" t="n"/>
    </row>
    <row r="447">
      <c r="A447" s="41" t="inlineStr">
        <is>
          <t xml:space="preserve">  ► CATEGORÍA: VÁLVULAS DE ALIVIO T&amp;P Y TERMOSTATOS PROGRAMABLES</t>
        </is>
      </c>
      <c r="B447" s="143" t="n"/>
      <c r="C447" s="143" t="n"/>
      <c r="D447" s="143" t="n"/>
      <c r="E447" s="143" t="n"/>
      <c r="F447" s="143" t="n"/>
      <c r="G447" s="143" t="n"/>
      <c r="H447" s="143" t="n"/>
      <c r="I447" s="143" t="n"/>
      <c r="J447" s="143" t="n"/>
      <c r="K447" s="143" t="n"/>
      <c r="L447" s="143" t="n"/>
      <c r="M447" s="143" t="n"/>
      <c r="N447" s="143" t="n"/>
      <c r="O447" s="143" t="n"/>
      <c r="P447" s="143" t="n"/>
      <c r="Q447" s="144" t="n"/>
    </row>
    <row r="448">
      <c r="A448" s="42" t="inlineStr">
        <is>
          <t xml:space="preserve">      • Subcategoría Especificada: Seguridad y Control</t>
        </is>
      </c>
      <c r="B448" s="143" t="n"/>
      <c r="C448" s="143" t="n"/>
      <c r="D448" s="143" t="n"/>
      <c r="E448" s="143" t="n"/>
      <c r="F448" s="143" t="n"/>
      <c r="G448" s="143" t="n"/>
      <c r="H448" s="143" t="n"/>
      <c r="I448" s="143" t="n"/>
      <c r="J448" s="143" t="n"/>
      <c r="K448" s="143" t="n"/>
      <c r="L448" s="143" t="n"/>
      <c r="M448" s="143" t="n"/>
      <c r="N448" s="143" t="n"/>
      <c r="O448" s="143" t="n"/>
      <c r="P448" s="143" t="n"/>
      <c r="Q448" s="144" t="n"/>
    </row>
    <row r="449">
      <c r="A449" s="18" t="n">
        <v>405</v>
      </c>
      <c r="B449" s="19" t="inlineStr">
        <is>
          <t xml:space="preserve">        Válvula de Alivio Presión y Temperatura T&amp;P 150 PSI</t>
        </is>
      </c>
      <c r="C449" s="20" t="inlineStr">
        <is>
          <t>Residencial / Comercial</t>
        </is>
      </c>
      <c r="D449" s="18" t="inlineStr">
        <is>
          <t>Válvulas Seguridad</t>
        </is>
      </c>
      <c r="E449" s="18" t="inlineStr">
        <is>
          <t>U</t>
        </is>
      </c>
      <c r="F449" s="21" t="n">
        <v>2</v>
      </c>
      <c r="G449" s="22" t="n">
        <v>22</v>
      </c>
      <c r="H449" s="22" t="n">
        <v>22.8</v>
      </c>
      <c r="I449" s="18" t="inlineStr">
        <is>
          <t>Megametales</t>
        </is>
      </c>
      <c r="J449" s="22" t="n">
        <v>24.5</v>
      </c>
      <c r="K449" s="18" t="inlineStr">
        <is>
          <t>Ferrisariato</t>
        </is>
      </c>
      <c r="L449" s="8">
        <f>F449*G449</f>
        <v/>
      </c>
      <c r="M449" s="145" t="inlineStr">
        <is>
          <t>IS-D20-VAL-ALI-DN20</t>
        </is>
      </c>
      <c r="N449" s="18" t="inlineStr">
        <is>
          <t>Instalaciones sanitarias (hidrosanitarias)</t>
        </is>
      </c>
      <c r="O449" s="18" t="inlineStr">
        <is>
          <t>Estimado · base original del usuario (sin cotización verificada)</t>
        </is>
      </c>
      <c r="P449" s="18" t="inlineStr">
        <is>
          <t>oct-2026 (est.)</t>
        </is>
      </c>
      <c r="Q449" s="18" t="n"/>
    </row>
    <row r="450">
      <c r="A450" s="43" t="n">
        <v>406</v>
      </c>
      <c r="B450" s="44" t="inlineStr">
        <is>
          <t xml:space="preserve">        Termostato Digital Programable Calentador Central</t>
        </is>
      </c>
      <c r="C450" s="45" t="inlineStr">
        <is>
          <t>Residencial / Comercial</t>
        </is>
      </c>
      <c r="D450" s="43" t="inlineStr">
        <is>
          <t>Termostatos Digitales</t>
        </is>
      </c>
      <c r="E450" s="43" t="inlineStr">
        <is>
          <t>U</t>
        </is>
      </c>
      <c r="F450" s="46" t="n">
        <v>1</v>
      </c>
      <c r="G450" s="47" t="n">
        <v>45</v>
      </c>
      <c r="H450" s="47" t="n">
        <v>46.8</v>
      </c>
      <c r="I450" s="43" t="inlineStr">
        <is>
          <t>Megametales</t>
        </is>
      </c>
      <c r="J450" s="47" t="n">
        <v>49.5</v>
      </c>
      <c r="K450" s="43" t="inlineStr">
        <is>
          <t>Kywi / Megakywi</t>
        </is>
      </c>
      <c r="L450" s="48">
        <f>F450*G450</f>
        <v/>
      </c>
      <c r="M450" s="150" t="inlineStr">
        <is>
          <t>IS-D20-CAL-TER-DIG</t>
        </is>
      </c>
      <c r="N450" s="43" t="inlineStr">
        <is>
          <t>Instalaciones sanitarias (hidrosanitarias)</t>
        </is>
      </c>
      <c r="O450" s="43" t="inlineStr">
        <is>
          <t>Estimado · base original del usuario (sin cotización verificada)</t>
        </is>
      </c>
      <c r="P450" s="43" t="inlineStr">
        <is>
          <t>oct-2026 (est.)</t>
        </is>
      </c>
      <c r="Q450" s="43" t="n"/>
    </row>
    <row r="451">
      <c r="A451" s="42" t="inlineStr">
        <is>
          <t xml:space="preserve">      • Subcategoría Especificada: Expansión y Seguridad</t>
        </is>
      </c>
      <c r="B451" s="143" t="n"/>
      <c r="C451" s="143" t="n"/>
      <c r="D451" s="143" t="n"/>
      <c r="E451" s="143" t="n"/>
      <c r="F451" s="143" t="n"/>
      <c r="G451" s="143" t="n"/>
      <c r="H451" s="143" t="n"/>
      <c r="I451" s="143" t="n"/>
      <c r="J451" s="143" t="n"/>
      <c r="K451" s="143" t="n"/>
      <c r="L451" s="143" t="n"/>
      <c r="M451" s="143" t="n"/>
      <c r="N451" s="143" t="n"/>
      <c r="O451" s="143" t="n"/>
      <c r="P451" s="143" t="n"/>
      <c r="Q451" s="144" t="n"/>
    </row>
    <row r="452">
      <c r="A452" s="18" t="n">
        <v>407</v>
      </c>
      <c r="B452" s="19" t="inlineStr">
        <is>
          <t xml:space="preserve">        Tanque de Expansión Térmica ACS 2 gal</t>
        </is>
      </c>
      <c r="C452" s="20" t="inlineStr">
        <is>
          <t>Residencial / Comercial</t>
        </is>
      </c>
      <c r="D452" s="18" t="inlineStr">
        <is>
          <t>Tanques Expansión</t>
        </is>
      </c>
      <c r="E452" s="18" t="inlineStr">
        <is>
          <t>U</t>
        </is>
      </c>
      <c r="F452" s="21" t="n">
        <v>1</v>
      </c>
      <c r="G452" s="22" t="n">
        <v>58</v>
      </c>
      <c r="H452" s="22" t="n">
        <v>59.74</v>
      </c>
      <c r="I452" s="18" t="inlineStr">
        <is>
          <t>Megametales</t>
        </is>
      </c>
      <c r="J452" s="22" t="n">
        <v>63.8</v>
      </c>
      <c r="K452" s="18" t="inlineStr">
        <is>
          <t>Ferrisariato</t>
        </is>
      </c>
      <c r="L452" s="8">
        <f>F452*G452</f>
        <v/>
      </c>
      <c r="M452" s="145" t="inlineStr">
        <is>
          <t>IS-D20-CAL-EXP-02G</t>
        </is>
      </c>
      <c r="N452" s="18" t="inlineStr">
        <is>
          <t>Instalaciones sanitarias (hidrosanitarias)</t>
        </is>
      </c>
      <c r="O452" s="18" t="inlineStr">
        <is>
          <t>Estimado DION · criterio de mercado Guayaquil 2026 (no verificado en tienda)</t>
        </is>
      </c>
      <c r="P452" s="18" t="inlineStr">
        <is>
          <t>oct-2026 (est.)</t>
        </is>
      </c>
      <c r="Q452" s="18" t="n"/>
    </row>
    <row r="453">
      <c r="A453" s="43" t="n">
        <v>408</v>
      </c>
      <c r="B453" s="44" t="inlineStr">
        <is>
          <t xml:space="preserve">        Válvula de Alivio de Presión ½" 150 PSI</t>
        </is>
      </c>
      <c r="C453" s="45" t="inlineStr">
        <is>
          <t>Residencial / Comercial</t>
        </is>
      </c>
      <c r="D453" s="43" t="inlineStr">
        <is>
          <t>Válvulas Seguridad</t>
        </is>
      </c>
      <c r="E453" s="43" t="inlineStr">
        <is>
          <t>U</t>
        </is>
      </c>
      <c r="F453" s="46" t="n">
        <v>1</v>
      </c>
      <c r="G453" s="47" t="n">
        <v>16</v>
      </c>
      <c r="H453" s="47" t="n">
        <v>16.8</v>
      </c>
      <c r="I453" s="43" t="inlineStr">
        <is>
          <t>Megametales</t>
        </is>
      </c>
      <c r="J453" s="47" t="n">
        <v>17.6</v>
      </c>
      <c r="K453" s="43" t="inlineStr">
        <is>
          <t>Kywi / Megakywi</t>
        </is>
      </c>
      <c r="L453" s="48">
        <f>F453*G453</f>
        <v/>
      </c>
      <c r="M453" s="150" t="inlineStr">
        <is>
          <t>IS-D20-VAL-ALI-DN15</t>
        </is>
      </c>
      <c r="N453" s="43" t="inlineStr">
        <is>
          <t>Instalaciones sanitarias (hidrosanitarias)</t>
        </is>
      </c>
      <c r="O453" s="43" t="inlineStr">
        <is>
          <t>Estimado DION · criterio de mercado Guayaquil 2026 (no verificado en tienda)</t>
        </is>
      </c>
      <c r="P453" s="43" t="inlineStr">
        <is>
          <t>oct-2026 (est.)</t>
        </is>
      </c>
      <c r="Q453" s="43" t="n"/>
    </row>
    <row r="454">
      <c r="A454" s="18" t="n">
        <v>409</v>
      </c>
      <c r="B454" s="19" t="inlineStr">
        <is>
          <t xml:space="preserve">        Termómetro Bimetálico de Inmersión 0-120 °C</t>
        </is>
      </c>
      <c r="C454" s="20" t="inlineStr">
        <is>
          <t>Comercial / Industrial</t>
        </is>
      </c>
      <c r="D454" s="18" t="inlineStr">
        <is>
          <t>Termómetros</t>
        </is>
      </c>
      <c r="E454" s="18" t="inlineStr">
        <is>
          <t>U</t>
        </is>
      </c>
      <c r="F454" s="21" t="n">
        <v>1</v>
      </c>
      <c r="G454" s="22" t="n">
        <v>18</v>
      </c>
      <c r="H454" s="22" t="n">
        <v>18.54</v>
      </c>
      <c r="I454" s="18" t="inlineStr">
        <is>
          <t>Megametales</t>
        </is>
      </c>
      <c r="J454" s="22" t="n">
        <v>19.44</v>
      </c>
      <c r="K454" s="18" t="inlineStr">
        <is>
          <t>Ferrisariato</t>
        </is>
      </c>
      <c r="L454" s="8">
        <f>F454*G454</f>
        <v/>
      </c>
      <c r="M454" s="145" t="inlineStr">
        <is>
          <t>IS-D20-CAL-TMT-120C</t>
        </is>
      </c>
      <c r="N454" s="18" t="inlineStr">
        <is>
          <t>Instalaciones sanitarias (hidrosanitarias)</t>
        </is>
      </c>
      <c r="O454" s="18" t="inlineStr">
        <is>
          <t>Estimado DION · criterio de mercado Guayaquil 2026 (no verificado en tienda)</t>
        </is>
      </c>
      <c r="P454" s="18" t="inlineStr">
        <is>
          <t>oct-2026 (est.)</t>
        </is>
      </c>
      <c r="Q454" s="18" t="n"/>
    </row>
    <row r="455">
      <c r="A455" s="10" t="n"/>
      <c r="B455" s="147" t="inlineStr">
        <is>
          <t>TOTAL BASE DE DATOS AGUA POTABLE (FRÍA Y CALIENTE) (ESTIMADO)</t>
        </is>
      </c>
      <c r="C455" s="148" t="n"/>
      <c r="D455" s="148" t="n"/>
      <c r="E455" s="148" t="n"/>
      <c r="F455" s="148" t="n"/>
      <c r="G455" s="148" t="n"/>
      <c r="H455" s="148" t="n"/>
      <c r="I455" s="148" t="n"/>
      <c r="J455" s="148" t="n"/>
      <c r="K455" s="148" t="n"/>
      <c r="L455" s="30">
        <f>SUM(L6:L454)</f>
        <v/>
      </c>
      <c r="M455" s="30" t="n"/>
      <c r="N455" s="30" t="n"/>
      <c r="O455" s="30" t="n"/>
      <c r="P455" s="30" t="n"/>
      <c r="Q455" s="30" t="n"/>
    </row>
  </sheetData>
  <mergeCells count="41">
    <mergeCell ref="A127:Q127"/>
    <mergeCell ref="A362:Q362"/>
    <mergeCell ref="A403:Q403"/>
    <mergeCell ref="A77:Q77"/>
    <mergeCell ref="A34:Q34"/>
    <mergeCell ref="A446:Q446"/>
    <mergeCell ref="A402:Q402"/>
    <mergeCell ref="A387:Q387"/>
    <mergeCell ref="A79:Q79"/>
    <mergeCell ref="A6:Q6"/>
    <mergeCell ref="A383:Q383"/>
    <mergeCell ref="A408:Q408"/>
    <mergeCell ref="A427:Q427"/>
    <mergeCell ref="A7:Q7"/>
    <mergeCell ref="A360:Q360"/>
    <mergeCell ref="A78:Q78"/>
    <mergeCell ref="A448:Q448"/>
    <mergeCell ref="A426:Q426"/>
    <mergeCell ref="A366:Q366"/>
    <mergeCell ref="A27:Q27"/>
    <mergeCell ref="A120:Q120"/>
    <mergeCell ref="A447:Q447"/>
    <mergeCell ref="A381:Q381"/>
    <mergeCell ref="A376:Q376"/>
    <mergeCell ref="A12:Q12"/>
    <mergeCell ref="A428:Q428"/>
    <mergeCell ref="A26:Q26"/>
    <mergeCell ref="A374:Q374"/>
    <mergeCell ref="A85:Q85"/>
    <mergeCell ref="A8:Q8"/>
    <mergeCell ref="A361:Q361"/>
    <mergeCell ref="A373:Q373"/>
    <mergeCell ref="A122:Q122"/>
    <mergeCell ref="B455:K455"/>
    <mergeCell ref="A451:Q451"/>
    <mergeCell ref="A432:Q432"/>
    <mergeCell ref="A28:Q28"/>
    <mergeCell ref="A401:Q401"/>
    <mergeCell ref="A372:Q372"/>
    <mergeCell ref="A121:Q121"/>
    <mergeCell ref="A382:Q382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9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8" customWidth="1" min="2" max="2"/>
    <col width="30" customWidth="1" min="3" max="3"/>
    <col width="32" customWidth="1" min="4" max="4"/>
    <col width="8" customWidth="1" min="5" max="5"/>
    <col width="10" customWidth="1" min="6" max="6"/>
    <col width="15" customWidth="1" min="7" max="7"/>
    <col width="16" customWidth="1" min="8" max="8"/>
    <col width="22" customWidth="1" min="9" max="9"/>
    <col width="16" customWidth="1" min="10" max="10"/>
    <col width="20" customWidth="1" min="11" max="11"/>
    <col width="16" customWidth="1" min="12" max="12"/>
    <col width="27" customWidth="1" min="13" max="13"/>
    <col width="30" customWidth="1" min="14" max="14"/>
    <col width="44" customWidth="1" min="15" max="15"/>
    <col width="15" customWidth="1" min="16" max="16"/>
    <col width="14" customWidth="1" min="17" max="17"/>
  </cols>
  <sheetData>
    <row r="1">
      <c r="A1" s="1" t="inlineStr">
        <is>
          <t>BASE DE DATOS COMPLETA DE CATALOGACIÓN: AGUAS GRISES Y SERVIDAS</t>
        </is>
      </c>
    </row>
    <row r="2">
      <c r="A2" s="2" t="inlineStr">
        <is>
          <t>Estructura Jerárquica Homogénea: Accesorios &gt; Tuberías &gt; Equipos &gt; Conexiones &gt; Equipos Especializados | Degradé por Niveles (Ecuador - USD)</t>
        </is>
      </c>
    </row>
    <row r="3">
      <c r="A3" s="13" t="inlineStr">
        <is>
          <t>« Volver al Índice General</t>
        </is>
      </c>
    </row>
    <row r="5" ht="30" customHeight="1">
      <c r="A5" s="4" t="inlineStr">
        <is>
          <t>Item</t>
        </is>
      </c>
      <c r="B5" s="4" t="inlineStr">
        <is>
          <t>Descripción de Accesorio / Ítem Especificado</t>
        </is>
      </c>
      <c r="C5" s="4" t="inlineStr">
        <is>
          <t>Clasificación / Ámbito de Uso
(Residencial/Comercial/Industrial)</t>
        </is>
      </c>
      <c r="D5" s="4" t="inlineStr">
        <is>
          <t>Tipo / Familia</t>
        </is>
      </c>
      <c r="E5" s="4" t="inlineStr">
        <is>
          <t>Unidad</t>
        </is>
      </c>
      <c r="F5" s="4" t="inlineStr">
        <is>
          <t>Cant.</t>
        </is>
      </c>
      <c r="G5" s="4" t="inlineStr">
        <is>
          <t>P. Ref. Est. ($)</t>
        </is>
      </c>
      <c r="H5" s="4" t="inlineStr">
        <is>
          <t>P. Unit. Local A ($)
(Megametales)</t>
        </is>
      </c>
      <c r="I5" s="4" t="inlineStr">
        <is>
          <t>Local A
Especificado</t>
        </is>
      </c>
      <c r="J5" s="4" t="inlineStr">
        <is>
          <t>P. Unit. Local B ($)
(Kywi/Ferrisariato)</t>
        </is>
      </c>
      <c r="K5" s="4" t="inlineStr">
        <is>
          <t>Local B
Especificado</t>
        </is>
      </c>
      <c r="L5" s="4" t="inlineStr">
        <is>
          <t>Subtotal Est. ($)</t>
        </is>
      </c>
      <c r="M5" s="4" t="inlineStr">
        <is>
          <t>Código DION</t>
        </is>
      </c>
      <c r="N5" s="4" t="inlineStr">
        <is>
          <t>Disciplina</t>
        </is>
      </c>
      <c r="O5" s="4" t="inlineStr">
        <is>
          <t>Fuente del precio</t>
        </is>
      </c>
      <c r="P5" s="4" t="inlineStr">
        <is>
          <t>Fecha precio</t>
        </is>
      </c>
      <c r="Q5" s="4" t="inlineStr">
        <is>
          <t>Rendimiento /
desperdicio %</t>
        </is>
      </c>
    </row>
    <row r="6">
      <c r="A6" s="49" t="inlineStr">
        <is>
          <t>ACCESORIOS</t>
        </is>
      </c>
      <c r="B6" s="143" t="n"/>
      <c r="C6" s="143" t="n"/>
      <c r="D6" s="143" t="n"/>
      <c r="E6" s="143" t="n"/>
      <c r="F6" s="143" t="n"/>
      <c r="G6" s="143" t="n"/>
      <c r="H6" s="143" t="n"/>
      <c r="I6" s="143" t="n"/>
      <c r="J6" s="143" t="n"/>
      <c r="K6" s="143" t="n"/>
      <c r="L6" s="143" t="n"/>
      <c r="M6" s="143" t="n"/>
      <c r="N6" s="143" t="n"/>
      <c r="O6" s="143" t="n"/>
      <c r="P6" s="143" t="n"/>
      <c r="Q6" s="144" t="n"/>
    </row>
    <row r="7">
      <c r="A7" s="50" t="inlineStr">
        <is>
          <t xml:space="preserve">  ► CATEGORÍA: SIFONES Y REJILLAS</t>
        </is>
      </c>
      <c r="B7" s="143" t="n"/>
      <c r="C7" s="143" t="n"/>
      <c r="D7" s="143" t="n"/>
      <c r="E7" s="143" t="n"/>
      <c r="F7" s="143" t="n"/>
      <c r="G7" s="143" t="n"/>
      <c r="H7" s="143" t="n"/>
      <c r="I7" s="143" t="n"/>
      <c r="J7" s="143" t="n"/>
      <c r="K7" s="143" t="n"/>
      <c r="L7" s="143" t="n"/>
      <c r="M7" s="143" t="n"/>
      <c r="N7" s="143" t="n"/>
      <c r="O7" s="143" t="n"/>
      <c r="P7" s="143" t="n"/>
      <c r="Q7" s="144" t="n"/>
    </row>
    <row r="8">
      <c r="A8" s="51" t="inlineStr">
        <is>
          <t xml:space="preserve">      • Subcategoría Especificada: Sifones Lavamanos y Sumideros</t>
        </is>
      </c>
      <c r="B8" s="143" t="n"/>
      <c r="C8" s="143" t="n"/>
      <c r="D8" s="143" t="n"/>
      <c r="E8" s="143" t="n"/>
      <c r="F8" s="143" t="n"/>
      <c r="G8" s="143" t="n"/>
      <c r="H8" s="143" t="n"/>
      <c r="I8" s="143" t="n"/>
      <c r="J8" s="143" t="n"/>
      <c r="K8" s="143" t="n"/>
      <c r="L8" s="143" t="n"/>
      <c r="M8" s="143" t="n"/>
      <c r="N8" s="143" t="n"/>
      <c r="O8" s="143" t="n"/>
      <c r="P8" s="143" t="n"/>
      <c r="Q8" s="144" t="n"/>
    </row>
    <row r="9">
      <c r="A9" s="18" t="n">
        <v>1</v>
      </c>
      <c r="B9" s="19" t="inlineStr">
        <is>
          <t xml:space="preserve">        Sifón PVC 50mm con Registro Extensible Lavamanos</t>
        </is>
      </c>
      <c r="C9" s="20" t="inlineStr">
        <is>
          <t>Residencial / Comercial</t>
        </is>
      </c>
      <c r="D9" s="18" t="inlineStr">
        <is>
          <t>Sifones</t>
        </is>
      </c>
      <c r="E9" s="18" t="inlineStr">
        <is>
          <t>U</t>
        </is>
      </c>
      <c r="F9" s="21" t="n">
        <v>12</v>
      </c>
      <c r="G9" s="22" t="n">
        <v>3.8</v>
      </c>
      <c r="H9" s="22" t="n">
        <v>3.9</v>
      </c>
      <c r="I9" s="18" t="inlineStr">
        <is>
          <t>Megametales</t>
        </is>
      </c>
      <c r="J9" s="22" t="n">
        <v>4.15</v>
      </c>
      <c r="K9" s="18" t="inlineStr">
        <is>
          <t>Ferrisariato</t>
        </is>
      </c>
      <c r="L9" s="8">
        <f>F9*G9</f>
        <v/>
      </c>
      <c r="M9" s="145" t="inlineStr">
        <is>
          <t>IS-D20-ACD-PVC-SIF-050</t>
        </is>
      </c>
      <c r="N9" s="18" t="inlineStr">
        <is>
          <t>Instalaciones sanitarias (hidrosanitarias)</t>
        </is>
      </c>
      <c r="O9" s="18" t="inlineStr">
        <is>
          <t>Estimado · base original del usuario (sin cotización verificada)</t>
        </is>
      </c>
      <c r="P9" s="18" t="inlineStr">
        <is>
          <t>oct-2026 (est.)</t>
        </is>
      </c>
      <c r="Q9" s="18" t="n"/>
    </row>
    <row r="10">
      <c r="A10" s="52" t="n">
        <v>2</v>
      </c>
      <c r="B10" s="53" t="inlineStr">
        <is>
          <t xml:space="preserve">        Sumidero de Piso Acero Inoxidable 10x10cm Anti-Olor</t>
        </is>
      </c>
      <c r="C10" s="54" t="inlineStr">
        <is>
          <t>Residencial / Comercial</t>
        </is>
      </c>
      <c r="D10" s="52" t="inlineStr">
        <is>
          <t>Sumideros Inox</t>
        </is>
      </c>
      <c r="E10" s="52" t="inlineStr">
        <is>
          <t>U</t>
        </is>
      </c>
      <c r="F10" s="55" t="n">
        <v>10</v>
      </c>
      <c r="G10" s="56" t="n">
        <v>8.5</v>
      </c>
      <c r="H10" s="56" t="n">
        <v>8.800000000000001</v>
      </c>
      <c r="I10" s="52" t="inlineStr">
        <is>
          <t>Megametales</t>
        </is>
      </c>
      <c r="J10" s="56" t="n">
        <v>9.5</v>
      </c>
      <c r="K10" s="52" t="inlineStr">
        <is>
          <t>Ferrisariato</t>
        </is>
      </c>
      <c r="L10" s="57">
        <f>F10*G10</f>
        <v/>
      </c>
      <c r="M10" s="151" t="inlineStr">
        <is>
          <t>IS-D20-SUM-PIS-INX-050</t>
        </is>
      </c>
      <c r="N10" s="52" t="inlineStr">
        <is>
          <t>Instalaciones sanitarias (hidrosanitarias)</t>
        </is>
      </c>
      <c r="O10" s="52" t="inlineStr">
        <is>
          <t>Estimado · base original del usuario (sin cotización verificada)</t>
        </is>
      </c>
      <c r="P10" s="52" t="inlineStr">
        <is>
          <t>oct-2026 (est.)</t>
        </is>
      </c>
      <c r="Q10" s="52" t="n"/>
    </row>
    <row r="11">
      <c r="A11" s="51" t="inlineStr">
        <is>
          <t xml:space="preserve">      • Subcategoría Especificada: Sumideros por Diámetro, Rejillas Lineales y Sifones</t>
        </is>
      </c>
      <c r="B11" s="143" t="n"/>
      <c r="C11" s="143" t="n"/>
      <c r="D11" s="143" t="n"/>
      <c r="E11" s="143" t="n"/>
      <c r="F11" s="143" t="n"/>
      <c r="G11" s="143" t="n"/>
      <c r="H11" s="143" t="n"/>
      <c r="I11" s="143" t="n"/>
      <c r="J11" s="143" t="n"/>
      <c r="K11" s="143" t="n"/>
      <c r="L11" s="143" t="n"/>
      <c r="M11" s="143" t="n"/>
      <c r="N11" s="143" t="n"/>
      <c r="O11" s="143" t="n"/>
      <c r="P11" s="143" t="n"/>
      <c r="Q11" s="144" t="n"/>
    </row>
    <row r="12">
      <c r="A12" s="18" t="n">
        <v>3</v>
      </c>
      <c r="B12" s="19" t="inlineStr">
        <is>
          <t xml:space="preserve">        Sifón PVC Fregadero 1½" con Trampa y Desagüe Doble</t>
        </is>
      </c>
      <c r="C12" s="20" t="inlineStr">
        <is>
          <t>Residencial / Comercial</t>
        </is>
      </c>
      <c r="D12" s="18" t="inlineStr">
        <is>
          <t>Sifones</t>
        </is>
      </c>
      <c r="E12" s="18" t="inlineStr">
        <is>
          <t>U</t>
        </is>
      </c>
      <c r="F12" s="21" t="n">
        <v>4</v>
      </c>
      <c r="G12" s="22" t="n">
        <v>4.6</v>
      </c>
      <c r="H12" s="22" t="n">
        <v>4.74</v>
      </c>
      <c r="I12" s="18" t="inlineStr">
        <is>
          <t>Megametales</t>
        </is>
      </c>
      <c r="J12" s="22" t="n">
        <v>5.11</v>
      </c>
      <c r="K12" s="18" t="inlineStr">
        <is>
          <t>Ferrisariato</t>
        </is>
      </c>
      <c r="L12" s="8">
        <f>F12*G12</f>
        <v/>
      </c>
      <c r="M12" s="145" t="inlineStr">
        <is>
          <t>IS-D20-ACD-PVC-SIF-075</t>
        </is>
      </c>
      <c r="N12" s="18" t="inlineStr">
        <is>
          <t>Instalaciones sanitarias (hidrosanitarias)</t>
        </is>
      </c>
      <c r="O12" s="18" t="inlineStr">
        <is>
          <t>Estimado DION · criterio de mercado Guayaquil 2026 (no verificado en tienda)</t>
        </is>
      </c>
      <c r="P12" s="18" t="inlineStr">
        <is>
          <t>oct-2026 (est.)</t>
        </is>
      </c>
      <c r="Q12" s="18" t="n"/>
    </row>
    <row r="13">
      <c r="A13" s="52" t="n">
        <v>4</v>
      </c>
      <c r="B13" s="53" t="inlineStr">
        <is>
          <t xml:space="preserve">        Trampa P / Sifón PVC 110 mm (Piso)</t>
        </is>
      </c>
      <c r="C13" s="54" t="inlineStr">
        <is>
          <t>Residencial / Comercial</t>
        </is>
      </c>
      <c r="D13" s="52" t="inlineStr">
        <is>
          <t>Sifones</t>
        </is>
      </c>
      <c r="E13" s="52" t="inlineStr">
        <is>
          <t>U</t>
        </is>
      </c>
      <c r="F13" s="55" t="n">
        <v>4</v>
      </c>
      <c r="G13" s="56" t="n">
        <v>12.5</v>
      </c>
      <c r="H13" s="56" t="n">
        <v>13</v>
      </c>
      <c r="I13" s="52" t="inlineStr">
        <is>
          <t>Megametales</t>
        </is>
      </c>
      <c r="J13" s="56" t="n">
        <v>13.88</v>
      </c>
      <c r="K13" s="52" t="inlineStr">
        <is>
          <t>Kywi / Megakywi</t>
        </is>
      </c>
      <c r="L13" s="57">
        <f>F13*G13</f>
        <v/>
      </c>
      <c r="M13" s="151" t="inlineStr">
        <is>
          <t>IS-D20-ACD-PVC-SIF-110</t>
        </is>
      </c>
      <c r="N13" s="52" t="inlineStr">
        <is>
          <t>Instalaciones sanitarias (hidrosanitarias)</t>
        </is>
      </c>
      <c r="O13" s="52" t="inlineStr">
        <is>
          <t>Estimado DION · criterio de mercado Guayaquil 2026 (no verificado en tienda)</t>
        </is>
      </c>
      <c r="P13" s="52" t="inlineStr">
        <is>
          <t>oct-2026 (est.)</t>
        </is>
      </c>
      <c r="Q13" s="52" t="n"/>
    </row>
    <row r="14">
      <c r="A14" s="18" t="n">
        <v>5</v>
      </c>
      <c r="B14" s="19" t="inlineStr">
        <is>
          <t xml:space="preserve">        Sumidero de Piso PVC 50 mm con Rejilla</t>
        </is>
      </c>
      <c r="C14" s="20" t="inlineStr">
        <is>
          <t>Residencial / Comercial</t>
        </is>
      </c>
      <c r="D14" s="18" t="inlineStr">
        <is>
          <t>Sumideros PVC</t>
        </is>
      </c>
      <c r="E14" s="18" t="inlineStr">
        <is>
          <t>U</t>
        </is>
      </c>
      <c r="F14" s="21" t="n">
        <v>8</v>
      </c>
      <c r="G14" s="22" t="n">
        <v>3.9</v>
      </c>
      <c r="H14" s="22" t="n">
        <v>4.09</v>
      </c>
      <c r="I14" s="18" t="inlineStr">
        <is>
          <t>Megametales</t>
        </is>
      </c>
      <c r="J14" s="22" t="n">
        <v>4.29</v>
      </c>
      <c r="K14" s="18" t="inlineStr">
        <is>
          <t>Ferrisariato</t>
        </is>
      </c>
      <c r="L14" s="8">
        <f>F14*G14</f>
        <v/>
      </c>
      <c r="M14" s="145" t="inlineStr">
        <is>
          <t>IS-D20-SUM-PIS-050</t>
        </is>
      </c>
      <c r="N14" s="18" t="inlineStr">
        <is>
          <t>Instalaciones sanitarias (hidrosanitarias)</t>
        </is>
      </c>
      <c r="O14" s="18" t="inlineStr">
        <is>
          <t>Estimado DION · criterio de mercado Guayaquil 2026 (no verificado en tienda)</t>
        </is>
      </c>
      <c r="P14" s="18" t="inlineStr">
        <is>
          <t>oct-2026 (est.)</t>
        </is>
      </c>
      <c r="Q14" s="18" t="n"/>
    </row>
    <row r="15">
      <c r="A15" s="52" t="n">
        <v>6</v>
      </c>
      <c r="B15" s="53" t="inlineStr">
        <is>
          <t xml:space="preserve">        Sumidero de Piso PVC 75 mm con Rejilla</t>
        </is>
      </c>
      <c r="C15" s="54" t="inlineStr">
        <is>
          <t>Residencial / Comercial</t>
        </is>
      </c>
      <c r="D15" s="52" t="inlineStr">
        <is>
          <t>Sumideros PVC</t>
        </is>
      </c>
      <c r="E15" s="52" t="inlineStr">
        <is>
          <t>U</t>
        </is>
      </c>
      <c r="F15" s="55" t="n">
        <v>4</v>
      </c>
      <c r="G15" s="56" t="n">
        <v>5.6</v>
      </c>
      <c r="H15" s="56" t="n">
        <v>5.77</v>
      </c>
      <c r="I15" s="52" t="inlineStr">
        <is>
          <t>Megametales</t>
        </is>
      </c>
      <c r="J15" s="56" t="n">
        <v>5.99</v>
      </c>
      <c r="K15" s="52" t="inlineStr">
        <is>
          <t>Kywi / Megakywi</t>
        </is>
      </c>
      <c r="L15" s="57">
        <f>F15*G15</f>
        <v/>
      </c>
      <c r="M15" s="151" t="inlineStr">
        <is>
          <t>IS-D20-SUM-PIS-075</t>
        </is>
      </c>
      <c r="N15" s="52" t="inlineStr">
        <is>
          <t>Instalaciones sanitarias (hidrosanitarias)</t>
        </is>
      </c>
      <c r="O15" s="52" t="inlineStr">
        <is>
          <t>Estimado DION · criterio de mercado Guayaquil 2026 (no verificado en tienda)</t>
        </is>
      </c>
      <c r="P15" s="52" t="inlineStr">
        <is>
          <t>oct-2026 (est.)</t>
        </is>
      </c>
      <c r="Q15" s="52" t="n"/>
    </row>
    <row r="16">
      <c r="A16" s="18" t="n">
        <v>7</v>
      </c>
      <c r="B16" s="19" t="inlineStr">
        <is>
          <t xml:space="preserve">        Sumidero de Piso PVC 110 mm con Rejilla</t>
        </is>
      </c>
      <c r="C16" s="20" t="inlineStr">
        <is>
          <t>Residencial / Comercial</t>
        </is>
      </c>
      <c r="D16" s="18" t="inlineStr">
        <is>
          <t>Sumideros PVC</t>
        </is>
      </c>
      <c r="E16" s="18" t="inlineStr">
        <is>
          <t>U</t>
        </is>
      </c>
      <c r="F16" s="21" t="n">
        <v>4</v>
      </c>
      <c r="G16" s="22" t="n">
        <v>8.199999999999999</v>
      </c>
      <c r="H16" s="22" t="n">
        <v>8.609999999999999</v>
      </c>
      <c r="I16" s="18" t="inlineStr">
        <is>
          <t>Megametales</t>
        </is>
      </c>
      <c r="J16" s="22" t="n">
        <v>8.94</v>
      </c>
      <c r="K16" s="18" t="inlineStr">
        <is>
          <t>Ferrisariato</t>
        </is>
      </c>
      <c r="L16" s="8">
        <f>F16*G16</f>
        <v/>
      </c>
      <c r="M16" s="145" t="inlineStr">
        <is>
          <t>IS-D20-SUM-PIS-110</t>
        </is>
      </c>
      <c r="N16" s="18" t="inlineStr">
        <is>
          <t>Instalaciones sanitarias (hidrosanitarias)</t>
        </is>
      </c>
      <c r="O16" s="18" t="inlineStr">
        <is>
          <t>Estimado DION · criterio de mercado Guayaquil 2026 (no verificado en tienda)</t>
        </is>
      </c>
      <c r="P16" s="18" t="inlineStr">
        <is>
          <t>oct-2026 (est.)</t>
        </is>
      </c>
      <c r="Q16" s="18" t="n"/>
    </row>
    <row r="17">
      <c r="A17" s="52" t="n">
        <v>8</v>
      </c>
      <c r="B17" s="53" t="inlineStr">
        <is>
          <t xml:space="preserve">        Sumidero Acero Inoxidable 15x15 cm Salida 110 mm</t>
        </is>
      </c>
      <c r="C17" s="54" t="inlineStr">
        <is>
          <t>Residencial / Comercial</t>
        </is>
      </c>
      <c r="D17" s="52" t="inlineStr">
        <is>
          <t>Sumideros Inox</t>
        </is>
      </c>
      <c r="E17" s="52" t="inlineStr">
        <is>
          <t>U</t>
        </is>
      </c>
      <c r="F17" s="55" t="n">
        <v>2</v>
      </c>
      <c r="G17" s="56" t="n">
        <v>18.5</v>
      </c>
      <c r="H17" s="56" t="n">
        <v>19.43</v>
      </c>
      <c r="I17" s="52" t="inlineStr">
        <is>
          <t>Megametales</t>
        </is>
      </c>
      <c r="J17" s="56" t="n">
        <v>20.35</v>
      </c>
      <c r="K17" s="52" t="inlineStr">
        <is>
          <t>Kywi / Megakywi</t>
        </is>
      </c>
      <c r="L17" s="57">
        <f>F17*G17</f>
        <v/>
      </c>
      <c r="M17" s="151" t="inlineStr">
        <is>
          <t>IS-D20-SUM-PIS-INX-110</t>
        </is>
      </c>
      <c r="N17" s="52" t="inlineStr">
        <is>
          <t>Instalaciones sanitarias (hidrosanitarias)</t>
        </is>
      </c>
      <c r="O17" s="52" t="inlineStr">
        <is>
          <t>Estimado DION · criterio de mercado Guayaquil 2026 (no verificado en tienda)</t>
        </is>
      </c>
      <c r="P17" s="52" t="inlineStr">
        <is>
          <t>oct-2026 (est.)</t>
        </is>
      </c>
      <c r="Q17" s="52" t="n"/>
    </row>
    <row r="18">
      <c r="A18" s="18" t="n">
        <v>9</v>
      </c>
      <c r="B18" s="19" t="inlineStr">
        <is>
          <t xml:space="preserve">        Rejilla Lineal de Ducha Acero Inox 60 cm Antiolor</t>
        </is>
      </c>
      <c r="C18" s="20" t="inlineStr">
        <is>
          <t>Residencial / Comercial</t>
        </is>
      </c>
      <c r="D18" s="18" t="inlineStr">
        <is>
          <t>Rejillas Lineales</t>
        </is>
      </c>
      <c r="E18" s="18" t="inlineStr">
        <is>
          <t>U</t>
        </is>
      </c>
      <c r="F18" s="21" t="n">
        <v>2</v>
      </c>
      <c r="G18" s="22" t="n">
        <v>38</v>
      </c>
      <c r="H18" s="22" t="n">
        <v>39.14</v>
      </c>
      <c r="I18" s="18" t="inlineStr">
        <is>
          <t>Megametales</t>
        </is>
      </c>
      <c r="J18" s="22" t="n">
        <v>41.04</v>
      </c>
      <c r="K18" s="18" t="inlineStr">
        <is>
          <t>Ferrisariato</t>
        </is>
      </c>
      <c r="L18" s="8">
        <f>F18*G18</f>
        <v/>
      </c>
      <c r="M18" s="145" t="inlineStr">
        <is>
          <t>IS-D20-SUM-LIN-060</t>
        </is>
      </c>
      <c r="N18" s="18" t="inlineStr">
        <is>
          <t>Instalaciones sanitarias (hidrosanitarias)</t>
        </is>
      </c>
      <c r="O18" s="18" t="inlineStr">
        <is>
          <t>Estimado DION · criterio de mercado Guayaquil 2026 (no verificado en tienda)</t>
        </is>
      </c>
      <c r="P18" s="18" t="inlineStr">
        <is>
          <t>oct-2026 (est.)</t>
        </is>
      </c>
      <c r="Q18" s="18" t="n"/>
    </row>
    <row r="19">
      <c r="A19" s="52" t="n">
        <v>10</v>
      </c>
      <c r="B19" s="53" t="inlineStr">
        <is>
          <t xml:space="preserve">        Rejilla Lineal de Ducha Acero Inox 80 cm Antiolor</t>
        </is>
      </c>
      <c r="C19" s="54" t="inlineStr">
        <is>
          <t>Residencial / Comercial</t>
        </is>
      </c>
      <c r="D19" s="52" t="inlineStr">
        <is>
          <t>Rejillas Lineales</t>
        </is>
      </c>
      <c r="E19" s="52" t="inlineStr">
        <is>
          <t>U</t>
        </is>
      </c>
      <c r="F19" s="55" t="n">
        <v>2</v>
      </c>
      <c r="G19" s="56" t="n">
        <v>46</v>
      </c>
      <c r="H19" s="56" t="n">
        <v>47.38</v>
      </c>
      <c r="I19" s="52" t="inlineStr">
        <is>
          <t>Megametales</t>
        </is>
      </c>
      <c r="J19" s="56" t="n">
        <v>49.68</v>
      </c>
      <c r="K19" s="52" t="inlineStr">
        <is>
          <t>Kywi / Megakywi</t>
        </is>
      </c>
      <c r="L19" s="57">
        <f>F19*G19</f>
        <v/>
      </c>
      <c r="M19" s="151" t="inlineStr">
        <is>
          <t>IS-D20-SUM-LIN-080</t>
        </is>
      </c>
      <c r="N19" s="52" t="inlineStr">
        <is>
          <t>Instalaciones sanitarias (hidrosanitarias)</t>
        </is>
      </c>
      <c r="O19" s="52" t="inlineStr">
        <is>
          <t>Estimado DION · criterio de mercado Guayaquil 2026 (no verificado en tienda)</t>
        </is>
      </c>
      <c r="P19" s="52" t="inlineStr">
        <is>
          <t>oct-2026 (est.)</t>
        </is>
      </c>
      <c r="Q19" s="52" t="n"/>
    </row>
    <row r="20">
      <c r="A20" s="18" t="n">
        <v>11</v>
      </c>
      <c r="B20" s="19" t="inlineStr">
        <is>
          <t xml:space="preserve">        Rejilla Lineal de Ducha Acero Inox 100 cm Antiolor</t>
        </is>
      </c>
      <c r="C20" s="20" t="inlineStr">
        <is>
          <t>Residencial / Comercial</t>
        </is>
      </c>
      <c r="D20" s="18" t="inlineStr">
        <is>
          <t>Rejillas Lineales</t>
        </is>
      </c>
      <c r="E20" s="18" t="inlineStr">
        <is>
          <t>U</t>
        </is>
      </c>
      <c r="F20" s="21" t="n">
        <v>2</v>
      </c>
      <c r="G20" s="22" t="n">
        <v>55</v>
      </c>
      <c r="H20" s="22" t="n">
        <v>56.65</v>
      </c>
      <c r="I20" s="18" t="inlineStr">
        <is>
          <t>Megametales</t>
        </is>
      </c>
      <c r="J20" s="22" t="n">
        <v>61.05</v>
      </c>
      <c r="K20" s="18" t="inlineStr">
        <is>
          <t>Ferrisariato</t>
        </is>
      </c>
      <c r="L20" s="8">
        <f>F20*G20</f>
        <v/>
      </c>
      <c r="M20" s="145" t="inlineStr">
        <is>
          <t>IS-D20-SUM-LIN-100</t>
        </is>
      </c>
      <c r="N20" s="18" t="inlineStr">
        <is>
          <t>Instalaciones sanitarias (hidrosanitarias)</t>
        </is>
      </c>
      <c r="O20" s="18" t="inlineStr">
        <is>
          <t>Estimado DION · criterio de mercado Guayaquil 2026 (no verificado en tienda)</t>
        </is>
      </c>
      <c r="P20" s="18" t="inlineStr">
        <is>
          <t>oct-2026 (est.)</t>
        </is>
      </c>
      <c r="Q20" s="18" t="n"/>
    </row>
    <row r="21">
      <c r="A21" s="52" t="n">
        <v>12</v>
      </c>
      <c r="B21" s="53" t="inlineStr">
        <is>
          <t xml:space="preserve">        Rejilla Lineal de Ducha Acero Inox 120 cm Antiolor</t>
        </is>
      </c>
      <c r="C21" s="54" t="inlineStr">
        <is>
          <t>Residencial / Comercial</t>
        </is>
      </c>
      <c r="D21" s="52" t="inlineStr">
        <is>
          <t>Rejillas Lineales</t>
        </is>
      </c>
      <c r="E21" s="52" t="inlineStr">
        <is>
          <t>U</t>
        </is>
      </c>
      <c r="F21" s="55" t="n">
        <v>2</v>
      </c>
      <c r="G21" s="56" t="n">
        <v>66</v>
      </c>
      <c r="H21" s="56" t="n">
        <v>68.64</v>
      </c>
      <c r="I21" s="52" t="inlineStr">
        <is>
          <t>Megametales</t>
        </is>
      </c>
      <c r="J21" s="56" t="n">
        <v>71.28</v>
      </c>
      <c r="K21" s="52" t="inlineStr">
        <is>
          <t>Kywi / Megakywi</t>
        </is>
      </c>
      <c r="L21" s="57">
        <f>F21*G21</f>
        <v/>
      </c>
      <c r="M21" s="151" t="inlineStr">
        <is>
          <t>IS-D20-SUM-LIN-120</t>
        </is>
      </c>
      <c r="N21" s="52" t="inlineStr">
        <is>
          <t>Instalaciones sanitarias (hidrosanitarias)</t>
        </is>
      </c>
      <c r="O21" s="52" t="inlineStr">
        <is>
          <t>Estimado DION · criterio de mercado Guayaquil 2026 (no verificado en tienda)</t>
        </is>
      </c>
      <c r="P21" s="52" t="inlineStr">
        <is>
          <t>oct-2026 (est.)</t>
        </is>
      </c>
      <c r="Q21" s="52" t="n"/>
    </row>
    <row r="22">
      <c r="A22" s="49" t="inlineStr">
        <is>
          <t>TUBERÍAS</t>
        </is>
      </c>
      <c r="B22" s="143" t="n"/>
      <c r="C22" s="143" t="n"/>
      <c r="D22" s="143" t="n"/>
      <c r="E22" s="143" t="n"/>
      <c r="F22" s="143" t="n"/>
      <c r="G22" s="143" t="n"/>
      <c r="H22" s="143" t="n"/>
      <c r="I22" s="143" t="n"/>
      <c r="J22" s="143" t="n"/>
      <c r="K22" s="143" t="n"/>
      <c r="L22" s="143" t="n"/>
      <c r="M22" s="143" t="n"/>
      <c r="N22" s="143" t="n"/>
      <c r="O22" s="143" t="n"/>
      <c r="P22" s="143" t="n"/>
      <c r="Q22" s="144" t="n"/>
    </row>
    <row r="23">
      <c r="A23" s="50" t="inlineStr">
        <is>
          <t xml:space="preserve">  ► CATEGORÍA: TUBERÍAS PVC SANITARIA DRENAJE GRIS</t>
        </is>
      </c>
      <c r="B23" s="143" t="n"/>
      <c r="C23" s="143" t="n"/>
      <c r="D23" s="143" t="n"/>
      <c r="E23" s="143" t="n"/>
      <c r="F23" s="143" t="n"/>
      <c r="G23" s="143" t="n"/>
      <c r="H23" s="143" t="n"/>
      <c r="I23" s="143" t="n"/>
      <c r="J23" s="143" t="n"/>
      <c r="K23" s="143" t="n"/>
      <c r="L23" s="143" t="n"/>
      <c r="M23" s="143" t="n"/>
      <c r="N23" s="143" t="n"/>
      <c r="O23" s="143" t="n"/>
      <c r="P23" s="143" t="n"/>
      <c r="Q23" s="144" t="n"/>
    </row>
    <row r="24">
      <c r="A24" s="51" t="inlineStr">
        <is>
          <t xml:space="preserve">      • Subcategoría Especificada: PVC INEN 1374 (50mm a 110mm)</t>
        </is>
      </c>
      <c r="B24" s="143" t="n"/>
      <c r="C24" s="143" t="n"/>
      <c r="D24" s="143" t="n"/>
      <c r="E24" s="143" t="n"/>
      <c r="F24" s="143" t="n"/>
      <c r="G24" s="143" t="n"/>
      <c r="H24" s="143" t="n"/>
      <c r="I24" s="143" t="n"/>
      <c r="J24" s="143" t="n"/>
      <c r="K24" s="143" t="n"/>
      <c r="L24" s="143" t="n"/>
      <c r="M24" s="143" t="n"/>
      <c r="N24" s="143" t="n"/>
      <c r="O24" s="143" t="n"/>
      <c r="P24" s="143" t="n"/>
      <c r="Q24" s="144" t="n"/>
    </row>
    <row r="25">
      <c r="A25" s="18" t="n">
        <v>13</v>
      </c>
      <c r="B25" s="19" t="inlineStr">
        <is>
          <t xml:space="preserve">        Tubo PVC Sanitario 50mm / 2" Drenaje Gris (6m)</t>
        </is>
      </c>
      <c r="C25" s="20" t="inlineStr">
        <is>
          <t>Residencial / Comercial</t>
        </is>
      </c>
      <c r="D25" s="18" t="inlineStr">
        <is>
          <t>Tubería Drenaje</t>
        </is>
      </c>
      <c r="E25" s="18" t="inlineStr">
        <is>
          <t>U</t>
        </is>
      </c>
      <c r="F25" s="21" t="n">
        <v>22</v>
      </c>
      <c r="G25" s="22" t="n">
        <v>9.1</v>
      </c>
      <c r="H25" s="22" t="n">
        <v>9.35</v>
      </c>
      <c r="I25" s="18" t="inlineStr">
        <is>
          <t>Megametales</t>
        </is>
      </c>
      <c r="J25" s="22" t="n">
        <v>9.800000000000001</v>
      </c>
      <c r="K25" s="18" t="inlineStr">
        <is>
          <t>Ferrisariato</t>
        </is>
      </c>
      <c r="L25" s="8">
        <f>F25*G25</f>
        <v/>
      </c>
      <c r="M25" s="145" t="inlineStr">
        <is>
          <t>IS-D20-TDS-PVC-050</t>
        </is>
      </c>
      <c r="N25" s="18" t="inlineStr">
        <is>
          <t>Instalaciones sanitarias (hidrosanitarias)</t>
        </is>
      </c>
      <c r="O25" s="18" t="inlineStr">
        <is>
          <t>Estimado · base original del usuario (sin cotización verificada)</t>
        </is>
      </c>
      <c r="P25" s="18" t="inlineStr">
        <is>
          <t>oct-2026 (est.)</t>
        </is>
      </c>
      <c r="Q25" s="18" t="n">
        <v>5</v>
      </c>
    </row>
    <row r="26">
      <c r="A26" s="52" t="n">
        <v>14</v>
      </c>
      <c r="B26" s="53" t="inlineStr">
        <is>
          <t xml:space="preserve">        Tubo PVC Sanitario 75mm / 3" Drenaje Gris (6m)</t>
        </is>
      </c>
      <c r="C26" s="54" t="inlineStr">
        <is>
          <t>Residencial / Comercial</t>
        </is>
      </c>
      <c r="D26" s="52" t="inlineStr">
        <is>
          <t>Tubería Drenaje</t>
        </is>
      </c>
      <c r="E26" s="52" t="inlineStr">
        <is>
          <t>U</t>
        </is>
      </c>
      <c r="F26" s="55" t="n">
        <v>12</v>
      </c>
      <c r="G26" s="56" t="n">
        <v>13.2</v>
      </c>
      <c r="H26" s="56" t="n">
        <v>13.5</v>
      </c>
      <c r="I26" s="52" t="inlineStr">
        <is>
          <t>Megametales</t>
        </is>
      </c>
      <c r="J26" s="56" t="n">
        <v>14.2</v>
      </c>
      <c r="K26" s="52" t="inlineStr">
        <is>
          <t>Kywi / Megakywi</t>
        </is>
      </c>
      <c r="L26" s="57">
        <f>F26*G26</f>
        <v/>
      </c>
      <c r="M26" s="151" t="inlineStr">
        <is>
          <t>IS-D20-TDS-PVC-075</t>
        </is>
      </c>
      <c r="N26" s="52" t="inlineStr">
        <is>
          <t>Instalaciones sanitarias (hidrosanitarias)</t>
        </is>
      </c>
      <c r="O26" s="52" t="inlineStr">
        <is>
          <t>Estimado · base original del usuario (sin cotización verificada)</t>
        </is>
      </c>
      <c r="P26" s="52" t="inlineStr">
        <is>
          <t>oct-2026 (est.)</t>
        </is>
      </c>
      <c r="Q26" s="52" t="n">
        <v>5</v>
      </c>
    </row>
    <row r="27">
      <c r="A27" s="51" t="inlineStr">
        <is>
          <t xml:space="preserve">      • Subcategoría Especificada: Desagüe 110–160 mm, Ventilación, PP y Hierro Fundido</t>
        </is>
      </c>
      <c r="B27" s="143" t="n"/>
      <c r="C27" s="143" t="n"/>
      <c r="D27" s="143" t="n"/>
      <c r="E27" s="143" t="n"/>
      <c r="F27" s="143" t="n"/>
      <c r="G27" s="143" t="n"/>
      <c r="H27" s="143" t="n"/>
      <c r="I27" s="143" t="n"/>
      <c r="J27" s="143" t="n"/>
      <c r="K27" s="143" t="n"/>
      <c r="L27" s="143" t="n"/>
      <c r="M27" s="143" t="n"/>
      <c r="N27" s="143" t="n"/>
      <c r="O27" s="143" t="n"/>
      <c r="P27" s="143" t="n"/>
      <c r="Q27" s="144" t="n"/>
    </row>
    <row r="28">
      <c r="A28" s="18" t="n">
        <v>15</v>
      </c>
      <c r="B28" s="19" t="inlineStr">
        <is>
          <t xml:space="preserve">        Tubo PVC Desagüe Sanitario Ø110 mm / 4" (3 m) INEN 1374</t>
        </is>
      </c>
      <c r="C28" s="20" t="inlineStr">
        <is>
          <t>Residencial / Comercial</t>
        </is>
      </c>
      <c r="D28" s="18" t="inlineStr">
        <is>
          <t>Tubería Drenaje</t>
        </is>
      </c>
      <c r="E28" s="18" t="inlineStr">
        <is>
          <t>U</t>
        </is>
      </c>
      <c r="F28" s="21" t="n">
        <v>6</v>
      </c>
      <c r="G28" s="22" t="n">
        <v>10.9</v>
      </c>
      <c r="H28" s="22" t="n">
        <v>11.34</v>
      </c>
      <c r="I28" s="18" t="inlineStr">
        <is>
          <t>Megametales</t>
        </is>
      </c>
      <c r="J28" s="22" t="n">
        <v>11.66</v>
      </c>
      <c r="K28" s="18" t="inlineStr">
        <is>
          <t>Ferrisariato</t>
        </is>
      </c>
      <c r="L28" s="8">
        <f>F28*G28</f>
        <v/>
      </c>
      <c r="M28" s="145" t="inlineStr">
        <is>
          <t>IS-D20-TDS-PVC-110</t>
        </is>
      </c>
      <c r="N28" s="18" t="inlineStr">
        <is>
          <t>Instalaciones sanitarias (hidrosanitarias)</t>
        </is>
      </c>
      <c r="O28" s="18" t="inlineStr">
        <is>
          <t>Estimado DION · criterio de mercado Guayaquil 2026 (no verificado en tienda)</t>
        </is>
      </c>
      <c r="P28" s="18" t="inlineStr">
        <is>
          <t>oct-2026 (est.)</t>
        </is>
      </c>
      <c r="Q28" s="18" t="n">
        <v>5</v>
      </c>
    </row>
    <row r="29">
      <c r="A29" s="52" t="n">
        <v>16</v>
      </c>
      <c r="B29" s="53" t="inlineStr">
        <is>
          <t xml:space="preserve">        Tubo PVC Desagüe Sanitario Ø160 mm / 6" (3 m) INEN 1374</t>
        </is>
      </c>
      <c r="C29" s="54" t="inlineStr">
        <is>
          <t>Comercial / Industrial</t>
        </is>
      </c>
      <c r="D29" s="52" t="inlineStr">
        <is>
          <t>Tubería Drenaje</t>
        </is>
      </c>
      <c r="E29" s="52" t="inlineStr">
        <is>
          <t>U</t>
        </is>
      </c>
      <c r="F29" s="55" t="n">
        <v>6</v>
      </c>
      <c r="G29" s="56" t="n">
        <v>24.5</v>
      </c>
      <c r="H29" s="56" t="n">
        <v>25.23</v>
      </c>
      <c r="I29" s="52" t="inlineStr">
        <is>
          <t>Megametales</t>
        </is>
      </c>
      <c r="J29" s="56" t="n">
        <v>26.21</v>
      </c>
      <c r="K29" s="52" t="inlineStr">
        <is>
          <t>Kywi / Megakywi</t>
        </is>
      </c>
      <c r="L29" s="57">
        <f>F29*G29</f>
        <v/>
      </c>
      <c r="M29" s="151" t="inlineStr">
        <is>
          <t>IS-D20-TDS-PVC-160</t>
        </is>
      </c>
      <c r="N29" s="52" t="inlineStr">
        <is>
          <t>Instalaciones sanitarias (hidrosanitarias)</t>
        </is>
      </c>
      <c r="O29" s="52" t="inlineStr">
        <is>
          <t>Estimado DION · criterio de mercado Guayaquil 2026 (no verificado en tienda)</t>
        </is>
      </c>
      <c r="P29" s="52" t="inlineStr">
        <is>
          <t>oct-2026 (est.)</t>
        </is>
      </c>
      <c r="Q29" s="52" t="n">
        <v>5</v>
      </c>
    </row>
    <row r="30">
      <c r="A30" s="18" t="n">
        <v>17</v>
      </c>
      <c r="B30" s="19" t="inlineStr">
        <is>
          <t xml:space="preserve">        Tubo PVC Ventilación Sanitaria Ø40 mm (3 m)</t>
        </is>
      </c>
      <c r="C30" s="20" t="inlineStr">
        <is>
          <t>Residencial / Comercial</t>
        </is>
      </c>
      <c r="D30" s="18" t="inlineStr">
        <is>
          <t>Tubería Ventilación</t>
        </is>
      </c>
      <c r="E30" s="18" t="inlineStr">
        <is>
          <t>U</t>
        </is>
      </c>
      <c r="F30" s="21" t="n">
        <v>4</v>
      </c>
      <c r="G30" s="22" t="n">
        <v>3.4</v>
      </c>
      <c r="H30" s="22" t="n">
        <v>3.57</v>
      </c>
      <c r="I30" s="18" t="inlineStr">
        <is>
          <t>Megametales</t>
        </is>
      </c>
      <c r="J30" s="22" t="n">
        <v>3.74</v>
      </c>
      <c r="K30" s="18" t="inlineStr">
        <is>
          <t>Ferrisariato</t>
        </is>
      </c>
      <c r="L30" s="8">
        <f>F30*G30</f>
        <v/>
      </c>
      <c r="M30" s="145" t="inlineStr">
        <is>
          <t>IS-D20-TVE-PVC-040</t>
        </is>
      </c>
      <c r="N30" s="18" t="inlineStr">
        <is>
          <t>Instalaciones sanitarias (hidrosanitarias)</t>
        </is>
      </c>
      <c r="O30" s="18" t="inlineStr">
        <is>
          <t>Estimado DION · criterio de mercado Guayaquil 2026 (no verificado en tienda)</t>
        </is>
      </c>
      <c r="P30" s="18" t="inlineStr">
        <is>
          <t>oct-2026 (est.)</t>
        </is>
      </c>
      <c r="Q30" s="18" t="n">
        <v>5</v>
      </c>
    </row>
    <row r="31">
      <c r="A31" s="52" t="n">
        <v>18</v>
      </c>
      <c r="B31" s="53" t="inlineStr">
        <is>
          <t xml:space="preserve">        Tubo PVC Ventilación Sanitaria Ø50 mm (3 m)</t>
        </is>
      </c>
      <c r="C31" s="54" t="inlineStr">
        <is>
          <t>Residencial / Comercial</t>
        </is>
      </c>
      <c r="D31" s="52" t="inlineStr">
        <is>
          <t>Tubería Ventilación</t>
        </is>
      </c>
      <c r="E31" s="52" t="inlineStr">
        <is>
          <t>U</t>
        </is>
      </c>
      <c r="F31" s="55" t="n">
        <v>4</v>
      </c>
      <c r="G31" s="56" t="n">
        <v>4.85</v>
      </c>
      <c r="H31" s="56" t="n">
        <v>5.04</v>
      </c>
      <c r="I31" s="52" t="inlineStr">
        <is>
          <t>Megametales</t>
        </is>
      </c>
      <c r="J31" s="56" t="n">
        <v>5.29</v>
      </c>
      <c r="K31" s="52" t="inlineStr">
        <is>
          <t>Kywi / Megakywi</t>
        </is>
      </c>
      <c r="L31" s="57">
        <f>F31*G31</f>
        <v/>
      </c>
      <c r="M31" s="151" t="inlineStr">
        <is>
          <t>IS-D20-TVE-PVC-050</t>
        </is>
      </c>
      <c r="N31" s="52" t="inlineStr">
        <is>
          <t>Instalaciones sanitarias (hidrosanitarias)</t>
        </is>
      </c>
      <c r="O31" s="52" t="inlineStr">
        <is>
          <t>Estimado DION · criterio de mercado Guayaquil 2026 (no verificado en tienda)</t>
        </is>
      </c>
      <c r="P31" s="52" t="inlineStr">
        <is>
          <t>oct-2026 (est.)</t>
        </is>
      </c>
      <c r="Q31" s="52" t="n">
        <v>5</v>
      </c>
    </row>
    <row r="32">
      <c r="A32" s="18" t="n">
        <v>19</v>
      </c>
      <c r="B32" s="19" t="inlineStr">
        <is>
          <t xml:space="preserve">        Tubo PVC Ventilación Sanitaria Ø75 mm (3 m)</t>
        </is>
      </c>
      <c r="C32" s="20" t="inlineStr">
        <is>
          <t>Residencial / Comercial</t>
        </is>
      </c>
      <c r="D32" s="18" t="inlineStr">
        <is>
          <t>Tubería Ventilación</t>
        </is>
      </c>
      <c r="E32" s="18" t="inlineStr">
        <is>
          <t>U</t>
        </is>
      </c>
      <c r="F32" s="21" t="n">
        <v>4</v>
      </c>
      <c r="G32" s="22" t="n">
        <v>7.3</v>
      </c>
      <c r="H32" s="22" t="n">
        <v>7.67</v>
      </c>
      <c r="I32" s="18" t="inlineStr">
        <is>
          <t>Megametales</t>
        </is>
      </c>
      <c r="J32" s="22" t="n">
        <v>8.029999999999999</v>
      </c>
      <c r="K32" s="18" t="inlineStr">
        <is>
          <t>Ferrisariato</t>
        </is>
      </c>
      <c r="L32" s="8">
        <f>F32*G32</f>
        <v/>
      </c>
      <c r="M32" s="145" t="inlineStr">
        <is>
          <t>IS-D20-TVE-PVC-075</t>
        </is>
      </c>
      <c r="N32" s="18" t="inlineStr">
        <is>
          <t>Instalaciones sanitarias (hidrosanitarias)</t>
        </is>
      </c>
      <c r="O32" s="18" t="inlineStr">
        <is>
          <t>Estimado DION · criterio de mercado Guayaquil 2026 (no verificado en tienda)</t>
        </is>
      </c>
      <c r="P32" s="18" t="inlineStr">
        <is>
          <t>oct-2026 (est.)</t>
        </is>
      </c>
      <c r="Q32" s="18" t="n">
        <v>5</v>
      </c>
    </row>
    <row r="33">
      <c r="A33" s="52" t="n">
        <v>20</v>
      </c>
      <c r="B33" s="53" t="inlineStr">
        <is>
          <t xml:space="preserve">        Tubo PVC Ventilación Sanitaria Ø110 mm (3 m)</t>
        </is>
      </c>
      <c r="C33" s="54" t="inlineStr">
        <is>
          <t>Residencial / Comercial</t>
        </is>
      </c>
      <c r="D33" s="52" t="inlineStr">
        <is>
          <t>Tubería Ventilación</t>
        </is>
      </c>
      <c r="E33" s="52" t="inlineStr">
        <is>
          <t>U</t>
        </is>
      </c>
      <c r="F33" s="55" t="n">
        <v>4</v>
      </c>
      <c r="G33" s="56" t="n">
        <v>10.9</v>
      </c>
      <c r="H33" s="56" t="n">
        <v>11.34</v>
      </c>
      <c r="I33" s="52" t="inlineStr">
        <is>
          <t>Megametales</t>
        </is>
      </c>
      <c r="J33" s="56" t="n">
        <v>11.99</v>
      </c>
      <c r="K33" s="52" t="inlineStr">
        <is>
          <t>Kywi / Megakywi</t>
        </is>
      </c>
      <c r="L33" s="57">
        <f>F33*G33</f>
        <v/>
      </c>
      <c r="M33" s="151" t="inlineStr">
        <is>
          <t>IS-D20-TVE-PVC-110</t>
        </is>
      </c>
      <c r="N33" s="52" t="inlineStr">
        <is>
          <t>Instalaciones sanitarias (hidrosanitarias)</t>
        </is>
      </c>
      <c r="O33" s="52" t="inlineStr">
        <is>
          <t>Estimado DION · criterio de mercado Guayaquil 2026 (no verificado en tienda)</t>
        </is>
      </c>
      <c r="P33" s="52" t="inlineStr">
        <is>
          <t>oct-2026 (est.)</t>
        </is>
      </c>
      <c r="Q33" s="52" t="n">
        <v>5</v>
      </c>
    </row>
    <row r="34">
      <c r="A34" s="18" t="n">
        <v>21</v>
      </c>
      <c r="B34" s="19" t="inlineStr">
        <is>
          <t xml:space="preserve">        Válvula de Admisión de Aire (Ventilación) 50 mm</t>
        </is>
      </c>
      <c r="C34" s="20" t="inlineStr">
        <is>
          <t>Residencial / Comercial</t>
        </is>
      </c>
      <c r="D34" s="18" t="inlineStr">
        <is>
          <t>Ventilación</t>
        </is>
      </c>
      <c r="E34" s="18" t="inlineStr">
        <is>
          <t>U</t>
        </is>
      </c>
      <c r="F34" s="21" t="n">
        <v>2</v>
      </c>
      <c r="G34" s="22" t="n">
        <v>14.5</v>
      </c>
      <c r="H34" s="22" t="n">
        <v>15.23</v>
      </c>
      <c r="I34" s="18" t="inlineStr">
        <is>
          <t>Megametales</t>
        </is>
      </c>
      <c r="J34" s="22" t="n">
        <v>15.81</v>
      </c>
      <c r="K34" s="18" t="inlineStr">
        <is>
          <t>Ferrisariato</t>
        </is>
      </c>
      <c r="L34" s="8">
        <f>F34*G34</f>
        <v/>
      </c>
      <c r="M34" s="145" t="inlineStr">
        <is>
          <t>IS-D20-TVE-VAA-050</t>
        </is>
      </c>
      <c r="N34" s="18" t="inlineStr">
        <is>
          <t>Instalaciones sanitarias (hidrosanitarias)</t>
        </is>
      </c>
      <c r="O34" s="18" t="inlineStr">
        <is>
          <t>Estimado DION · criterio de mercado Guayaquil 2026 (no verificado en tienda)</t>
        </is>
      </c>
      <c r="P34" s="18" t="inlineStr">
        <is>
          <t>oct-2026 (est.)</t>
        </is>
      </c>
      <c r="Q34" s="18" t="n"/>
    </row>
    <row r="35">
      <c r="A35" s="52" t="n">
        <v>22</v>
      </c>
      <c r="B35" s="53" t="inlineStr">
        <is>
          <t xml:space="preserve">        Tubo PP Insonorizado Desagüe 110 mm (3 m)</t>
        </is>
      </c>
      <c r="C35" s="54" t="inlineStr">
        <is>
          <t>Comercial / Hospitalario</t>
        </is>
      </c>
      <c r="D35" s="52" t="inlineStr">
        <is>
          <t>Tubería PP</t>
        </is>
      </c>
      <c r="E35" s="52" t="inlineStr">
        <is>
          <t>U</t>
        </is>
      </c>
      <c r="F35" s="55" t="n">
        <v>2</v>
      </c>
      <c r="G35" s="56" t="n">
        <v>48</v>
      </c>
      <c r="H35" s="56" t="n">
        <v>49.92</v>
      </c>
      <c r="I35" s="52" t="inlineStr">
        <is>
          <t>Megametales</t>
        </is>
      </c>
      <c r="J35" s="56" t="n">
        <v>52.32</v>
      </c>
      <c r="K35" s="52" t="inlineStr">
        <is>
          <t>Kywi / Megakywi</t>
        </is>
      </c>
      <c r="L35" s="57">
        <f>F35*G35</f>
        <v/>
      </c>
      <c r="M35" s="151" t="inlineStr">
        <is>
          <t>IS-D20-TDS-PP-110</t>
        </is>
      </c>
      <c r="N35" s="52" t="inlineStr">
        <is>
          <t>Instalaciones sanitarias (hidrosanitarias)</t>
        </is>
      </c>
      <c r="O35" s="52" t="inlineStr">
        <is>
          <t>Estimado DION · criterio de mercado Guayaquil 2026 (no verificado en tienda)</t>
        </is>
      </c>
      <c r="P35" s="52" t="inlineStr">
        <is>
          <t>oct-2026 (est.)</t>
        </is>
      </c>
      <c r="Q35" s="52" t="n">
        <v>5</v>
      </c>
    </row>
    <row r="36">
      <c r="A36" s="18" t="n">
        <v>23</v>
      </c>
      <c r="B36" s="19" t="inlineStr">
        <is>
          <t xml:space="preserve">        Tubo Hierro Fundido Desagüe 110 mm (3 m) Sin Campana</t>
        </is>
      </c>
      <c r="C36" s="20" t="inlineStr">
        <is>
          <t>Comercial / Industrial</t>
        </is>
      </c>
      <c r="D36" s="18" t="inlineStr">
        <is>
          <t>Tubería HF</t>
        </is>
      </c>
      <c r="E36" s="18" t="inlineStr">
        <is>
          <t>U</t>
        </is>
      </c>
      <c r="F36" s="21" t="n">
        <v>1</v>
      </c>
      <c r="G36" s="22" t="n">
        <v>165</v>
      </c>
      <c r="H36" s="22" t="n">
        <v>171.6</v>
      </c>
      <c r="I36" s="18" t="inlineStr">
        <is>
          <t>Megametales</t>
        </is>
      </c>
      <c r="J36" s="22" t="n">
        <v>176.55</v>
      </c>
      <c r="K36" s="18" t="inlineStr">
        <is>
          <t>Ferrisariato</t>
        </is>
      </c>
      <c r="L36" s="8">
        <f>F36*G36</f>
        <v/>
      </c>
      <c r="M36" s="145" t="inlineStr">
        <is>
          <t>IS-D20-TDS-HF-110</t>
        </is>
      </c>
      <c r="N36" s="18" t="inlineStr">
        <is>
          <t>Instalaciones sanitarias (hidrosanitarias)</t>
        </is>
      </c>
      <c r="O36" s="18" t="inlineStr">
        <is>
          <t>Estimado DION · criterio de mercado Guayaquil 2026 (no verificado en tienda)</t>
        </is>
      </c>
      <c r="P36" s="18" t="inlineStr">
        <is>
          <t>oct-2026 (est.)</t>
        </is>
      </c>
      <c r="Q36" s="18" t="n">
        <v>3</v>
      </c>
    </row>
    <row r="37">
      <c r="A37" s="49" t="inlineStr">
        <is>
          <t>EQUIPOS</t>
        </is>
      </c>
      <c r="B37" s="143" t="n"/>
      <c r="C37" s="143" t="n"/>
      <c r="D37" s="143" t="n"/>
      <c r="E37" s="143" t="n"/>
      <c r="F37" s="143" t="n"/>
      <c r="G37" s="143" t="n"/>
      <c r="H37" s="143" t="n"/>
      <c r="I37" s="143" t="n"/>
      <c r="J37" s="143" t="n"/>
      <c r="K37" s="143" t="n"/>
      <c r="L37" s="143" t="n"/>
      <c r="M37" s="143" t="n"/>
      <c r="N37" s="143" t="n"/>
      <c r="O37" s="143" t="n"/>
      <c r="P37" s="143" t="n"/>
      <c r="Q37" s="144" t="n"/>
    </row>
    <row r="38">
      <c r="A38" s="50" t="inlineStr">
        <is>
          <t xml:space="preserve">  ► CATEGORÍA: TRAMPAS DE GRASA EN INOX Y POLIETILENO</t>
        </is>
      </c>
      <c r="B38" s="143" t="n"/>
      <c r="C38" s="143" t="n"/>
      <c r="D38" s="143" t="n"/>
      <c r="E38" s="143" t="n"/>
      <c r="F38" s="143" t="n"/>
      <c r="G38" s="143" t="n"/>
      <c r="H38" s="143" t="n"/>
      <c r="I38" s="143" t="n"/>
      <c r="J38" s="143" t="n"/>
      <c r="K38" s="143" t="n"/>
      <c r="L38" s="143" t="n"/>
      <c r="M38" s="143" t="n"/>
      <c r="N38" s="143" t="n"/>
      <c r="O38" s="143" t="n"/>
      <c r="P38" s="143" t="n"/>
      <c r="Q38" s="144" t="n"/>
    </row>
    <row r="39">
      <c r="A39" s="51" t="inlineStr">
        <is>
          <t xml:space="preserve">      • Subcategoría Especificada: Interceptores de Grasa Fregaderos</t>
        </is>
      </c>
      <c r="B39" s="143" t="n"/>
      <c r="C39" s="143" t="n"/>
      <c r="D39" s="143" t="n"/>
      <c r="E39" s="143" t="n"/>
      <c r="F39" s="143" t="n"/>
      <c r="G39" s="143" t="n"/>
      <c r="H39" s="143" t="n"/>
      <c r="I39" s="143" t="n"/>
      <c r="J39" s="143" t="n"/>
      <c r="K39" s="143" t="n"/>
      <c r="L39" s="143" t="n"/>
      <c r="M39" s="143" t="n"/>
      <c r="N39" s="143" t="n"/>
      <c r="O39" s="143" t="n"/>
      <c r="P39" s="143" t="n"/>
      <c r="Q39" s="144" t="n"/>
    </row>
    <row r="40">
      <c r="A40" s="52" t="n">
        <v>24</v>
      </c>
      <c r="B40" s="53" t="inlineStr">
        <is>
          <t xml:space="preserve">        Trampa de Grasa en Acero Inoxidable 5 GPM (Fregaderos)</t>
        </is>
      </c>
      <c r="C40" s="54" t="inlineStr">
        <is>
          <t>Comercial / Restaurant</t>
        </is>
      </c>
      <c r="D40" s="52" t="inlineStr">
        <is>
          <t>Trampas Inox</t>
        </is>
      </c>
      <c r="E40" s="52" t="inlineStr">
        <is>
          <t>U</t>
        </is>
      </c>
      <c r="F40" s="55" t="n">
        <v>1</v>
      </c>
      <c r="G40" s="56" t="n">
        <v>145</v>
      </c>
      <c r="H40" s="56" t="n">
        <v>150</v>
      </c>
      <c r="I40" s="52" t="inlineStr">
        <is>
          <t>Megametales</t>
        </is>
      </c>
      <c r="J40" s="56" t="n">
        <v>160</v>
      </c>
      <c r="K40" s="52" t="inlineStr">
        <is>
          <t>Ferrisariato</t>
        </is>
      </c>
      <c r="L40" s="57">
        <f>F40*G40</f>
        <v/>
      </c>
      <c r="M40" s="151" t="inlineStr">
        <is>
          <t>IS-D20-TGR-INX-05GPM</t>
        </is>
      </c>
      <c r="N40" s="52" t="inlineStr">
        <is>
          <t>Instalaciones sanitarias (hidrosanitarias)</t>
        </is>
      </c>
      <c r="O40" s="52" t="inlineStr">
        <is>
          <t>Estimado · base original del usuario (sin cotización verificada)</t>
        </is>
      </c>
      <c r="P40" s="52" t="inlineStr">
        <is>
          <t>oct-2026 (est.)</t>
        </is>
      </c>
      <c r="Q40" s="52" t="n"/>
    </row>
    <row r="41">
      <c r="A41" s="18" t="n">
        <v>25</v>
      </c>
      <c r="B41" s="19" t="inlineStr">
        <is>
          <t xml:space="preserve">        Trampa de Grasa Plástica Polietileno 10 GPM Heavy Duty</t>
        </is>
      </c>
      <c r="C41" s="20" t="inlineStr">
        <is>
          <t>Comercial / Restaurant</t>
        </is>
      </c>
      <c r="D41" s="18" t="inlineStr">
        <is>
          <t>Trampas Plásticas</t>
        </is>
      </c>
      <c r="E41" s="18" t="inlineStr">
        <is>
          <t>U</t>
        </is>
      </c>
      <c r="F41" s="21" t="n">
        <v>1</v>
      </c>
      <c r="G41" s="22" t="n">
        <v>185</v>
      </c>
      <c r="H41" s="22" t="n">
        <v>192</v>
      </c>
      <c r="I41" s="18" t="inlineStr">
        <is>
          <t>Megametales</t>
        </is>
      </c>
      <c r="J41" s="22" t="n">
        <v>205</v>
      </c>
      <c r="K41" s="18" t="inlineStr">
        <is>
          <t>Kywi / Megakywi</t>
        </is>
      </c>
      <c r="L41" s="8">
        <f>F41*G41</f>
        <v/>
      </c>
      <c r="M41" s="145" t="inlineStr">
        <is>
          <t>IS-D20-TGR-PE-10GPM</t>
        </is>
      </c>
      <c r="N41" s="18" t="inlineStr">
        <is>
          <t>Instalaciones sanitarias (hidrosanitarias)</t>
        </is>
      </c>
      <c r="O41" s="18" t="inlineStr">
        <is>
          <t>Estimado · base original del usuario (sin cotización verificada)</t>
        </is>
      </c>
      <c r="P41" s="18" t="inlineStr">
        <is>
          <t>oct-2026 (est.)</t>
        </is>
      </c>
      <c r="Q41" s="18" t="n"/>
    </row>
    <row r="42">
      <c r="A42" s="51" t="inlineStr">
        <is>
          <t xml:space="preserve">      • Subcategoría Especificada: Trampas de Grasa por Volumen (H.A./Prefabricadas)</t>
        </is>
      </c>
      <c r="B42" s="143" t="n"/>
      <c r="C42" s="143" t="n"/>
      <c r="D42" s="143" t="n"/>
      <c r="E42" s="143" t="n"/>
      <c r="F42" s="143" t="n"/>
      <c r="G42" s="143" t="n"/>
      <c r="H42" s="143" t="n"/>
      <c r="I42" s="143" t="n"/>
      <c r="J42" s="143" t="n"/>
      <c r="K42" s="143" t="n"/>
      <c r="L42" s="143" t="n"/>
      <c r="M42" s="143" t="n"/>
      <c r="N42" s="143" t="n"/>
      <c r="O42" s="143" t="n"/>
      <c r="P42" s="143" t="n"/>
      <c r="Q42" s="144" t="n"/>
    </row>
    <row r="43">
      <c r="A43" s="52" t="n">
        <v>26</v>
      </c>
      <c r="B43" s="53" t="inlineStr">
        <is>
          <t xml:space="preserve">        Trampa de Grasa Prefabricada 250 L</t>
        </is>
      </c>
      <c r="C43" s="54" t="inlineStr">
        <is>
          <t>Comercial / Restaurant / Hosp</t>
        </is>
      </c>
      <c r="D43" s="52" t="inlineStr">
        <is>
          <t>Trampas de Grasa</t>
        </is>
      </c>
      <c r="E43" s="52" t="inlineStr">
        <is>
          <t>U</t>
        </is>
      </c>
      <c r="F43" s="55" t="n">
        <v>1</v>
      </c>
      <c r="G43" s="56" t="n">
        <v>320</v>
      </c>
      <c r="H43" s="56" t="n">
        <v>332.8</v>
      </c>
      <c r="I43" s="52" t="inlineStr">
        <is>
          <t>Megametales</t>
        </is>
      </c>
      <c r="J43" s="56" t="n">
        <v>348.8</v>
      </c>
      <c r="K43" s="52" t="inlineStr">
        <is>
          <t>Kywi / Megakywi</t>
        </is>
      </c>
      <c r="L43" s="57">
        <f>F43*G43</f>
        <v/>
      </c>
      <c r="M43" s="151" t="inlineStr">
        <is>
          <t>IS-D20-TGR-0P25M3</t>
        </is>
      </c>
      <c r="N43" s="52" t="inlineStr">
        <is>
          <t>Instalaciones sanitarias (hidrosanitarias)</t>
        </is>
      </c>
      <c r="O43" s="52" t="inlineStr">
        <is>
          <t>Estimado DION · criterio de mercado Guayaquil 2026 (no verificado en tienda)</t>
        </is>
      </c>
      <c r="P43" s="52" t="inlineStr">
        <is>
          <t>oct-2026 (est.)</t>
        </is>
      </c>
      <c r="Q43" s="52" t="n"/>
    </row>
    <row r="44">
      <c r="A44" s="18" t="n">
        <v>27</v>
      </c>
      <c r="B44" s="19" t="inlineStr">
        <is>
          <t xml:space="preserve">        Trampa de Grasa Prefabricada 500 L</t>
        </is>
      </c>
      <c r="C44" s="20" t="inlineStr">
        <is>
          <t>Comercial / Restaurant / Hosp</t>
        </is>
      </c>
      <c r="D44" s="18" t="inlineStr">
        <is>
          <t>Trampas de Grasa</t>
        </is>
      </c>
      <c r="E44" s="18" t="inlineStr">
        <is>
          <t>U</t>
        </is>
      </c>
      <c r="F44" s="21" t="n">
        <v>0</v>
      </c>
      <c r="G44" s="22" t="n">
        <v>520</v>
      </c>
      <c r="H44" s="22" t="n">
        <v>535.6</v>
      </c>
      <c r="I44" s="18" t="inlineStr">
        <is>
          <t>Megametales</t>
        </is>
      </c>
      <c r="J44" s="22" t="n">
        <v>572</v>
      </c>
      <c r="K44" s="18" t="inlineStr">
        <is>
          <t>Ferrisariato</t>
        </is>
      </c>
      <c r="L44" s="8">
        <f>F44*G44</f>
        <v/>
      </c>
      <c r="M44" s="145" t="inlineStr">
        <is>
          <t>IS-D20-TGR-0P5M3</t>
        </is>
      </c>
      <c r="N44" s="18" t="inlineStr">
        <is>
          <t>Instalaciones sanitarias (hidrosanitarias)</t>
        </is>
      </c>
      <c r="O44" s="18" t="inlineStr">
        <is>
          <t>Estimado DION · criterio de mercado Guayaquil 2026 (no verificado en tienda)</t>
        </is>
      </c>
      <c r="P44" s="18" t="inlineStr">
        <is>
          <t>oct-2026 (est.)</t>
        </is>
      </c>
      <c r="Q44" s="18" t="n"/>
    </row>
    <row r="45">
      <c r="A45" s="52" t="n">
        <v>28</v>
      </c>
      <c r="B45" s="53" t="inlineStr">
        <is>
          <t xml:space="preserve">        Trampa de Grasa H.A. 1 m³</t>
        </is>
      </c>
      <c r="C45" s="54" t="inlineStr">
        <is>
          <t>Comercial / Restaurant / Hosp</t>
        </is>
      </c>
      <c r="D45" s="52" t="inlineStr">
        <is>
          <t>Trampas de Grasa</t>
        </is>
      </c>
      <c r="E45" s="52" t="inlineStr">
        <is>
          <t>U</t>
        </is>
      </c>
      <c r="F45" s="55" t="n">
        <v>0</v>
      </c>
      <c r="G45" s="56" t="n">
        <v>950</v>
      </c>
      <c r="H45" s="56" t="n">
        <v>988</v>
      </c>
      <c r="I45" s="52" t="inlineStr">
        <is>
          <t>Megametales</t>
        </is>
      </c>
      <c r="J45" s="56" t="n">
        <v>1045</v>
      </c>
      <c r="K45" s="52" t="inlineStr">
        <is>
          <t>Kywi / Megakywi</t>
        </is>
      </c>
      <c r="L45" s="57">
        <f>F45*G45</f>
        <v/>
      </c>
      <c r="M45" s="151" t="inlineStr">
        <is>
          <t>IS-D20-TGR-1M3</t>
        </is>
      </c>
      <c r="N45" s="52" t="inlineStr">
        <is>
          <t>Instalaciones sanitarias (hidrosanitarias)</t>
        </is>
      </c>
      <c r="O45" s="52" t="inlineStr">
        <is>
          <t>Estimado DION · criterio de mercado Guayaquil 2026 (no verificado en tienda)</t>
        </is>
      </c>
      <c r="P45" s="52" t="inlineStr">
        <is>
          <t>oct-2026 (est.)</t>
        </is>
      </c>
      <c r="Q45" s="52" t="n"/>
    </row>
    <row r="46">
      <c r="A46" s="18" t="n">
        <v>29</v>
      </c>
      <c r="B46" s="19" t="inlineStr">
        <is>
          <t xml:space="preserve">        Trampa de Grasa H.A. 2 m³</t>
        </is>
      </c>
      <c r="C46" s="20" t="inlineStr">
        <is>
          <t>Comercial / Restaurant / Hosp</t>
        </is>
      </c>
      <c r="D46" s="18" t="inlineStr">
        <is>
          <t>Trampas de Grasa</t>
        </is>
      </c>
      <c r="E46" s="18" t="inlineStr">
        <is>
          <t>U</t>
        </is>
      </c>
      <c r="F46" s="21" t="n">
        <v>0</v>
      </c>
      <c r="G46" s="22" t="n">
        <v>1650</v>
      </c>
      <c r="H46" s="22" t="n">
        <v>1716</v>
      </c>
      <c r="I46" s="18" t="inlineStr">
        <is>
          <t>Megametales</t>
        </is>
      </c>
      <c r="J46" s="22" t="n">
        <v>1782</v>
      </c>
      <c r="K46" s="18" t="inlineStr">
        <is>
          <t>Ferrisariato</t>
        </is>
      </c>
      <c r="L46" s="8">
        <f>F46*G46</f>
        <v/>
      </c>
      <c r="M46" s="145" t="inlineStr">
        <is>
          <t>IS-D20-TGR-2M3</t>
        </is>
      </c>
      <c r="N46" s="18" t="inlineStr">
        <is>
          <t>Instalaciones sanitarias (hidrosanitarias)</t>
        </is>
      </c>
      <c r="O46" s="18" t="inlineStr">
        <is>
          <t>Estimado DION · criterio de mercado Guayaquil 2026 (no verificado en tienda)</t>
        </is>
      </c>
      <c r="P46" s="18" t="inlineStr">
        <is>
          <t>oct-2026 (est.)</t>
        </is>
      </c>
      <c r="Q46" s="18" t="n"/>
    </row>
    <row r="47">
      <c r="A47" s="52" t="n">
        <v>30</v>
      </c>
      <c r="B47" s="53" t="inlineStr">
        <is>
          <t xml:space="preserve">        Trampa de Grasa H.A. 3 m³</t>
        </is>
      </c>
      <c r="C47" s="54" t="inlineStr">
        <is>
          <t>Comercial / Restaurant / Hosp</t>
        </is>
      </c>
      <c r="D47" s="52" t="inlineStr">
        <is>
          <t>Trampas de Grasa</t>
        </is>
      </c>
      <c r="E47" s="52" t="inlineStr">
        <is>
          <t>U</t>
        </is>
      </c>
      <c r="F47" s="55" t="n">
        <v>0</v>
      </c>
      <c r="G47" s="56" t="n">
        <v>2300</v>
      </c>
      <c r="H47" s="56" t="n">
        <v>2392</v>
      </c>
      <c r="I47" s="52" t="inlineStr">
        <is>
          <t>Megametales</t>
        </is>
      </c>
      <c r="J47" s="56" t="n">
        <v>2507</v>
      </c>
      <c r="K47" s="52" t="inlineStr">
        <is>
          <t>Kywi / Megakywi</t>
        </is>
      </c>
      <c r="L47" s="57">
        <f>F47*G47</f>
        <v/>
      </c>
      <c r="M47" s="151" t="inlineStr">
        <is>
          <t>IS-D20-TGR-3M3</t>
        </is>
      </c>
      <c r="N47" s="52" t="inlineStr">
        <is>
          <t>Instalaciones sanitarias (hidrosanitarias)</t>
        </is>
      </c>
      <c r="O47" s="52" t="inlineStr">
        <is>
          <t>Estimado DION · criterio de mercado Guayaquil 2026 (no verificado en tienda)</t>
        </is>
      </c>
      <c r="P47" s="52" t="inlineStr">
        <is>
          <t>oct-2026 (est.)</t>
        </is>
      </c>
      <c r="Q47" s="52" t="n"/>
    </row>
    <row r="48">
      <c r="A48" s="18" t="n">
        <v>31</v>
      </c>
      <c r="B48" s="19" t="inlineStr">
        <is>
          <t xml:space="preserve">        Trampa de Grasa H.A. 5 m³</t>
        </is>
      </c>
      <c r="C48" s="20" t="inlineStr">
        <is>
          <t>Comercial / Restaurant / Hosp</t>
        </is>
      </c>
      <c r="D48" s="18" t="inlineStr">
        <is>
          <t>Trampas de Grasa</t>
        </is>
      </c>
      <c r="E48" s="18" t="inlineStr">
        <is>
          <t>U</t>
        </is>
      </c>
      <c r="F48" s="21" t="n">
        <v>0</v>
      </c>
      <c r="G48" s="22" t="n">
        <v>3500</v>
      </c>
      <c r="H48" s="22" t="n">
        <v>3675</v>
      </c>
      <c r="I48" s="18" t="inlineStr">
        <is>
          <t>Megametales</t>
        </is>
      </c>
      <c r="J48" s="22" t="n">
        <v>3745</v>
      </c>
      <c r="K48" s="18" t="inlineStr">
        <is>
          <t>Ferrisariato</t>
        </is>
      </c>
      <c r="L48" s="8">
        <f>F48*G48</f>
        <v/>
      </c>
      <c r="M48" s="145" t="inlineStr">
        <is>
          <t>IS-D20-TGR-5M3</t>
        </is>
      </c>
      <c r="N48" s="18" t="inlineStr">
        <is>
          <t>Instalaciones sanitarias (hidrosanitarias)</t>
        </is>
      </c>
      <c r="O48" s="18" t="inlineStr">
        <is>
          <t>Estimado DION · criterio de mercado Guayaquil 2026 (no verificado en tienda)</t>
        </is>
      </c>
      <c r="P48" s="18" t="inlineStr">
        <is>
          <t>oct-2026 (est.)</t>
        </is>
      </c>
      <c r="Q48" s="18" t="n"/>
    </row>
    <row r="49">
      <c r="A49" s="52" t="n">
        <v>32</v>
      </c>
      <c r="B49" s="53" t="inlineStr">
        <is>
          <t xml:space="preserve">        Trampa de Grasa Desarenador / Sedimentador 1 m³</t>
        </is>
      </c>
      <c r="C49" s="54" t="inlineStr">
        <is>
          <t>Comercial / Restaurant / Hosp</t>
        </is>
      </c>
      <c r="D49" s="52" t="inlineStr">
        <is>
          <t>Trampas de Grasa</t>
        </is>
      </c>
      <c r="E49" s="52" t="inlineStr">
        <is>
          <t>U</t>
        </is>
      </c>
      <c r="F49" s="55" t="n">
        <v>0</v>
      </c>
      <c r="G49" s="56" t="n">
        <v>980</v>
      </c>
      <c r="H49" s="56" t="n">
        <v>1019.2</v>
      </c>
      <c r="I49" s="52" t="inlineStr">
        <is>
          <t>Megametales</t>
        </is>
      </c>
      <c r="J49" s="56" t="n">
        <v>1068.2</v>
      </c>
      <c r="K49" s="52" t="inlineStr">
        <is>
          <t>Kywi / Megakywi</t>
        </is>
      </c>
      <c r="L49" s="57">
        <f>F49*G49</f>
        <v/>
      </c>
      <c r="M49" s="151" t="inlineStr">
        <is>
          <t>IS-D20-TGR-SED-ARE</t>
        </is>
      </c>
      <c r="N49" s="52" t="inlineStr">
        <is>
          <t>Instalaciones sanitarias (hidrosanitarias)</t>
        </is>
      </c>
      <c r="O49" s="52" t="inlineStr">
        <is>
          <t>Estimado DION · criterio de mercado Guayaquil 2026 (no verificado en tienda)</t>
        </is>
      </c>
      <c r="P49" s="52" t="inlineStr">
        <is>
          <t>oct-2026 (est.)</t>
        </is>
      </c>
      <c r="Q49" s="52" t="n"/>
    </row>
    <row r="50">
      <c r="A50" s="49" t="inlineStr">
        <is>
          <t>CONEXIONES</t>
        </is>
      </c>
      <c r="B50" s="143" t="n"/>
      <c r="C50" s="143" t="n"/>
      <c r="D50" s="143" t="n"/>
      <c r="E50" s="143" t="n"/>
      <c r="F50" s="143" t="n"/>
      <c r="G50" s="143" t="n"/>
      <c r="H50" s="143" t="n"/>
      <c r="I50" s="143" t="n"/>
      <c r="J50" s="143" t="n"/>
      <c r="K50" s="143" t="n"/>
      <c r="L50" s="143" t="n"/>
      <c r="M50" s="143" t="n"/>
      <c r="N50" s="143" t="n"/>
      <c r="O50" s="143" t="n"/>
      <c r="P50" s="143" t="n"/>
      <c r="Q50" s="144" t="n"/>
    </row>
    <row r="51">
      <c r="A51" s="50" t="inlineStr">
        <is>
          <t xml:space="preserve">  ► CATEGORÍA: CODOS, YEES, REDUCCIONES Y CAJAS</t>
        </is>
      </c>
      <c r="B51" s="143" t="n"/>
      <c r="C51" s="143" t="n"/>
      <c r="D51" s="143" t="n"/>
      <c r="E51" s="143" t="n"/>
      <c r="F51" s="143" t="n"/>
      <c r="G51" s="143" t="n"/>
      <c r="H51" s="143" t="n"/>
      <c r="I51" s="143" t="n"/>
      <c r="J51" s="143" t="n"/>
      <c r="K51" s="143" t="n"/>
      <c r="L51" s="143" t="n"/>
      <c r="M51" s="143" t="n"/>
      <c r="N51" s="143" t="n"/>
      <c r="O51" s="143" t="n"/>
      <c r="P51" s="143" t="n"/>
      <c r="Q51" s="144" t="n"/>
    </row>
    <row r="52">
      <c r="A52" s="51" t="inlineStr">
        <is>
          <t xml:space="preserve">      • Subcategoría Especificada: Conexiones Sanitarias PVC</t>
        </is>
      </c>
      <c r="B52" s="143" t="n"/>
      <c r="C52" s="143" t="n"/>
      <c r="D52" s="143" t="n"/>
      <c r="E52" s="143" t="n"/>
      <c r="F52" s="143" t="n"/>
      <c r="G52" s="143" t="n"/>
      <c r="H52" s="143" t="n"/>
      <c r="I52" s="143" t="n"/>
      <c r="J52" s="143" t="n"/>
      <c r="K52" s="143" t="n"/>
      <c r="L52" s="143" t="n"/>
      <c r="M52" s="143" t="n"/>
      <c r="N52" s="143" t="n"/>
      <c r="O52" s="143" t="n"/>
      <c r="P52" s="143" t="n"/>
      <c r="Q52" s="144" t="n"/>
    </row>
    <row r="53">
      <c r="A53" s="18" t="n">
        <v>33</v>
      </c>
      <c r="B53" s="19" t="inlineStr">
        <is>
          <t xml:space="preserve">        Codo PVC Sanitario 50mm x 90° con Registro</t>
        </is>
      </c>
      <c r="C53" s="20" t="inlineStr">
        <is>
          <t>Residencial / Comercial</t>
        </is>
      </c>
      <c r="D53" s="18" t="inlineStr">
        <is>
          <t>Codos Sanitarios</t>
        </is>
      </c>
      <c r="E53" s="18" t="inlineStr">
        <is>
          <t>U</t>
        </is>
      </c>
      <c r="F53" s="21" t="n">
        <v>25</v>
      </c>
      <c r="G53" s="22" t="n">
        <v>1.15</v>
      </c>
      <c r="H53" s="22" t="n">
        <v>1.18</v>
      </c>
      <c r="I53" s="18" t="inlineStr">
        <is>
          <t>Megametales</t>
        </is>
      </c>
      <c r="J53" s="22" t="n">
        <v>1.28</v>
      </c>
      <c r="K53" s="18" t="inlineStr">
        <is>
          <t>Ferrisariato</t>
        </is>
      </c>
      <c r="L53" s="8">
        <f>F53*G53</f>
        <v/>
      </c>
      <c r="M53" s="145" t="inlineStr">
        <is>
          <t>IS-D20-ACD-PVC-C90-050</t>
        </is>
      </c>
      <c r="N53" s="18" t="inlineStr">
        <is>
          <t>Instalaciones sanitarias (hidrosanitarias)</t>
        </is>
      </c>
      <c r="O53" s="18" t="inlineStr">
        <is>
          <t>Estimado · base original del usuario (sin cotización verificada)</t>
        </is>
      </c>
      <c r="P53" s="18" t="inlineStr">
        <is>
          <t>oct-2026 (est.)</t>
        </is>
      </c>
      <c r="Q53" s="18" t="n"/>
    </row>
    <row r="54">
      <c r="A54" s="52" t="n">
        <v>34</v>
      </c>
      <c r="B54" s="53" t="inlineStr">
        <is>
          <t xml:space="preserve">        Yee Reducida PVC Sanitaria 110mm x 50mm</t>
        </is>
      </c>
      <c r="C54" s="54" t="inlineStr">
        <is>
          <t>Residencial / Comercial</t>
        </is>
      </c>
      <c r="D54" s="52" t="inlineStr">
        <is>
          <t>Yees Sanitarias</t>
        </is>
      </c>
      <c r="E54" s="52" t="inlineStr">
        <is>
          <t>U</t>
        </is>
      </c>
      <c r="F54" s="55" t="n">
        <v>15</v>
      </c>
      <c r="G54" s="56" t="n">
        <v>3.4</v>
      </c>
      <c r="H54" s="56" t="n">
        <v>3.48</v>
      </c>
      <c r="I54" s="52" t="inlineStr">
        <is>
          <t>Megametales</t>
        </is>
      </c>
      <c r="J54" s="56" t="n">
        <v>3.75</v>
      </c>
      <c r="K54" s="52" t="inlineStr">
        <is>
          <t>Kywi / Megakywi</t>
        </is>
      </c>
      <c r="L54" s="57">
        <f>F54*G54</f>
        <v/>
      </c>
      <c r="M54" s="151" t="inlineStr">
        <is>
          <t>IS-D20-ACD-PVC-YRE-110X50</t>
        </is>
      </c>
      <c r="N54" s="52" t="inlineStr">
        <is>
          <t>Instalaciones sanitarias (hidrosanitarias)</t>
        </is>
      </c>
      <c r="O54" s="52" t="inlineStr">
        <is>
          <t>Estimado · base original del usuario (sin cotización verificada)</t>
        </is>
      </c>
      <c r="P54" s="52" t="inlineStr">
        <is>
          <t>oct-2026 (est.)</t>
        </is>
      </c>
      <c r="Q54" s="52" t="n"/>
    </row>
    <row r="55">
      <c r="A55" s="18" t="n">
        <v>35</v>
      </c>
      <c r="B55" s="19" t="inlineStr">
        <is>
          <t xml:space="preserve">        Caja de Revisión Domiciliaria PVC/Concreto 40x40cm</t>
        </is>
      </c>
      <c r="C55" s="20" t="inlineStr">
        <is>
          <t>Residencial / Comercial</t>
        </is>
      </c>
      <c r="D55" s="18" t="inlineStr">
        <is>
          <t>Cajas Revisión</t>
        </is>
      </c>
      <c r="E55" s="18" t="inlineStr">
        <is>
          <t>U</t>
        </is>
      </c>
      <c r="F55" s="21" t="n">
        <v>4</v>
      </c>
      <c r="G55" s="22" t="n">
        <v>35</v>
      </c>
      <c r="H55" s="22" t="n">
        <v>36.2</v>
      </c>
      <c r="I55" s="18" t="inlineStr">
        <is>
          <t>Megametales</t>
        </is>
      </c>
      <c r="J55" s="22" t="n">
        <v>38.5</v>
      </c>
      <c r="K55" s="18" t="inlineStr">
        <is>
          <t>Kywi / Megakywi</t>
        </is>
      </c>
      <c r="L55" s="8">
        <f>F55*G55</f>
        <v/>
      </c>
      <c r="M55" s="145" t="inlineStr">
        <is>
          <t>IS-D20-CRV-FND-40X40</t>
        </is>
      </c>
      <c r="N55" s="18" t="inlineStr">
        <is>
          <t>Instalaciones sanitarias (hidrosanitarias)</t>
        </is>
      </c>
      <c r="O55" s="18" t="inlineStr">
        <is>
          <t>Estimado · base original del usuario (sin cotización verificada)</t>
        </is>
      </c>
      <c r="P55" s="18" t="inlineStr">
        <is>
          <t>oct-2026 (est.)</t>
        </is>
      </c>
      <c r="Q55" s="18" t="n"/>
    </row>
    <row r="56">
      <c r="A56" s="51" t="inlineStr">
        <is>
          <t xml:space="preserve">      • Subcategoría Especificada: Accesorios por Diámetro 50–160 mm, Cajas y Pozos</t>
        </is>
      </c>
      <c r="B56" s="143" t="n"/>
      <c r="C56" s="143" t="n"/>
      <c r="D56" s="143" t="n"/>
      <c r="E56" s="143" t="n"/>
      <c r="F56" s="143" t="n"/>
      <c r="G56" s="143" t="n"/>
      <c r="H56" s="143" t="n"/>
      <c r="I56" s="143" t="n"/>
      <c r="J56" s="143" t="n"/>
      <c r="K56" s="143" t="n"/>
      <c r="L56" s="143" t="n"/>
      <c r="M56" s="143" t="n"/>
      <c r="N56" s="143" t="n"/>
      <c r="O56" s="143" t="n"/>
      <c r="P56" s="143" t="n"/>
      <c r="Q56" s="144" t="n"/>
    </row>
    <row r="57">
      <c r="A57" s="52" t="n">
        <v>36</v>
      </c>
      <c r="B57" s="53" t="inlineStr">
        <is>
          <t xml:space="preserve">        Codo 45° PVC Desagüe Ø50 mm</t>
        </is>
      </c>
      <c r="C57" s="54" t="inlineStr">
        <is>
          <t>Residencial / Comercial</t>
        </is>
      </c>
      <c r="D57" s="52" t="inlineStr">
        <is>
          <t>Codo 45° Sanitarios</t>
        </is>
      </c>
      <c r="E57" s="52" t="inlineStr">
        <is>
          <t>U</t>
        </is>
      </c>
      <c r="F57" s="55" t="n">
        <v>10</v>
      </c>
      <c r="G57" s="56" t="n">
        <v>0.87</v>
      </c>
      <c r="H57" s="56" t="n">
        <v>0.89</v>
      </c>
      <c r="I57" s="52" t="inlineStr">
        <is>
          <t>Megametales</t>
        </is>
      </c>
      <c r="J57" s="56" t="n">
        <v>0.93</v>
      </c>
      <c r="K57" s="52" t="inlineStr">
        <is>
          <t>Kywi / Megakywi</t>
        </is>
      </c>
      <c r="L57" s="57">
        <f>F57*G57</f>
        <v/>
      </c>
      <c r="M57" s="151" t="inlineStr">
        <is>
          <t>IS-D20-ACD-PVC-C45-050</t>
        </is>
      </c>
      <c r="N57" s="52" t="inlineStr">
        <is>
          <t>Instalaciones sanitarias (hidrosanitarias)</t>
        </is>
      </c>
      <c r="O57" s="52" t="inlineStr">
        <is>
          <t>Estimado DION · criterio de mercado Guayaquil 2026 (no verificado en tienda)</t>
        </is>
      </c>
      <c r="P57" s="52" t="inlineStr">
        <is>
          <t>oct-2026 (est.)</t>
        </is>
      </c>
      <c r="Q57" s="52" t="n"/>
    </row>
    <row r="58">
      <c r="A58" s="18" t="n">
        <v>37</v>
      </c>
      <c r="B58" s="19" t="inlineStr">
        <is>
          <t xml:space="preserve">        Yee PVC Desagüe Ø50 mm</t>
        </is>
      </c>
      <c r="C58" s="20" t="inlineStr">
        <is>
          <t>Residencial / Comercial</t>
        </is>
      </c>
      <c r="D58" s="18" t="inlineStr">
        <is>
          <t>Yee Sanitarios</t>
        </is>
      </c>
      <c r="E58" s="18" t="inlineStr">
        <is>
          <t>U</t>
        </is>
      </c>
      <c r="F58" s="21" t="n">
        <v>10</v>
      </c>
      <c r="G58" s="22" t="n">
        <v>1.57</v>
      </c>
      <c r="H58" s="22" t="n">
        <v>1.65</v>
      </c>
      <c r="I58" s="18" t="inlineStr">
        <is>
          <t>Megametales</t>
        </is>
      </c>
      <c r="J58" s="22" t="n">
        <v>1.71</v>
      </c>
      <c r="K58" s="18" t="inlineStr">
        <is>
          <t>Ferrisariato</t>
        </is>
      </c>
      <c r="L58" s="8">
        <f>F58*G58</f>
        <v/>
      </c>
      <c r="M58" s="145" t="inlineStr">
        <is>
          <t>IS-D20-ACD-PVC-YEE-050</t>
        </is>
      </c>
      <c r="N58" s="18" t="inlineStr">
        <is>
          <t>Instalaciones sanitarias (hidrosanitarias)</t>
        </is>
      </c>
      <c r="O58" s="18" t="inlineStr">
        <is>
          <t>Estimado DION · criterio de mercado Guayaquil 2026 (no verificado en tienda)</t>
        </is>
      </c>
      <c r="P58" s="18" t="inlineStr">
        <is>
          <t>oct-2026 (est.)</t>
        </is>
      </c>
      <c r="Q58" s="18" t="n"/>
    </row>
    <row r="59">
      <c r="A59" s="52" t="n">
        <v>38</v>
      </c>
      <c r="B59" s="53" t="inlineStr">
        <is>
          <t xml:space="preserve">        Tee Sanitaria PVC Desagüe Ø50 mm</t>
        </is>
      </c>
      <c r="C59" s="54" t="inlineStr">
        <is>
          <t>Residencial / Comercial</t>
        </is>
      </c>
      <c r="D59" s="52" t="inlineStr">
        <is>
          <t>Tee Sanitaria Sanitarios</t>
        </is>
      </c>
      <c r="E59" s="52" t="inlineStr">
        <is>
          <t>U</t>
        </is>
      </c>
      <c r="F59" s="55" t="n">
        <v>10</v>
      </c>
      <c r="G59" s="56" t="n">
        <v>1.47</v>
      </c>
      <c r="H59" s="56" t="n">
        <v>1.54</v>
      </c>
      <c r="I59" s="52" t="inlineStr">
        <is>
          <t>Megametales</t>
        </is>
      </c>
      <c r="J59" s="56" t="n">
        <v>1.63</v>
      </c>
      <c r="K59" s="52" t="inlineStr">
        <is>
          <t>Kywi / Megakywi</t>
        </is>
      </c>
      <c r="L59" s="57">
        <f>F59*G59</f>
        <v/>
      </c>
      <c r="M59" s="151" t="inlineStr">
        <is>
          <t>IS-D20-ACD-PVC-TEE-050</t>
        </is>
      </c>
      <c r="N59" s="52" t="inlineStr">
        <is>
          <t>Instalaciones sanitarias (hidrosanitarias)</t>
        </is>
      </c>
      <c r="O59" s="52" t="inlineStr">
        <is>
          <t>Estimado DION · criterio de mercado Guayaquil 2026 (no verificado en tienda)</t>
        </is>
      </c>
      <c r="P59" s="52" t="inlineStr">
        <is>
          <t>oct-2026 (est.)</t>
        </is>
      </c>
      <c r="Q59" s="52" t="n"/>
    </row>
    <row r="60">
      <c r="A60" s="18" t="n">
        <v>39</v>
      </c>
      <c r="B60" s="19" t="inlineStr">
        <is>
          <t xml:space="preserve">        Reducción PVC Desagüe Ø50 mm</t>
        </is>
      </c>
      <c r="C60" s="20" t="inlineStr">
        <is>
          <t>Residencial / Comercial</t>
        </is>
      </c>
      <c r="D60" s="18" t="inlineStr">
        <is>
          <t>Reducción Sanitarios</t>
        </is>
      </c>
      <c r="E60" s="18" t="inlineStr">
        <is>
          <t>U</t>
        </is>
      </c>
      <c r="F60" s="21" t="n">
        <v>10</v>
      </c>
      <c r="G60" s="22" t="n">
        <v>0.71</v>
      </c>
      <c r="H60" s="22" t="n">
        <v>0.73</v>
      </c>
      <c r="I60" s="18" t="inlineStr">
        <is>
          <t>Megametales</t>
        </is>
      </c>
      <c r="J60" s="22" t="n">
        <v>0.77</v>
      </c>
      <c r="K60" s="18" t="inlineStr">
        <is>
          <t>Ferrisariato</t>
        </is>
      </c>
      <c r="L60" s="8">
        <f>F60*G60</f>
        <v/>
      </c>
      <c r="M60" s="145" t="inlineStr">
        <is>
          <t>IS-D20-ACD-PVC-RED-050</t>
        </is>
      </c>
      <c r="N60" s="18" t="inlineStr">
        <is>
          <t>Instalaciones sanitarias (hidrosanitarias)</t>
        </is>
      </c>
      <c r="O60" s="18" t="inlineStr">
        <is>
          <t>Estimado DION · criterio de mercado Guayaquil 2026 (no verificado en tienda)</t>
        </is>
      </c>
      <c r="P60" s="18" t="inlineStr">
        <is>
          <t>oct-2026 (est.)</t>
        </is>
      </c>
      <c r="Q60" s="18" t="n"/>
    </row>
    <row r="61">
      <c r="A61" s="52" t="n">
        <v>40</v>
      </c>
      <c r="B61" s="53" t="inlineStr">
        <is>
          <t xml:space="preserve">        Unión PVC Desagüe Ø50 mm</t>
        </is>
      </c>
      <c r="C61" s="54" t="inlineStr">
        <is>
          <t>Residencial / Comercial</t>
        </is>
      </c>
      <c r="D61" s="52" t="inlineStr">
        <is>
          <t>Unión Sanitarios</t>
        </is>
      </c>
      <c r="E61" s="52" t="inlineStr">
        <is>
          <t>U</t>
        </is>
      </c>
      <c r="F61" s="55" t="n">
        <v>10</v>
      </c>
      <c r="G61" s="56" t="n">
        <v>0.52</v>
      </c>
      <c r="H61" s="56" t="n">
        <v>0.54</v>
      </c>
      <c r="I61" s="52" t="inlineStr">
        <is>
          <t>Megametales</t>
        </is>
      </c>
      <c r="J61" s="56" t="n">
        <v>0.57</v>
      </c>
      <c r="K61" s="52" t="inlineStr">
        <is>
          <t>Kywi / Megakywi</t>
        </is>
      </c>
      <c r="L61" s="57">
        <f>F61*G61</f>
        <v/>
      </c>
      <c r="M61" s="151" t="inlineStr">
        <is>
          <t>IS-D20-ACD-PVC-UNI-050</t>
        </is>
      </c>
      <c r="N61" s="52" t="inlineStr">
        <is>
          <t>Instalaciones sanitarias (hidrosanitarias)</t>
        </is>
      </c>
      <c r="O61" s="52" t="inlineStr">
        <is>
          <t>Estimado DION · criterio de mercado Guayaquil 2026 (no verificado en tienda)</t>
        </is>
      </c>
      <c r="P61" s="52" t="inlineStr">
        <is>
          <t>oct-2026 (est.)</t>
        </is>
      </c>
      <c r="Q61" s="52" t="n"/>
    </row>
    <row r="62">
      <c r="A62" s="18" t="n">
        <v>41</v>
      </c>
      <c r="B62" s="19" t="inlineStr">
        <is>
          <t xml:space="preserve">        Codo 90° PVC Desagüe Ø75 mm</t>
        </is>
      </c>
      <c r="C62" s="20" t="inlineStr">
        <is>
          <t>Residencial / Comercial</t>
        </is>
      </c>
      <c r="D62" s="18" t="inlineStr">
        <is>
          <t>Codo 90° Sanitarios</t>
        </is>
      </c>
      <c r="E62" s="18" t="inlineStr">
        <is>
          <t>U</t>
        </is>
      </c>
      <c r="F62" s="21" t="n">
        <v>10</v>
      </c>
      <c r="G62" s="22" t="n">
        <v>1.9</v>
      </c>
      <c r="H62" s="22" t="n">
        <v>1.98</v>
      </c>
      <c r="I62" s="18" t="inlineStr">
        <is>
          <t>Megametales</t>
        </is>
      </c>
      <c r="J62" s="22" t="n">
        <v>2.09</v>
      </c>
      <c r="K62" s="18" t="inlineStr">
        <is>
          <t>Ferrisariato</t>
        </is>
      </c>
      <c r="L62" s="8">
        <f>F62*G62</f>
        <v/>
      </c>
      <c r="M62" s="145" t="inlineStr">
        <is>
          <t>IS-D20-ACD-PVC-C90-075</t>
        </is>
      </c>
      <c r="N62" s="18" t="inlineStr">
        <is>
          <t>Instalaciones sanitarias (hidrosanitarias)</t>
        </is>
      </c>
      <c r="O62" s="18" t="inlineStr">
        <is>
          <t>Estimado DION · criterio de mercado Guayaquil 2026 (no verificado en tienda)</t>
        </is>
      </c>
      <c r="P62" s="18" t="inlineStr">
        <is>
          <t>oct-2026 (est.)</t>
        </is>
      </c>
      <c r="Q62" s="18" t="n"/>
    </row>
    <row r="63">
      <c r="A63" s="52" t="n">
        <v>42</v>
      </c>
      <c r="B63" s="53" t="inlineStr">
        <is>
          <t xml:space="preserve">        Codo 45° PVC Desagüe Ø75 mm</t>
        </is>
      </c>
      <c r="C63" s="54" t="inlineStr">
        <is>
          <t>Residencial / Comercial</t>
        </is>
      </c>
      <c r="D63" s="52" t="inlineStr">
        <is>
          <t>Codo 45° Sanitarios</t>
        </is>
      </c>
      <c r="E63" s="52" t="inlineStr">
        <is>
          <t>U</t>
        </is>
      </c>
      <c r="F63" s="55" t="n">
        <v>10</v>
      </c>
      <c r="G63" s="56" t="n">
        <v>1.75</v>
      </c>
      <c r="H63" s="56" t="n">
        <v>1.82</v>
      </c>
      <c r="I63" s="52" t="inlineStr">
        <is>
          <t>Megametales</t>
        </is>
      </c>
      <c r="J63" s="56" t="n">
        <v>1.91</v>
      </c>
      <c r="K63" s="52" t="inlineStr">
        <is>
          <t>Kywi / Megakywi</t>
        </is>
      </c>
      <c r="L63" s="57">
        <f>F63*G63</f>
        <v/>
      </c>
      <c r="M63" s="151" t="inlineStr">
        <is>
          <t>IS-D20-ACD-PVC-C45-075</t>
        </is>
      </c>
      <c r="N63" s="52" t="inlineStr">
        <is>
          <t>Instalaciones sanitarias (hidrosanitarias)</t>
        </is>
      </c>
      <c r="O63" s="52" t="inlineStr">
        <is>
          <t>Estimado DION · criterio de mercado Guayaquil 2026 (no verificado en tienda)</t>
        </is>
      </c>
      <c r="P63" s="52" t="inlineStr">
        <is>
          <t>oct-2026 (est.)</t>
        </is>
      </c>
      <c r="Q63" s="52" t="n"/>
    </row>
    <row r="64">
      <c r="A64" s="18" t="n">
        <v>43</v>
      </c>
      <c r="B64" s="19" t="inlineStr">
        <is>
          <t xml:space="preserve">        Yee PVC Desagüe Ø75 mm</t>
        </is>
      </c>
      <c r="C64" s="20" t="inlineStr">
        <is>
          <t>Residencial / Comercial</t>
        </is>
      </c>
      <c r="D64" s="18" t="inlineStr">
        <is>
          <t>Yee Sanitarios</t>
        </is>
      </c>
      <c r="E64" s="18" t="inlineStr">
        <is>
          <t>U</t>
        </is>
      </c>
      <c r="F64" s="21" t="n">
        <v>10</v>
      </c>
      <c r="G64" s="22" t="n">
        <v>3.13</v>
      </c>
      <c r="H64" s="22" t="n">
        <v>3.29</v>
      </c>
      <c r="I64" s="18" t="inlineStr">
        <is>
          <t>Megametales</t>
        </is>
      </c>
      <c r="J64" s="22" t="n">
        <v>3.41</v>
      </c>
      <c r="K64" s="18" t="inlineStr">
        <is>
          <t>Ferrisariato</t>
        </is>
      </c>
      <c r="L64" s="8">
        <f>F64*G64</f>
        <v/>
      </c>
      <c r="M64" s="145" t="inlineStr">
        <is>
          <t>IS-D20-ACD-PVC-YEE-075</t>
        </is>
      </c>
      <c r="N64" s="18" t="inlineStr">
        <is>
          <t>Instalaciones sanitarias (hidrosanitarias)</t>
        </is>
      </c>
      <c r="O64" s="18" t="inlineStr">
        <is>
          <t>Estimado DION · criterio de mercado Guayaquil 2026 (no verificado en tienda)</t>
        </is>
      </c>
      <c r="P64" s="18" t="inlineStr">
        <is>
          <t>oct-2026 (est.)</t>
        </is>
      </c>
      <c r="Q64" s="18" t="n"/>
    </row>
    <row r="65">
      <c r="A65" s="52" t="n">
        <v>44</v>
      </c>
      <c r="B65" s="53" t="inlineStr">
        <is>
          <t xml:space="preserve">        Tee Sanitaria PVC Desagüe Ø75 mm</t>
        </is>
      </c>
      <c r="C65" s="54" t="inlineStr">
        <is>
          <t>Residencial / Comercial</t>
        </is>
      </c>
      <c r="D65" s="52" t="inlineStr">
        <is>
          <t>Tee Sanitaria Sanitarios</t>
        </is>
      </c>
      <c r="E65" s="52" t="inlineStr">
        <is>
          <t>U</t>
        </is>
      </c>
      <c r="F65" s="55" t="n">
        <v>10</v>
      </c>
      <c r="G65" s="56" t="n">
        <v>2.94</v>
      </c>
      <c r="H65" s="56" t="n">
        <v>3</v>
      </c>
      <c r="I65" s="52" t="inlineStr">
        <is>
          <t>Megametales</t>
        </is>
      </c>
      <c r="J65" s="56" t="n">
        <v>3.2</v>
      </c>
      <c r="K65" s="52" t="inlineStr">
        <is>
          <t>Kywi / Megakywi</t>
        </is>
      </c>
      <c r="L65" s="57">
        <f>F65*G65</f>
        <v/>
      </c>
      <c r="M65" s="151" t="inlineStr">
        <is>
          <t>IS-D20-ACD-PVC-TEE-075</t>
        </is>
      </c>
      <c r="N65" s="52" t="inlineStr">
        <is>
          <t>Instalaciones sanitarias (hidrosanitarias)</t>
        </is>
      </c>
      <c r="O65" s="52" t="inlineStr">
        <is>
          <t>Estimado DION · criterio de mercado Guayaquil 2026 (no verificado en tienda)</t>
        </is>
      </c>
      <c r="P65" s="52" t="inlineStr">
        <is>
          <t>oct-2026 (est.)</t>
        </is>
      </c>
      <c r="Q65" s="52" t="n"/>
    </row>
    <row r="66">
      <c r="A66" s="18" t="n">
        <v>45</v>
      </c>
      <c r="B66" s="19" t="inlineStr">
        <is>
          <t xml:space="preserve">        Reducción PVC Desagüe Ø75 mm</t>
        </is>
      </c>
      <c r="C66" s="20" t="inlineStr">
        <is>
          <t>Residencial / Comercial</t>
        </is>
      </c>
      <c r="D66" s="18" t="inlineStr">
        <is>
          <t>Reducción Sanitarios</t>
        </is>
      </c>
      <c r="E66" s="18" t="inlineStr">
        <is>
          <t>U</t>
        </is>
      </c>
      <c r="F66" s="21" t="n">
        <v>10</v>
      </c>
      <c r="G66" s="22" t="n">
        <v>1.42</v>
      </c>
      <c r="H66" s="22" t="n">
        <v>1.46</v>
      </c>
      <c r="I66" s="18" t="inlineStr">
        <is>
          <t>Megametales</t>
        </is>
      </c>
      <c r="J66" s="22" t="n">
        <v>1.52</v>
      </c>
      <c r="K66" s="18" t="inlineStr">
        <is>
          <t>Ferrisariato</t>
        </is>
      </c>
      <c r="L66" s="8">
        <f>F66*G66</f>
        <v/>
      </c>
      <c r="M66" s="145" t="inlineStr">
        <is>
          <t>IS-D20-ACD-PVC-RED-075</t>
        </is>
      </c>
      <c r="N66" s="18" t="inlineStr">
        <is>
          <t>Instalaciones sanitarias (hidrosanitarias)</t>
        </is>
      </c>
      <c r="O66" s="18" t="inlineStr">
        <is>
          <t>Estimado DION · criterio de mercado Guayaquil 2026 (no verificado en tienda)</t>
        </is>
      </c>
      <c r="P66" s="18" t="inlineStr">
        <is>
          <t>oct-2026 (est.)</t>
        </is>
      </c>
      <c r="Q66" s="18" t="n"/>
    </row>
    <row r="67">
      <c r="A67" s="52" t="n">
        <v>46</v>
      </c>
      <c r="B67" s="53" t="inlineStr">
        <is>
          <t xml:space="preserve">        Unión PVC Desagüe Ø75 mm</t>
        </is>
      </c>
      <c r="C67" s="54" t="inlineStr">
        <is>
          <t>Residencial / Comercial</t>
        </is>
      </c>
      <c r="D67" s="52" t="inlineStr">
        <is>
          <t>Unión Sanitarios</t>
        </is>
      </c>
      <c r="E67" s="52" t="inlineStr">
        <is>
          <t>U</t>
        </is>
      </c>
      <c r="F67" s="55" t="n">
        <v>10</v>
      </c>
      <c r="G67" s="56" t="n">
        <v>1.04</v>
      </c>
      <c r="H67" s="56" t="n">
        <v>1.08</v>
      </c>
      <c r="I67" s="52" t="inlineStr">
        <is>
          <t>Megametales</t>
        </is>
      </c>
      <c r="J67" s="56" t="n">
        <v>1.13</v>
      </c>
      <c r="K67" s="52" t="inlineStr">
        <is>
          <t>Kywi / Megakywi</t>
        </is>
      </c>
      <c r="L67" s="57">
        <f>F67*G67</f>
        <v/>
      </c>
      <c r="M67" s="151" t="inlineStr">
        <is>
          <t>IS-D20-ACD-PVC-UNI-075</t>
        </is>
      </c>
      <c r="N67" s="52" t="inlineStr">
        <is>
          <t>Instalaciones sanitarias (hidrosanitarias)</t>
        </is>
      </c>
      <c r="O67" s="52" t="inlineStr">
        <is>
          <t>Estimado DION · criterio de mercado Guayaquil 2026 (no verificado en tienda)</t>
        </is>
      </c>
      <c r="P67" s="52" t="inlineStr">
        <is>
          <t>oct-2026 (est.)</t>
        </is>
      </c>
      <c r="Q67" s="52" t="n"/>
    </row>
    <row r="68">
      <c r="A68" s="18" t="n">
        <v>47</v>
      </c>
      <c r="B68" s="19" t="inlineStr">
        <is>
          <t xml:space="preserve">        Codo 90° PVC Desagüe Ø110 mm</t>
        </is>
      </c>
      <c r="C68" s="20" t="inlineStr">
        <is>
          <t>Residencial / Comercial</t>
        </is>
      </c>
      <c r="D68" s="18" t="inlineStr">
        <is>
          <t>Codo 90° Sanitarios</t>
        </is>
      </c>
      <c r="E68" s="18" t="inlineStr">
        <is>
          <t>U</t>
        </is>
      </c>
      <c r="F68" s="21" t="n">
        <v>10</v>
      </c>
      <c r="G68" s="22" t="n">
        <v>3.25</v>
      </c>
      <c r="H68" s="22" t="n">
        <v>3.38</v>
      </c>
      <c r="I68" s="18" t="inlineStr">
        <is>
          <t>Megametales</t>
        </is>
      </c>
      <c r="J68" s="22" t="n">
        <v>3.58</v>
      </c>
      <c r="K68" s="18" t="inlineStr">
        <is>
          <t>Ferrisariato</t>
        </is>
      </c>
      <c r="L68" s="8">
        <f>F68*G68</f>
        <v/>
      </c>
      <c r="M68" s="145" t="inlineStr">
        <is>
          <t>IS-D20-ACD-PVC-C90-110</t>
        </is>
      </c>
      <c r="N68" s="18" t="inlineStr">
        <is>
          <t>Instalaciones sanitarias (hidrosanitarias)</t>
        </is>
      </c>
      <c r="O68" s="18" t="inlineStr">
        <is>
          <t>Estimado DION · criterio de mercado Guayaquil 2026 (no verificado en tienda)</t>
        </is>
      </c>
      <c r="P68" s="18" t="inlineStr">
        <is>
          <t>oct-2026 (est.)</t>
        </is>
      </c>
      <c r="Q68" s="18" t="n"/>
    </row>
    <row r="69">
      <c r="A69" s="52" t="n">
        <v>48</v>
      </c>
      <c r="B69" s="53" t="inlineStr">
        <is>
          <t xml:space="preserve">        Codo 45° PVC Desagüe Ø110 mm</t>
        </is>
      </c>
      <c r="C69" s="54" t="inlineStr">
        <is>
          <t>Residencial / Comercial</t>
        </is>
      </c>
      <c r="D69" s="52" t="inlineStr">
        <is>
          <t>Codo 45° Sanitarios</t>
        </is>
      </c>
      <c r="E69" s="52" t="inlineStr">
        <is>
          <t>U</t>
        </is>
      </c>
      <c r="F69" s="55" t="n">
        <v>10</v>
      </c>
      <c r="G69" s="56" t="n">
        <v>2.99</v>
      </c>
      <c r="H69" s="56" t="n">
        <v>3.11</v>
      </c>
      <c r="I69" s="52" t="inlineStr">
        <is>
          <t>Megametales</t>
        </is>
      </c>
      <c r="J69" s="56" t="n">
        <v>3.26</v>
      </c>
      <c r="K69" s="52" t="inlineStr">
        <is>
          <t>Kywi / Megakywi</t>
        </is>
      </c>
      <c r="L69" s="57">
        <f>F69*G69</f>
        <v/>
      </c>
      <c r="M69" s="151" t="inlineStr">
        <is>
          <t>IS-D20-ACD-PVC-C45-110</t>
        </is>
      </c>
      <c r="N69" s="52" t="inlineStr">
        <is>
          <t>Instalaciones sanitarias (hidrosanitarias)</t>
        </is>
      </c>
      <c r="O69" s="52" t="inlineStr">
        <is>
          <t>Estimado DION · criterio de mercado Guayaquil 2026 (no verificado en tienda)</t>
        </is>
      </c>
      <c r="P69" s="52" t="inlineStr">
        <is>
          <t>oct-2026 (est.)</t>
        </is>
      </c>
      <c r="Q69" s="52" t="n"/>
    </row>
    <row r="70">
      <c r="A70" s="18" t="n">
        <v>49</v>
      </c>
      <c r="B70" s="19" t="inlineStr">
        <is>
          <t xml:space="preserve">        Yee PVC Desagüe Ø110 mm</t>
        </is>
      </c>
      <c r="C70" s="20" t="inlineStr">
        <is>
          <t>Residencial / Comercial</t>
        </is>
      </c>
      <c r="D70" s="18" t="inlineStr">
        <is>
          <t>Yee Sanitarios</t>
        </is>
      </c>
      <c r="E70" s="18" t="inlineStr">
        <is>
          <t>U</t>
        </is>
      </c>
      <c r="F70" s="21" t="n">
        <v>10</v>
      </c>
      <c r="G70" s="22" t="n">
        <v>5.36</v>
      </c>
      <c r="H70" s="22" t="n">
        <v>5.47</v>
      </c>
      <c r="I70" s="18" t="inlineStr">
        <is>
          <t>Megametales</t>
        </is>
      </c>
      <c r="J70" s="22" t="n">
        <v>5.95</v>
      </c>
      <c r="K70" s="18" t="inlineStr">
        <is>
          <t>Ferrisariato</t>
        </is>
      </c>
      <c r="L70" s="8">
        <f>F70*G70</f>
        <v/>
      </c>
      <c r="M70" s="145" t="inlineStr">
        <is>
          <t>IS-D20-ACD-PVC-YEE-110</t>
        </is>
      </c>
      <c r="N70" s="18" t="inlineStr">
        <is>
          <t>Instalaciones sanitarias (hidrosanitarias)</t>
        </is>
      </c>
      <c r="O70" s="18" t="inlineStr">
        <is>
          <t>Estimado DION · criterio de mercado Guayaquil 2026 (no verificado en tienda)</t>
        </is>
      </c>
      <c r="P70" s="18" t="inlineStr">
        <is>
          <t>oct-2026 (est.)</t>
        </is>
      </c>
      <c r="Q70" s="18" t="n"/>
    </row>
    <row r="71">
      <c r="A71" s="52" t="n">
        <v>50</v>
      </c>
      <c r="B71" s="53" t="inlineStr">
        <is>
          <t xml:space="preserve">        Tee Sanitaria PVC Desagüe Ø110 mm</t>
        </is>
      </c>
      <c r="C71" s="54" t="inlineStr">
        <is>
          <t>Residencial / Comercial</t>
        </is>
      </c>
      <c r="D71" s="52" t="inlineStr">
        <is>
          <t>Tee Sanitaria Sanitarios</t>
        </is>
      </c>
      <c r="E71" s="52" t="inlineStr">
        <is>
          <t>U</t>
        </is>
      </c>
      <c r="F71" s="55" t="n">
        <v>10</v>
      </c>
      <c r="G71" s="56" t="n">
        <v>5.04</v>
      </c>
      <c r="H71" s="56" t="n">
        <v>5.24</v>
      </c>
      <c r="I71" s="52" t="inlineStr">
        <is>
          <t>Megametales</t>
        </is>
      </c>
      <c r="J71" s="56" t="n">
        <v>5.44</v>
      </c>
      <c r="K71" s="52" t="inlineStr">
        <is>
          <t>Kywi / Megakywi</t>
        </is>
      </c>
      <c r="L71" s="57">
        <f>F71*G71</f>
        <v/>
      </c>
      <c r="M71" s="151" t="inlineStr">
        <is>
          <t>IS-D20-ACD-PVC-TEE-110</t>
        </is>
      </c>
      <c r="N71" s="52" t="inlineStr">
        <is>
          <t>Instalaciones sanitarias (hidrosanitarias)</t>
        </is>
      </c>
      <c r="O71" s="52" t="inlineStr">
        <is>
          <t>Estimado DION · criterio de mercado Guayaquil 2026 (no verificado en tienda)</t>
        </is>
      </c>
      <c r="P71" s="52" t="inlineStr">
        <is>
          <t>oct-2026 (est.)</t>
        </is>
      </c>
      <c r="Q71" s="52" t="n"/>
    </row>
    <row r="72">
      <c r="A72" s="18" t="n">
        <v>51</v>
      </c>
      <c r="B72" s="19" t="inlineStr">
        <is>
          <t xml:space="preserve">        Reducción PVC Desagüe Ø110 mm</t>
        </is>
      </c>
      <c r="C72" s="20" t="inlineStr">
        <is>
          <t>Residencial / Comercial</t>
        </is>
      </c>
      <c r="D72" s="18" t="inlineStr">
        <is>
          <t>Reducción Sanitarios</t>
        </is>
      </c>
      <c r="E72" s="18" t="inlineStr">
        <is>
          <t>U</t>
        </is>
      </c>
      <c r="F72" s="21" t="n">
        <v>10</v>
      </c>
      <c r="G72" s="22" t="n">
        <v>2.44</v>
      </c>
      <c r="H72" s="22" t="n">
        <v>2.49</v>
      </c>
      <c r="I72" s="18" t="inlineStr">
        <is>
          <t>Megametales</t>
        </is>
      </c>
      <c r="J72" s="22" t="n">
        <v>2.66</v>
      </c>
      <c r="K72" s="18" t="inlineStr">
        <is>
          <t>Ferrisariato</t>
        </is>
      </c>
      <c r="L72" s="8">
        <f>F72*G72</f>
        <v/>
      </c>
      <c r="M72" s="145" t="inlineStr">
        <is>
          <t>IS-D20-ACD-PVC-RED-110</t>
        </is>
      </c>
      <c r="N72" s="18" t="inlineStr">
        <is>
          <t>Instalaciones sanitarias (hidrosanitarias)</t>
        </is>
      </c>
      <c r="O72" s="18" t="inlineStr">
        <is>
          <t>Estimado DION · criterio de mercado Guayaquil 2026 (no verificado en tienda)</t>
        </is>
      </c>
      <c r="P72" s="18" t="inlineStr">
        <is>
          <t>oct-2026 (est.)</t>
        </is>
      </c>
      <c r="Q72" s="18" t="n"/>
    </row>
    <row r="73">
      <c r="A73" s="52" t="n">
        <v>52</v>
      </c>
      <c r="B73" s="53" t="inlineStr">
        <is>
          <t xml:space="preserve">        Unión PVC Desagüe Ø110 mm</t>
        </is>
      </c>
      <c r="C73" s="54" t="inlineStr">
        <is>
          <t>Residencial / Comercial</t>
        </is>
      </c>
      <c r="D73" s="52" t="inlineStr">
        <is>
          <t>Unión Sanitarios</t>
        </is>
      </c>
      <c r="E73" s="52" t="inlineStr">
        <is>
          <t>U</t>
        </is>
      </c>
      <c r="F73" s="55" t="n">
        <v>10</v>
      </c>
      <c r="G73" s="56" t="n">
        <v>1.79</v>
      </c>
      <c r="H73" s="56" t="n">
        <v>1.83</v>
      </c>
      <c r="I73" s="52" t="inlineStr">
        <is>
          <t>Megametales</t>
        </is>
      </c>
      <c r="J73" s="56" t="n">
        <v>1.97</v>
      </c>
      <c r="K73" s="52" t="inlineStr">
        <is>
          <t>Kywi / Megakywi</t>
        </is>
      </c>
      <c r="L73" s="57">
        <f>F73*G73</f>
        <v/>
      </c>
      <c r="M73" s="151" t="inlineStr">
        <is>
          <t>IS-D20-ACD-PVC-UNI-110</t>
        </is>
      </c>
      <c r="N73" s="52" t="inlineStr">
        <is>
          <t>Instalaciones sanitarias (hidrosanitarias)</t>
        </is>
      </c>
      <c r="O73" s="52" t="inlineStr">
        <is>
          <t>Estimado DION · criterio de mercado Guayaquil 2026 (no verificado en tienda)</t>
        </is>
      </c>
      <c r="P73" s="52" t="inlineStr">
        <is>
          <t>oct-2026 (est.)</t>
        </is>
      </c>
      <c r="Q73" s="52" t="n"/>
    </row>
    <row r="74">
      <c r="A74" s="18" t="n">
        <v>53</v>
      </c>
      <c r="B74" s="19" t="inlineStr">
        <is>
          <t xml:space="preserve">        Codo 90° PVC Desagüe Ø160 mm</t>
        </is>
      </c>
      <c r="C74" s="20" t="inlineStr">
        <is>
          <t>Residencial / Comercial</t>
        </is>
      </c>
      <c r="D74" s="18" t="inlineStr">
        <is>
          <t>Codo 90° Sanitarios</t>
        </is>
      </c>
      <c r="E74" s="18" t="inlineStr">
        <is>
          <t>U</t>
        </is>
      </c>
      <c r="F74" s="21" t="n">
        <v>2</v>
      </c>
      <c r="G74" s="22" t="n">
        <v>11.5</v>
      </c>
      <c r="H74" s="22" t="n">
        <v>12.08</v>
      </c>
      <c r="I74" s="18" t="inlineStr">
        <is>
          <t>Megametales</t>
        </is>
      </c>
      <c r="J74" s="22" t="n">
        <v>12.54</v>
      </c>
      <c r="K74" s="18" t="inlineStr">
        <is>
          <t>Ferrisariato</t>
        </is>
      </c>
      <c r="L74" s="8">
        <f>F74*G74</f>
        <v/>
      </c>
      <c r="M74" s="145" t="inlineStr">
        <is>
          <t>IS-D20-ACD-PVC-C90-160</t>
        </is>
      </c>
      <c r="N74" s="18" t="inlineStr">
        <is>
          <t>Instalaciones sanitarias (hidrosanitarias)</t>
        </is>
      </c>
      <c r="O74" s="18" t="inlineStr">
        <is>
          <t>Estimado DION · criterio de mercado Guayaquil 2026 (no verificado en tienda)</t>
        </is>
      </c>
      <c r="P74" s="18" t="inlineStr">
        <is>
          <t>oct-2026 (est.)</t>
        </is>
      </c>
      <c r="Q74" s="18" t="n"/>
    </row>
    <row r="75">
      <c r="A75" s="52" t="n">
        <v>54</v>
      </c>
      <c r="B75" s="53" t="inlineStr">
        <is>
          <t xml:space="preserve">        Codo 45° PVC Desagüe Ø160 mm</t>
        </is>
      </c>
      <c r="C75" s="54" t="inlineStr">
        <is>
          <t>Residencial / Comercial</t>
        </is>
      </c>
      <c r="D75" s="52" t="inlineStr">
        <is>
          <t>Codo 45° Sanitarios</t>
        </is>
      </c>
      <c r="E75" s="52" t="inlineStr">
        <is>
          <t>U</t>
        </is>
      </c>
      <c r="F75" s="55" t="n">
        <v>2</v>
      </c>
      <c r="G75" s="56" t="n">
        <v>10.58</v>
      </c>
      <c r="H75" s="56" t="n">
        <v>11.11</v>
      </c>
      <c r="I75" s="52" t="inlineStr">
        <is>
          <t>Megametales</t>
        </is>
      </c>
      <c r="J75" s="56" t="n">
        <v>11.43</v>
      </c>
      <c r="K75" s="52" t="inlineStr">
        <is>
          <t>Kywi / Megakywi</t>
        </is>
      </c>
      <c r="L75" s="57">
        <f>F75*G75</f>
        <v/>
      </c>
      <c r="M75" s="151" t="inlineStr">
        <is>
          <t>IS-D20-ACD-PVC-C45-160</t>
        </is>
      </c>
      <c r="N75" s="52" t="inlineStr">
        <is>
          <t>Instalaciones sanitarias (hidrosanitarias)</t>
        </is>
      </c>
      <c r="O75" s="52" t="inlineStr">
        <is>
          <t>Estimado DION · criterio de mercado Guayaquil 2026 (no verificado en tienda)</t>
        </is>
      </c>
      <c r="P75" s="52" t="inlineStr">
        <is>
          <t>oct-2026 (est.)</t>
        </is>
      </c>
      <c r="Q75" s="52" t="n"/>
    </row>
    <row r="76">
      <c r="A76" s="18" t="n">
        <v>55</v>
      </c>
      <c r="B76" s="19" t="inlineStr">
        <is>
          <t xml:space="preserve">        Yee PVC Desagüe Ø160 mm</t>
        </is>
      </c>
      <c r="C76" s="20" t="inlineStr">
        <is>
          <t>Residencial / Comercial</t>
        </is>
      </c>
      <c r="D76" s="18" t="inlineStr">
        <is>
          <t>Yee Sanitarios</t>
        </is>
      </c>
      <c r="E76" s="18" t="inlineStr">
        <is>
          <t>U</t>
        </is>
      </c>
      <c r="F76" s="21" t="n">
        <v>2</v>
      </c>
      <c r="G76" s="22" t="n">
        <v>18.97</v>
      </c>
      <c r="H76" s="22" t="n">
        <v>19.73</v>
      </c>
      <c r="I76" s="18" t="inlineStr">
        <is>
          <t>Megametales</t>
        </is>
      </c>
      <c r="J76" s="22" t="n">
        <v>20.87</v>
      </c>
      <c r="K76" s="18" t="inlineStr">
        <is>
          <t>Ferrisariato</t>
        </is>
      </c>
      <c r="L76" s="8">
        <f>F76*G76</f>
        <v/>
      </c>
      <c r="M76" s="145" t="inlineStr">
        <is>
          <t>IS-D20-ACD-PVC-YEE-160</t>
        </is>
      </c>
      <c r="N76" s="18" t="inlineStr">
        <is>
          <t>Instalaciones sanitarias (hidrosanitarias)</t>
        </is>
      </c>
      <c r="O76" s="18" t="inlineStr">
        <is>
          <t>Estimado DION · criterio de mercado Guayaquil 2026 (no verificado en tienda)</t>
        </is>
      </c>
      <c r="P76" s="18" t="inlineStr">
        <is>
          <t>oct-2026 (est.)</t>
        </is>
      </c>
      <c r="Q76" s="18" t="n"/>
    </row>
    <row r="77">
      <c r="A77" s="52" t="n">
        <v>56</v>
      </c>
      <c r="B77" s="53" t="inlineStr">
        <is>
          <t xml:space="preserve">        Tee Sanitaria PVC Desagüe Ø160 mm</t>
        </is>
      </c>
      <c r="C77" s="54" t="inlineStr">
        <is>
          <t>Residencial / Comercial</t>
        </is>
      </c>
      <c r="D77" s="52" t="inlineStr">
        <is>
          <t>Tee Sanitaria Sanitarios</t>
        </is>
      </c>
      <c r="E77" s="52" t="inlineStr">
        <is>
          <t>U</t>
        </is>
      </c>
      <c r="F77" s="55" t="n">
        <v>2</v>
      </c>
      <c r="G77" s="56" t="n">
        <v>17.82</v>
      </c>
      <c r="H77" s="56" t="n">
        <v>18.35</v>
      </c>
      <c r="I77" s="52" t="inlineStr">
        <is>
          <t>Megametales</t>
        </is>
      </c>
      <c r="J77" s="56" t="n">
        <v>19.42</v>
      </c>
      <c r="K77" s="52" t="inlineStr">
        <is>
          <t>Kywi / Megakywi</t>
        </is>
      </c>
      <c r="L77" s="57">
        <f>F77*G77</f>
        <v/>
      </c>
      <c r="M77" s="151" t="inlineStr">
        <is>
          <t>IS-D20-ACD-PVC-TEE-160</t>
        </is>
      </c>
      <c r="N77" s="52" t="inlineStr">
        <is>
          <t>Instalaciones sanitarias (hidrosanitarias)</t>
        </is>
      </c>
      <c r="O77" s="52" t="inlineStr">
        <is>
          <t>Estimado DION · criterio de mercado Guayaquil 2026 (no verificado en tienda)</t>
        </is>
      </c>
      <c r="P77" s="52" t="inlineStr">
        <is>
          <t>oct-2026 (est.)</t>
        </is>
      </c>
      <c r="Q77" s="52" t="n"/>
    </row>
    <row r="78">
      <c r="A78" s="18" t="n">
        <v>57</v>
      </c>
      <c r="B78" s="19" t="inlineStr">
        <is>
          <t xml:space="preserve">        Reducción PVC Desagüe Ø160 mm</t>
        </is>
      </c>
      <c r="C78" s="20" t="inlineStr">
        <is>
          <t>Residencial / Comercial</t>
        </is>
      </c>
      <c r="D78" s="18" t="inlineStr">
        <is>
          <t>Reducción Sanitarios</t>
        </is>
      </c>
      <c r="E78" s="18" t="inlineStr">
        <is>
          <t>U</t>
        </is>
      </c>
      <c r="F78" s="21" t="n">
        <v>2</v>
      </c>
      <c r="G78" s="22" t="n">
        <v>8.619999999999999</v>
      </c>
      <c r="H78" s="22" t="n">
        <v>8.960000000000001</v>
      </c>
      <c r="I78" s="18" t="inlineStr">
        <is>
          <t>Megametales</t>
        </is>
      </c>
      <c r="J78" s="22" t="n">
        <v>9.220000000000001</v>
      </c>
      <c r="K78" s="18" t="inlineStr">
        <is>
          <t>Ferrisariato</t>
        </is>
      </c>
      <c r="L78" s="8">
        <f>F78*G78</f>
        <v/>
      </c>
      <c r="M78" s="145" t="inlineStr">
        <is>
          <t>IS-D20-ACD-PVC-RED-160</t>
        </is>
      </c>
      <c r="N78" s="18" t="inlineStr">
        <is>
          <t>Instalaciones sanitarias (hidrosanitarias)</t>
        </is>
      </c>
      <c r="O78" s="18" t="inlineStr">
        <is>
          <t>Estimado DION · criterio de mercado Guayaquil 2026 (no verificado en tienda)</t>
        </is>
      </c>
      <c r="P78" s="18" t="inlineStr">
        <is>
          <t>oct-2026 (est.)</t>
        </is>
      </c>
      <c r="Q78" s="18" t="n"/>
    </row>
    <row r="79">
      <c r="A79" s="52" t="n">
        <v>58</v>
      </c>
      <c r="B79" s="53" t="inlineStr">
        <is>
          <t xml:space="preserve">        Unión PVC Desagüe Ø160 mm</t>
        </is>
      </c>
      <c r="C79" s="54" t="inlineStr">
        <is>
          <t>Residencial / Comercial</t>
        </is>
      </c>
      <c r="D79" s="52" t="inlineStr">
        <is>
          <t>Unión Sanitarios</t>
        </is>
      </c>
      <c r="E79" s="52" t="inlineStr">
        <is>
          <t>U</t>
        </is>
      </c>
      <c r="F79" s="55" t="n">
        <v>2</v>
      </c>
      <c r="G79" s="56" t="n">
        <v>6.33</v>
      </c>
      <c r="H79" s="56" t="n">
        <v>6.46</v>
      </c>
      <c r="I79" s="52" t="inlineStr">
        <is>
          <t>Megametales</t>
        </is>
      </c>
      <c r="J79" s="56" t="n">
        <v>6.84</v>
      </c>
      <c r="K79" s="52" t="inlineStr">
        <is>
          <t>Kywi / Megakywi</t>
        </is>
      </c>
      <c r="L79" s="57">
        <f>F79*G79</f>
        <v/>
      </c>
      <c r="M79" s="151" t="inlineStr">
        <is>
          <t>IS-D20-ACD-PVC-UNI-160</t>
        </is>
      </c>
      <c r="N79" s="52" t="inlineStr">
        <is>
          <t>Instalaciones sanitarias (hidrosanitarias)</t>
        </is>
      </c>
      <c r="O79" s="52" t="inlineStr">
        <is>
          <t>Estimado DION · criterio de mercado Guayaquil 2026 (no verificado en tienda)</t>
        </is>
      </c>
      <c r="P79" s="52" t="inlineStr">
        <is>
          <t>oct-2026 (est.)</t>
        </is>
      </c>
      <c r="Q79" s="52" t="n"/>
    </row>
    <row r="80">
      <c r="A80" s="18" t="n">
        <v>59</v>
      </c>
      <c r="B80" s="19" t="inlineStr">
        <is>
          <t xml:space="preserve">        Yee Reducida PVC Desagüe 110x75 mm</t>
        </is>
      </c>
      <c r="C80" s="20" t="inlineStr">
        <is>
          <t>Residencial / Comercial</t>
        </is>
      </c>
      <c r="D80" s="18" t="inlineStr">
        <is>
          <t>Yees Sanitarias</t>
        </is>
      </c>
      <c r="E80" s="18" t="inlineStr">
        <is>
          <t>U</t>
        </is>
      </c>
      <c r="F80" s="21" t="n">
        <v>4</v>
      </c>
      <c r="G80" s="22" t="n">
        <v>4.6</v>
      </c>
      <c r="H80" s="22" t="n">
        <v>4.83</v>
      </c>
      <c r="I80" s="18" t="inlineStr">
        <is>
          <t>Megametales</t>
        </is>
      </c>
      <c r="J80" s="22" t="n">
        <v>4.92</v>
      </c>
      <c r="K80" s="18" t="inlineStr">
        <is>
          <t>Ferrisariato</t>
        </is>
      </c>
      <c r="L80" s="8">
        <f>F80*G80</f>
        <v/>
      </c>
      <c r="M80" s="145" t="inlineStr">
        <is>
          <t>IS-D20-ACD-PVC-YRE-110X75</t>
        </is>
      </c>
      <c r="N80" s="18" t="inlineStr">
        <is>
          <t>Instalaciones sanitarias (hidrosanitarias)</t>
        </is>
      </c>
      <c r="O80" s="18" t="inlineStr">
        <is>
          <t>Estimado DION · criterio de mercado Guayaquil 2026 (no verificado en tienda)</t>
        </is>
      </c>
      <c r="P80" s="18" t="inlineStr">
        <is>
          <t>oct-2026 (est.)</t>
        </is>
      </c>
      <c r="Q80" s="18" t="n"/>
    </row>
    <row r="81">
      <c r="A81" s="52" t="n">
        <v>60</v>
      </c>
      <c r="B81" s="53" t="inlineStr">
        <is>
          <t xml:space="preserve">        Yee Doble PVC Desagüe 110 mm</t>
        </is>
      </c>
      <c r="C81" s="54" t="inlineStr">
        <is>
          <t>Residencial / Comercial</t>
        </is>
      </c>
      <c r="D81" s="52" t="inlineStr">
        <is>
          <t>Yees Sanitarias</t>
        </is>
      </c>
      <c r="E81" s="52" t="inlineStr">
        <is>
          <t>U</t>
        </is>
      </c>
      <c r="F81" s="55" t="n">
        <v>2</v>
      </c>
      <c r="G81" s="56" t="n">
        <v>8.9</v>
      </c>
      <c r="H81" s="56" t="n">
        <v>9.26</v>
      </c>
      <c r="I81" s="52" t="inlineStr">
        <is>
          <t>Megametales</t>
        </is>
      </c>
      <c r="J81" s="56" t="n">
        <v>9.609999999999999</v>
      </c>
      <c r="K81" s="52" t="inlineStr">
        <is>
          <t>Kywi / Megakywi</t>
        </is>
      </c>
      <c r="L81" s="57">
        <f>F81*G81</f>
        <v/>
      </c>
      <c r="M81" s="151" t="inlineStr">
        <is>
          <t>IS-D20-ACD-PVC-YDO-110</t>
        </is>
      </c>
      <c r="N81" s="52" t="inlineStr">
        <is>
          <t>Instalaciones sanitarias (hidrosanitarias)</t>
        </is>
      </c>
      <c r="O81" s="52" t="inlineStr">
        <is>
          <t>Estimado DION · criterio de mercado Guayaquil 2026 (no verificado en tienda)</t>
        </is>
      </c>
      <c r="P81" s="52" t="inlineStr">
        <is>
          <t>oct-2026 (est.)</t>
        </is>
      </c>
      <c r="Q81" s="52" t="n"/>
    </row>
    <row r="82">
      <c r="A82" s="18" t="n">
        <v>61</v>
      </c>
      <c r="B82" s="19" t="inlineStr">
        <is>
          <t xml:space="preserve">        Codo PVC Desagüe 200 mm x 90°</t>
        </is>
      </c>
      <c r="C82" s="20" t="inlineStr">
        <is>
          <t>Comercial / Industrial</t>
        </is>
      </c>
      <c r="D82" s="18" t="inlineStr">
        <is>
          <t>Codos Sanitarios</t>
        </is>
      </c>
      <c r="E82" s="18" t="inlineStr">
        <is>
          <t>U</t>
        </is>
      </c>
      <c r="F82" s="21" t="n">
        <v>1</v>
      </c>
      <c r="G82" s="22" t="n">
        <v>25</v>
      </c>
      <c r="H82" s="22" t="n">
        <v>26.25</v>
      </c>
      <c r="I82" s="18" t="inlineStr">
        <is>
          <t>Megametales</t>
        </is>
      </c>
      <c r="J82" s="22" t="n">
        <v>26.75</v>
      </c>
      <c r="K82" s="18" t="inlineStr">
        <is>
          <t>Ferrisariato</t>
        </is>
      </c>
      <c r="L82" s="8">
        <f>F82*G82</f>
        <v/>
      </c>
      <c r="M82" s="145" t="inlineStr">
        <is>
          <t>IS-D20-ACD-PVC-C90-200</t>
        </is>
      </c>
      <c r="N82" s="18" t="inlineStr">
        <is>
          <t>Instalaciones sanitarias (hidrosanitarias)</t>
        </is>
      </c>
      <c r="O82" s="18" t="inlineStr">
        <is>
          <t>Estimado DION · criterio de mercado Guayaquil 2026 (no verificado en tienda)</t>
        </is>
      </c>
      <c r="P82" s="18" t="inlineStr">
        <is>
          <t>oct-2026 (est.)</t>
        </is>
      </c>
      <c r="Q82" s="18" t="n"/>
    </row>
    <row r="83">
      <c r="A83" s="52" t="n">
        <v>62</v>
      </c>
      <c r="B83" s="53" t="inlineStr">
        <is>
          <t xml:space="preserve">        Registro / Tapón de Limpieza PVC 110 mm</t>
        </is>
      </c>
      <c r="C83" s="54" t="inlineStr">
        <is>
          <t>Residencial / Comercial</t>
        </is>
      </c>
      <c r="D83" s="52" t="inlineStr">
        <is>
          <t>Registros</t>
        </is>
      </c>
      <c r="E83" s="52" t="inlineStr">
        <is>
          <t>U</t>
        </is>
      </c>
      <c r="F83" s="55" t="n">
        <v>4</v>
      </c>
      <c r="G83" s="56" t="n">
        <v>4.2</v>
      </c>
      <c r="H83" s="56" t="n">
        <v>4.28</v>
      </c>
      <c r="I83" s="52" t="inlineStr">
        <is>
          <t>Megametales</t>
        </is>
      </c>
      <c r="J83" s="56" t="n">
        <v>4.66</v>
      </c>
      <c r="K83" s="52" t="inlineStr">
        <is>
          <t>Kywi / Megakywi</t>
        </is>
      </c>
      <c r="L83" s="57">
        <f>F83*G83</f>
        <v/>
      </c>
      <c r="M83" s="151" t="inlineStr">
        <is>
          <t>IS-D20-ACD-PVC-REG-110</t>
        </is>
      </c>
      <c r="N83" s="52" t="inlineStr">
        <is>
          <t>Instalaciones sanitarias (hidrosanitarias)</t>
        </is>
      </c>
      <c r="O83" s="52" t="inlineStr">
        <is>
          <t>Estimado DION · criterio de mercado Guayaquil 2026 (no verificado en tienda)</t>
        </is>
      </c>
      <c r="P83" s="52" t="inlineStr">
        <is>
          <t>oct-2026 (est.)</t>
        </is>
      </c>
      <c r="Q83" s="52" t="n"/>
    </row>
    <row r="84">
      <c r="A84" s="18" t="n">
        <v>63</v>
      </c>
      <c r="B84" s="19" t="inlineStr">
        <is>
          <t xml:space="preserve">        Caja de Revisión H.A. 60x60 cm con Tapa</t>
        </is>
      </c>
      <c r="C84" s="20" t="inlineStr">
        <is>
          <t>Residencial / Comercial</t>
        </is>
      </c>
      <c r="D84" s="18" t="inlineStr">
        <is>
          <t>Cajas Revisión</t>
        </is>
      </c>
      <c r="E84" s="18" t="inlineStr">
        <is>
          <t>U</t>
        </is>
      </c>
      <c r="F84" s="21" t="n">
        <v>2</v>
      </c>
      <c r="G84" s="22" t="n">
        <v>95</v>
      </c>
      <c r="H84" s="22" t="n">
        <v>99.75</v>
      </c>
      <c r="I84" s="18" t="inlineStr">
        <is>
          <t>Megametales</t>
        </is>
      </c>
      <c r="J84" s="22" t="n">
        <v>104.5</v>
      </c>
      <c r="K84" s="18" t="inlineStr">
        <is>
          <t>Ferrisariato</t>
        </is>
      </c>
      <c r="L84" s="8">
        <f>F84*G84</f>
        <v/>
      </c>
      <c r="M84" s="145" t="inlineStr">
        <is>
          <t>IS-D20-CRV-FND-60X60</t>
        </is>
      </c>
      <c r="N84" s="18" t="inlineStr">
        <is>
          <t>Instalaciones sanitarias (hidrosanitarias)</t>
        </is>
      </c>
      <c r="O84" s="18" t="inlineStr">
        <is>
          <t>Estimado DION · criterio de mercado Guayaquil 2026 (no verificado en tienda)</t>
        </is>
      </c>
      <c r="P84" s="18" t="inlineStr">
        <is>
          <t>oct-2026 (est.)</t>
        </is>
      </c>
      <c r="Q84" s="18" t="n"/>
    </row>
    <row r="85">
      <c r="A85" s="52" t="n">
        <v>64</v>
      </c>
      <c r="B85" s="53" t="inlineStr">
        <is>
          <t xml:space="preserve">        Caja de Revisión H.A. 80x80 cm con Tapa</t>
        </is>
      </c>
      <c r="C85" s="54" t="inlineStr">
        <is>
          <t>Comercial</t>
        </is>
      </c>
      <c r="D85" s="52" t="inlineStr">
        <is>
          <t>Cajas Revisión</t>
        </is>
      </c>
      <c r="E85" s="52" t="inlineStr">
        <is>
          <t>U</t>
        </is>
      </c>
      <c r="F85" s="55" t="n">
        <v>1</v>
      </c>
      <c r="G85" s="56" t="n">
        <v>145</v>
      </c>
      <c r="H85" s="56" t="n">
        <v>149.35</v>
      </c>
      <c r="I85" s="52" t="inlineStr">
        <is>
          <t>Megametales</t>
        </is>
      </c>
      <c r="J85" s="56" t="n">
        <v>159.5</v>
      </c>
      <c r="K85" s="52" t="inlineStr">
        <is>
          <t>Kywi / Megakywi</t>
        </is>
      </c>
      <c r="L85" s="57">
        <f>F85*G85</f>
        <v/>
      </c>
      <c r="M85" s="151" t="inlineStr">
        <is>
          <t>IS-D20-CRV-FND-80X80</t>
        </is>
      </c>
      <c r="N85" s="52" t="inlineStr">
        <is>
          <t>Instalaciones sanitarias (hidrosanitarias)</t>
        </is>
      </c>
      <c r="O85" s="52" t="inlineStr">
        <is>
          <t>Estimado DION · criterio de mercado Guayaquil 2026 (no verificado en tienda)</t>
        </is>
      </c>
      <c r="P85" s="52" t="inlineStr">
        <is>
          <t>oct-2026 (est.)</t>
        </is>
      </c>
      <c r="Q85" s="52" t="n"/>
    </row>
    <row r="86">
      <c r="A86" s="18" t="n">
        <v>65</v>
      </c>
      <c r="B86" s="19" t="inlineStr">
        <is>
          <t xml:space="preserve">        Caja de Revisión H.A. 100x100 cm con Tapa</t>
        </is>
      </c>
      <c r="C86" s="20" t="inlineStr">
        <is>
          <t>Comercial / Industrial</t>
        </is>
      </c>
      <c r="D86" s="18" t="inlineStr">
        <is>
          <t>Cajas Revisión</t>
        </is>
      </c>
      <c r="E86" s="18" t="inlineStr">
        <is>
          <t>U</t>
        </is>
      </c>
      <c r="F86" s="21" t="n">
        <v>1</v>
      </c>
      <c r="G86" s="22" t="n">
        <v>235</v>
      </c>
      <c r="H86" s="22" t="n">
        <v>242.05</v>
      </c>
      <c r="I86" s="18" t="inlineStr">
        <is>
          <t>Megametales</t>
        </is>
      </c>
      <c r="J86" s="22" t="n">
        <v>251.45</v>
      </c>
      <c r="K86" s="18" t="inlineStr">
        <is>
          <t>Ferrisariato</t>
        </is>
      </c>
      <c r="L86" s="8">
        <f>F86*G86</f>
        <v/>
      </c>
      <c r="M86" s="145" t="inlineStr">
        <is>
          <t>IS-D20-CRV-FND-100X100</t>
        </is>
      </c>
      <c r="N86" s="18" t="inlineStr">
        <is>
          <t>Instalaciones sanitarias (hidrosanitarias)</t>
        </is>
      </c>
      <c r="O86" s="18" t="inlineStr">
        <is>
          <t>Estimado DION · criterio de mercado Guayaquil 2026 (no verificado en tienda)</t>
        </is>
      </c>
      <c r="P86" s="18" t="inlineStr">
        <is>
          <t>oct-2026 (est.)</t>
        </is>
      </c>
      <c r="Q86" s="18" t="n"/>
    </row>
    <row r="87">
      <c r="A87" s="52" t="n">
        <v>66</v>
      </c>
      <c r="B87" s="53" t="inlineStr">
        <is>
          <t xml:space="preserve">        Caja de Registro PVC Ø315 mm Prefabricada</t>
        </is>
      </c>
      <c r="C87" s="54" t="inlineStr">
        <is>
          <t>Residencial / Comercial</t>
        </is>
      </c>
      <c r="D87" s="52" t="inlineStr">
        <is>
          <t>Cajas Revisión</t>
        </is>
      </c>
      <c r="E87" s="52" t="inlineStr">
        <is>
          <t>U</t>
        </is>
      </c>
      <c r="F87" s="55" t="n">
        <v>2</v>
      </c>
      <c r="G87" s="56" t="n">
        <v>68</v>
      </c>
      <c r="H87" s="56" t="n">
        <v>69.36</v>
      </c>
      <c r="I87" s="52" t="inlineStr">
        <is>
          <t>Megametales</t>
        </is>
      </c>
      <c r="J87" s="56" t="n">
        <v>72.76000000000001</v>
      </c>
      <c r="K87" s="52" t="inlineStr">
        <is>
          <t>Kywi / Megakywi</t>
        </is>
      </c>
      <c r="L87" s="57">
        <f>F87*G87</f>
        <v/>
      </c>
      <c r="M87" s="151" t="inlineStr">
        <is>
          <t>IS-D20-CRV-PVC-D315</t>
        </is>
      </c>
      <c r="N87" s="52" t="inlineStr">
        <is>
          <t>Instalaciones sanitarias (hidrosanitarias)</t>
        </is>
      </c>
      <c r="O87" s="52" t="inlineStr">
        <is>
          <t>Estimado DION · criterio de mercado Guayaquil 2026 (no verificado en tienda)</t>
        </is>
      </c>
      <c r="P87" s="52" t="inlineStr">
        <is>
          <t>oct-2026 (est.)</t>
        </is>
      </c>
      <c r="Q87" s="52" t="n"/>
    </row>
    <row r="88">
      <c r="A88" s="18" t="n">
        <v>67</v>
      </c>
      <c r="B88" s="19" t="inlineStr">
        <is>
          <t xml:space="preserve">        Pozo de Revisión H.A. Ø1.00 m h≤2 m</t>
        </is>
      </c>
      <c r="C88" s="20" t="inlineStr">
        <is>
          <t>Urbanización</t>
        </is>
      </c>
      <c r="D88" s="18" t="inlineStr">
        <is>
          <t>Pozos</t>
        </is>
      </c>
      <c r="E88" s="18" t="inlineStr">
        <is>
          <t>U</t>
        </is>
      </c>
      <c r="F88" s="21" t="n">
        <v>0</v>
      </c>
      <c r="G88" s="22" t="n">
        <v>780</v>
      </c>
      <c r="H88" s="22" t="n">
        <v>795.6</v>
      </c>
      <c r="I88" s="18" t="inlineStr">
        <is>
          <t>Megametales</t>
        </is>
      </c>
      <c r="J88" s="22" t="n">
        <v>858</v>
      </c>
      <c r="K88" s="18" t="inlineStr">
        <is>
          <t>Ferrisariato</t>
        </is>
      </c>
      <c r="L88" s="8">
        <f>F88*G88</f>
        <v/>
      </c>
      <c r="M88" s="145" t="inlineStr">
        <is>
          <t>IS-D20-CRV-POZ-D100</t>
        </is>
      </c>
      <c r="N88" s="18" t="inlineStr">
        <is>
          <t>Instalaciones sanitarias (hidrosanitarias)</t>
        </is>
      </c>
      <c r="O88" s="18" t="inlineStr">
        <is>
          <t>Estimado DION · criterio de mercado Guayaquil 2026 (no verificado en tienda)</t>
        </is>
      </c>
      <c r="P88" s="18" t="inlineStr">
        <is>
          <t>oct-2026 (est.)</t>
        </is>
      </c>
      <c r="Q88" s="18" t="n"/>
    </row>
    <row r="89">
      <c r="A89" s="52" t="n">
        <v>68</v>
      </c>
      <c r="B89" s="53" t="inlineStr">
        <is>
          <t xml:space="preserve">        Tapa de Hierro Fundido para Pozo Ø60 cm</t>
        </is>
      </c>
      <c r="C89" s="54" t="inlineStr">
        <is>
          <t>Urbanización</t>
        </is>
      </c>
      <c r="D89" s="52" t="inlineStr">
        <is>
          <t>Tapas HF</t>
        </is>
      </c>
      <c r="E89" s="52" t="inlineStr">
        <is>
          <t>U</t>
        </is>
      </c>
      <c r="F89" s="55" t="n">
        <v>1</v>
      </c>
      <c r="G89" s="56" t="n">
        <v>165</v>
      </c>
      <c r="H89" s="56" t="n">
        <v>171.6</v>
      </c>
      <c r="I89" s="52" t="inlineStr">
        <is>
          <t>Megametales</t>
        </is>
      </c>
      <c r="J89" s="56" t="n">
        <v>179.85</v>
      </c>
      <c r="K89" s="52" t="inlineStr">
        <is>
          <t>Kywi / Megakywi</t>
        </is>
      </c>
      <c r="L89" s="57">
        <f>F89*G89</f>
        <v/>
      </c>
      <c r="M89" s="151" t="inlineStr">
        <is>
          <t>IS-D20-CRV-TAP-HF</t>
        </is>
      </c>
      <c r="N89" s="52" t="inlineStr">
        <is>
          <t>Instalaciones sanitarias (hidrosanitarias)</t>
        </is>
      </c>
      <c r="O89" s="52" t="inlineStr">
        <is>
          <t>Estimado DION · criterio de mercado Guayaquil 2026 (no verificado en tienda)</t>
        </is>
      </c>
      <c r="P89" s="52" t="inlineStr">
        <is>
          <t>oct-2026 (est.)</t>
        </is>
      </c>
      <c r="Q89" s="52" t="n"/>
    </row>
    <row r="90">
      <c r="A90" s="49" t="inlineStr">
        <is>
          <t>EQUIPOS ESPECIALIZADOS</t>
        </is>
      </c>
      <c r="B90" s="143" t="n"/>
      <c r="C90" s="143" t="n"/>
      <c r="D90" s="143" t="n"/>
      <c r="E90" s="143" t="n"/>
      <c r="F90" s="143" t="n"/>
      <c r="G90" s="143" t="n"/>
      <c r="H90" s="143" t="n"/>
      <c r="I90" s="143" t="n"/>
      <c r="J90" s="143" t="n"/>
      <c r="K90" s="143" t="n"/>
      <c r="L90" s="143" t="n"/>
      <c r="M90" s="143" t="n"/>
      <c r="N90" s="143" t="n"/>
      <c r="O90" s="143" t="n"/>
      <c r="P90" s="143" t="n"/>
      <c r="Q90" s="144" t="n"/>
    </row>
    <row r="91">
      <c r="A91" s="50" t="inlineStr">
        <is>
          <t xml:space="preserve">  ► CATEGORÍA: RECICLADORES DE AGUAS GRISES Y BOMBAS ACHIQUE</t>
        </is>
      </c>
      <c r="B91" s="143" t="n"/>
      <c r="C91" s="143" t="n"/>
      <c r="D91" s="143" t="n"/>
      <c r="E91" s="143" t="n"/>
      <c r="F91" s="143" t="n"/>
      <c r="G91" s="143" t="n"/>
      <c r="H91" s="143" t="n"/>
      <c r="I91" s="143" t="n"/>
      <c r="J91" s="143" t="n"/>
      <c r="K91" s="143" t="n"/>
      <c r="L91" s="143" t="n"/>
      <c r="M91" s="143" t="n"/>
      <c r="N91" s="143" t="n"/>
      <c r="O91" s="143" t="n"/>
      <c r="P91" s="143" t="n"/>
      <c r="Q91" s="144" t="n"/>
    </row>
    <row r="92">
      <c r="A92" s="51" t="inlineStr">
        <is>
          <t xml:space="preserve">      • Subcategoría Especificada: Reutilización y Achique</t>
        </is>
      </c>
      <c r="B92" s="143" t="n"/>
      <c r="C92" s="143" t="n"/>
      <c r="D92" s="143" t="n"/>
      <c r="E92" s="143" t="n"/>
      <c r="F92" s="143" t="n"/>
      <c r="G92" s="143" t="n"/>
      <c r="H92" s="143" t="n"/>
      <c r="I92" s="143" t="n"/>
      <c r="J92" s="143" t="n"/>
      <c r="K92" s="143" t="n"/>
      <c r="L92" s="143" t="n"/>
      <c r="M92" s="143" t="n"/>
      <c r="N92" s="143" t="n"/>
      <c r="O92" s="143" t="n"/>
      <c r="P92" s="143" t="n"/>
      <c r="Q92" s="144" t="n"/>
    </row>
    <row r="93">
      <c r="A93" s="18" t="n">
        <v>69</v>
      </c>
      <c r="B93" s="19" t="inlineStr">
        <is>
          <t xml:space="preserve">        Sistema Filtro Reciclador de Aguas Grises Riego 500L</t>
        </is>
      </c>
      <c r="C93" s="20" t="inlineStr">
        <is>
          <t>Residencial / Comercial</t>
        </is>
      </c>
      <c r="D93" s="18" t="inlineStr">
        <is>
          <t>Recicladores</t>
        </is>
      </c>
      <c r="E93" s="18" t="inlineStr">
        <is>
          <t>U</t>
        </is>
      </c>
      <c r="F93" s="21" t="n">
        <v>1</v>
      </c>
      <c r="G93" s="22" t="n">
        <v>650</v>
      </c>
      <c r="H93" s="22" t="n">
        <v>675</v>
      </c>
      <c r="I93" s="18" t="inlineStr">
        <is>
          <t>Megametales</t>
        </is>
      </c>
      <c r="J93" s="22" t="n">
        <v>710</v>
      </c>
      <c r="K93" s="18" t="inlineStr">
        <is>
          <t>Kywi / Megakywi</t>
        </is>
      </c>
      <c r="L93" s="8">
        <f>F93*G93</f>
        <v/>
      </c>
      <c r="M93" s="145" t="inlineStr">
        <is>
          <t>IS-D20-PTA-RAG-500L</t>
        </is>
      </c>
      <c r="N93" s="18" t="inlineStr">
        <is>
          <t>Instalaciones sanitarias (hidrosanitarias)</t>
        </is>
      </c>
      <c r="O93" s="18" t="inlineStr">
        <is>
          <t>Estimado · base original del usuario (sin cotización verificada)</t>
        </is>
      </c>
      <c r="P93" s="18" t="inlineStr">
        <is>
          <t>oct-2026 (est.)</t>
        </is>
      </c>
      <c r="Q93" s="18" t="n"/>
    </row>
    <row r="94">
      <c r="A94" s="52" t="n">
        <v>70</v>
      </c>
      <c r="B94" s="53" t="inlineStr">
        <is>
          <t xml:space="preserve">        Bomba Achique Sumergible Aguas Grises 0.5 HP</t>
        </is>
      </c>
      <c r="C94" s="54" t="inlineStr">
        <is>
          <t>Residencial / Comercial</t>
        </is>
      </c>
      <c r="D94" s="52" t="inlineStr">
        <is>
          <t>Bombas Achique</t>
        </is>
      </c>
      <c r="E94" s="52" t="inlineStr">
        <is>
          <t>U</t>
        </is>
      </c>
      <c r="F94" s="55" t="n">
        <v>1</v>
      </c>
      <c r="G94" s="56" t="n">
        <v>120</v>
      </c>
      <c r="H94" s="56" t="n">
        <v>125</v>
      </c>
      <c r="I94" s="52" t="inlineStr">
        <is>
          <t>Megametales</t>
        </is>
      </c>
      <c r="J94" s="56" t="n">
        <v>132</v>
      </c>
      <c r="K94" s="52" t="inlineStr">
        <is>
          <t>Ferrisariato</t>
        </is>
      </c>
      <c r="L94" s="57">
        <f>F94*G94</f>
        <v/>
      </c>
      <c r="M94" s="151" t="inlineStr">
        <is>
          <t>IS-D20-BOM-SUM-0P5HP</t>
        </is>
      </c>
      <c r="N94" s="52" t="inlineStr">
        <is>
          <t>Instalaciones sanitarias (hidrosanitarias)</t>
        </is>
      </c>
      <c r="O94" s="52" t="inlineStr">
        <is>
          <t>Estimado · base original del usuario (sin cotización verificada)</t>
        </is>
      </c>
      <c r="P94" s="52" t="inlineStr">
        <is>
          <t>oct-2026 (est.)</t>
        </is>
      </c>
      <c r="Q94" s="52" t="n"/>
    </row>
    <row r="95">
      <c r="A95" s="51" t="inlineStr">
        <is>
          <t xml:space="preserve">      • Subcategoría Especificada: Bombas Sumergibles por Potencia</t>
        </is>
      </c>
      <c r="B95" s="143" t="n"/>
      <c r="C95" s="143" t="n"/>
      <c r="D95" s="143" t="n"/>
      <c r="E95" s="143" t="n"/>
      <c r="F95" s="143" t="n"/>
      <c r="G95" s="143" t="n"/>
      <c r="H95" s="143" t="n"/>
      <c r="I95" s="143" t="n"/>
      <c r="J95" s="143" t="n"/>
      <c r="K95" s="143" t="n"/>
      <c r="L95" s="143" t="n"/>
      <c r="M95" s="143" t="n"/>
      <c r="N95" s="143" t="n"/>
      <c r="O95" s="143" t="n"/>
      <c r="P95" s="143" t="n"/>
      <c r="Q95" s="144" t="n"/>
    </row>
    <row r="96">
      <c r="A96" s="18" t="n">
        <v>71</v>
      </c>
      <c r="B96" s="19" t="inlineStr">
        <is>
          <t xml:space="preserve">        Bomba Sumergible Aguas Servidas 2 HP</t>
        </is>
      </c>
      <c r="C96" s="20" t="inlineStr">
        <is>
          <t>Residencial / Comercial</t>
        </is>
      </c>
      <c r="D96" s="18" t="inlineStr">
        <is>
          <t>Bombas Achique</t>
        </is>
      </c>
      <c r="E96" s="18" t="inlineStr">
        <is>
          <t>U</t>
        </is>
      </c>
      <c r="F96" s="21" t="n">
        <v>0</v>
      </c>
      <c r="G96" s="22" t="n">
        <v>560</v>
      </c>
      <c r="H96" s="22" t="n">
        <v>582.4</v>
      </c>
      <c r="I96" s="18" t="inlineStr">
        <is>
          <t>Megametales</t>
        </is>
      </c>
      <c r="J96" s="22" t="n">
        <v>616</v>
      </c>
      <c r="K96" s="18" t="inlineStr">
        <is>
          <t>Ferrisariato</t>
        </is>
      </c>
      <c r="L96" s="8">
        <f>F96*G96</f>
        <v/>
      </c>
      <c r="M96" s="145" t="inlineStr">
        <is>
          <t>IS-D20-BOM-SUM-2HP</t>
        </is>
      </c>
      <c r="N96" s="18" t="inlineStr">
        <is>
          <t>Instalaciones sanitarias (hidrosanitarias)</t>
        </is>
      </c>
      <c r="O96" s="18" t="inlineStr">
        <is>
          <t>Estimado DION · criterio de mercado Guayaquil 2026 (no verificado en tienda)</t>
        </is>
      </c>
      <c r="P96" s="18" t="inlineStr">
        <is>
          <t>oct-2026 (est.)</t>
        </is>
      </c>
      <c r="Q96" s="18" t="n"/>
    </row>
    <row r="97">
      <c r="A97" s="52" t="n">
        <v>72</v>
      </c>
      <c r="B97" s="53" t="inlineStr">
        <is>
          <t xml:space="preserve">        Bomba Sumergible Aguas Servidas 3 HP</t>
        </is>
      </c>
      <c r="C97" s="54" t="inlineStr">
        <is>
          <t>Comercial / Industrial</t>
        </is>
      </c>
      <c r="D97" s="52" t="inlineStr">
        <is>
          <t>Bombas Achique</t>
        </is>
      </c>
      <c r="E97" s="52" t="inlineStr">
        <is>
          <t>U</t>
        </is>
      </c>
      <c r="F97" s="55" t="n">
        <v>0</v>
      </c>
      <c r="G97" s="56" t="n">
        <v>820</v>
      </c>
      <c r="H97" s="56" t="n">
        <v>852.8</v>
      </c>
      <c r="I97" s="52" t="inlineStr">
        <is>
          <t>Megametales</t>
        </is>
      </c>
      <c r="J97" s="56" t="n">
        <v>877.4</v>
      </c>
      <c r="K97" s="52" t="inlineStr">
        <is>
          <t>Kywi / Megakywi</t>
        </is>
      </c>
      <c r="L97" s="57">
        <f>F97*G97</f>
        <v/>
      </c>
      <c r="M97" s="151" t="inlineStr">
        <is>
          <t>IS-D20-BOM-SUM-3HP</t>
        </is>
      </c>
      <c r="N97" s="52" t="inlineStr">
        <is>
          <t>Instalaciones sanitarias (hidrosanitarias)</t>
        </is>
      </c>
      <c r="O97" s="52" t="inlineStr">
        <is>
          <t>Estimado DION · criterio de mercado Guayaquil 2026 (no verificado en tienda)</t>
        </is>
      </c>
      <c r="P97" s="52" t="inlineStr">
        <is>
          <t>oct-2026 (est.)</t>
        </is>
      </c>
      <c r="Q97" s="52" t="n"/>
    </row>
    <row r="98">
      <c r="A98" s="18" t="n">
        <v>73</v>
      </c>
      <c r="B98" s="19" t="inlineStr">
        <is>
          <t xml:space="preserve">        Estación de Bombeo Compacta Aguas Servidas (Cámara + 2 Bombas)</t>
        </is>
      </c>
      <c r="C98" s="20" t="inlineStr">
        <is>
          <t>Comercial / Hospitalario</t>
        </is>
      </c>
      <c r="D98" s="18" t="inlineStr">
        <is>
          <t>Cámaras de Bombeo</t>
        </is>
      </c>
      <c r="E98" s="18" t="inlineStr">
        <is>
          <t>Juego</t>
        </is>
      </c>
      <c r="F98" s="21" t="n">
        <v>0</v>
      </c>
      <c r="G98" s="22" t="n">
        <v>4800</v>
      </c>
      <c r="H98" s="22" t="n">
        <v>4992</v>
      </c>
      <c r="I98" s="18" t="inlineStr">
        <is>
          <t>Megametales</t>
        </is>
      </c>
      <c r="J98" s="22" t="n">
        <v>5184</v>
      </c>
      <c r="K98" s="18" t="inlineStr">
        <is>
          <t>Ferrisariato</t>
        </is>
      </c>
      <c r="L98" s="8">
        <f>F98*G98</f>
        <v/>
      </c>
      <c r="M98" s="145" t="inlineStr">
        <is>
          <t>IS-D20-PTA-CAM-BOM</t>
        </is>
      </c>
      <c r="N98" s="18" t="inlineStr">
        <is>
          <t>Instalaciones sanitarias (hidrosanitarias)</t>
        </is>
      </c>
      <c r="O98" s="18" t="inlineStr">
        <is>
          <t>Estimado DION · criterio de mercado Guayaquil 2026 (no verificado en tienda)</t>
        </is>
      </c>
      <c r="P98" s="18" t="inlineStr">
        <is>
          <t>oct-2026 (est.)</t>
        </is>
      </c>
      <c r="Q98" s="18" t="n"/>
    </row>
    <row r="99">
      <c r="A99" s="10" t="n"/>
      <c r="B99" s="147" t="inlineStr">
        <is>
          <t>TOTAL BASE DE DATOS AGUAS GRISES Y SERVIDAS (ESTIMADO)</t>
        </is>
      </c>
      <c r="C99" s="148" t="n"/>
      <c r="D99" s="148" t="n"/>
      <c r="E99" s="148" t="n"/>
      <c r="F99" s="148" t="n"/>
      <c r="G99" s="148" t="n"/>
      <c r="H99" s="148" t="n"/>
      <c r="I99" s="148" t="n"/>
      <c r="J99" s="148" t="n"/>
      <c r="K99" s="148" t="n"/>
      <c r="L99" s="30">
        <f>SUM(L6:L98)</f>
        <v/>
      </c>
      <c r="M99" s="30" t="n"/>
      <c r="N99" s="30" t="n"/>
      <c r="O99" s="30" t="n"/>
      <c r="P99" s="30" t="n"/>
      <c r="Q99" s="30" t="n"/>
    </row>
  </sheetData>
  <mergeCells count="21">
    <mergeCell ref="B99:K99"/>
    <mergeCell ref="A92:Q92"/>
    <mergeCell ref="A39:Q39"/>
    <mergeCell ref="A24:Q24"/>
    <mergeCell ref="A51:Q51"/>
    <mergeCell ref="A11:Q11"/>
    <mergeCell ref="A6:Q6"/>
    <mergeCell ref="A7:Q7"/>
    <mergeCell ref="A90:Q90"/>
    <mergeCell ref="A37:Q37"/>
    <mergeCell ref="A56:Q56"/>
    <mergeCell ref="A27:Q27"/>
    <mergeCell ref="A50:Q50"/>
    <mergeCell ref="A95:Q95"/>
    <mergeCell ref="A42:Q42"/>
    <mergeCell ref="A23:Q23"/>
    <mergeCell ref="A8:Q8"/>
    <mergeCell ref="A22:Q22"/>
    <mergeCell ref="A91:Q91"/>
    <mergeCell ref="A38:Q38"/>
    <mergeCell ref="A52:Q52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9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8" customWidth="1" min="2" max="2"/>
    <col width="30" customWidth="1" min="3" max="3"/>
    <col width="32" customWidth="1" min="4" max="4"/>
    <col width="8" customWidth="1" min="5" max="5"/>
    <col width="10" customWidth="1" min="6" max="6"/>
    <col width="15" customWidth="1" min="7" max="7"/>
    <col width="16" customWidth="1" min="8" max="8"/>
    <col width="22" customWidth="1" min="9" max="9"/>
    <col width="16" customWidth="1" min="10" max="10"/>
    <col width="20" customWidth="1" min="11" max="11"/>
    <col width="16" customWidth="1" min="12" max="12"/>
    <col width="27" customWidth="1" min="13" max="13"/>
    <col width="30" customWidth="1" min="14" max="14"/>
    <col width="44" customWidth="1" min="15" max="15"/>
    <col width="15" customWidth="1" min="16" max="16"/>
    <col width="14" customWidth="1" min="17" max="17"/>
  </cols>
  <sheetData>
    <row r="1">
      <c r="A1" s="1" t="inlineStr">
        <is>
          <t>BASE DE DATOS COMPLETA DE CATALOGACIÓN: RED DE GAS GLP Y NATURAL</t>
        </is>
      </c>
    </row>
    <row r="2">
      <c r="A2" s="2" t="inlineStr">
        <is>
          <t>Estructura Jerárquica Homogénea: Accesorios &gt; Tuberías &gt; Equipos &gt; Conexiones &gt; Equipos Especializados | Degradé por Niveles (Ecuador - USD)</t>
        </is>
      </c>
    </row>
    <row r="3">
      <c r="A3" s="13" t="inlineStr">
        <is>
          <t>« Volver al Índice General</t>
        </is>
      </c>
    </row>
    <row r="5" ht="30" customHeight="1">
      <c r="A5" s="4" t="inlineStr">
        <is>
          <t>Item</t>
        </is>
      </c>
      <c r="B5" s="4" t="inlineStr">
        <is>
          <t>Descripción de Accesorio / Ítem Especificado</t>
        </is>
      </c>
      <c r="C5" s="4" t="inlineStr">
        <is>
          <t>Clasificación / Ámbito de Uso
(Residencial/Comercial/Industrial)</t>
        </is>
      </c>
      <c r="D5" s="4" t="inlineStr">
        <is>
          <t>Tipo / Familia</t>
        </is>
      </c>
      <c r="E5" s="4" t="inlineStr">
        <is>
          <t>Unidad</t>
        </is>
      </c>
      <c r="F5" s="4" t="inlineStr">
        <is>
          <t>Cant.</t>
        </is>
      </c>
      <c r="G5" s="4" t="inlineStr">
        <is>
          <t>P. Ref. Est. ($)</t>
        </is>
      </c>
      <c r="H5" s="4" t="inlineStr">
        <is>
          <t>P. Unit. Local A ($)
(Megametales)</t>
        </is>
      </c>
      <c r="I5" s="4" t="inlineStr">
        <is>
          <t>Local A
Especificado</t>
        </is>
      </c>
      <c r="J5" s="4" t="inlineStr">
        <is>
          <t>P. Unit. Local B ($)
(Kywi/Ferrisariato)</t>
        </is>
      </c>
      <c r="K5" s="4" t="inlineStr">
        <is>
          <t>Local B
Especificado</t>
        </is>
      </c>
      <c r="L5" s="4" t="inlineStr">
        <is>
          <t>Subtotal Est. ($)</t>
        </is>
      </c>
      <c r="M5" s="4" t="inlineStr">
        <is>
          <t>Código DION</t>
        </is>
      </c>
      <c r="N5" s="4" t="inlineStr">
        <is>
          <t>Disciplina</t>
        </is>
      </c>
      <c r="O5" s="4" t="inlineStr">
        <is>
          <t>Fuente del precio</t>
        </is>
      </c>
      <c r="P5" s="4" t="inlineStr">
        <is>
          <t>Fecha precio</t>
        </is>
      </c>
      <c r="Q5" s="4" t="inlineStr">
        <is>
          <t>Rendimiento /
desperdicio %</t>
        </is>
      </c>
    </row>
    <row r="6">
      <c r="A6" s="58" t="inlineStr">
        <is>
          <t>ACCESORIOS</t>
        </is>
      </c>
      <c r="B6" s="143" t="n"/>
      <c r="C6" s="143" t="n"/>
      <c r="D6" s="143" t="n"/>
      <c r="E6" s="143" t="n"/>
      <c r="F6" s="143" t="n"/>
      <c r="G6" s="143" t="n"/>
      <c r="H6" s="143" t="n"/>
      <c r="I6" s="143" t="n"/>
      <c r="J6" s="143" t="n"/>
      <c r="K6" s="143" t="n"/>
      <c r="L6" s="143" t="n"/>
      <c r="M6" s="143" t="n"/>
      <c r="N6" s="143" t="n"/>
      <c r="O6" s="143" t="n"/>
      <c r="P6" s="143" t="n"/>
      <c r="Q6" s="144" t="n"/>
    </row>
    <row r="7">
      <c r="A7" s="59" t="inlineStr">
        <is>
          <t xml:space="preserve">  ► CATEGORÍA: CONECTORES FLARE Y FIJACIÓN</t>
        </is>
      </c>
      <c r="B7" s="143" t="n"/>
      <c r="C7" s="143" t="n"/>
      <c r="D7" s="143" t="n"/>
      <c r="E7" s="143" t="n"/>
      <c r="F7" s="143" t="n"/>
      <c r="G7" s="143" t="n"/>
      <c r="H7" s="143" t="n"/>
      <c r="I7" s="143" t="n"/>
      <c r="J7" s="143" t="n"/>
      <c r="K7" s="143" t="n"/>
      <c r="L7" s="143" t="n"/>
      <c r="M7" s="143" t="n"/>
      <c r="N7" s="143" t="n"/>
      <c r="O7" s="143" t="n"/>
      <c r="P7" s="143" t="n"/>
      <c r="Q7" s="144" t="n"/>
    </row>
    <row r="8">
      <c r="A8" s="60" t="inlineStr">
        <is>
          <t xml:space="preserve">      • Subcategoría Especificada: Conectores y Soportes</t>
        </is>
      </c>
      <c r="B8" s="143" t="n"/>
      <c r="C8" s="143" t="n"/>
      <c r="D8" s="143" t="n"/>
      <c r="E8" s="143" t="n"/>
      <c r="F8" s="143" t="n"/>
      <c r="G8" s="143" t="n"/>
      <c r="H8" s="143" t="n"/>
      <c r="I8" s="143" t="n"/>
      <c r="J8" s="143" t="n"/>
      <c r="K8" s="143" t="n"/>
      <c r="L8" s="143" t="n"/>
      <c r="M8" s="143" t="n"/>
      <c r="N8" s="143" t="n"/>
      <c r="O8" s="143" t="n"/>
      <c r="P8" s="143" t="n"/>
      <c r="Q8" s="144" t="n"/>
    </row>
    <row r="9">
      <c r="A9" s="18" t="n">
        <v>1</v>
      </c>
      <c r="B9" s="19" t="inlineStr">
        <is>
          <t xml:space="preserve">        Conector Macho Roscado Cobre Flare ½" x ½" NPT</t>
        </is>
      </c>
      <c r="C9" s="20" t="inlineStr">
        <is>
          <t>Residencial / Comercial</t>
        </is>
      </c>
      <c r="D9" s="18" t="inlineStr">
        <is>
          <t>Conectores Flare</t>
        </is>
      </c>
      <c r="E9" s="18" t="inlineStr">
        <is>
          <t>U</t>
        </is>
      </c>
      <c r="F9" s="21" t="n">
        <v>15</v>
      </c>
      <c r="G9" s="22" t="n">
        <v>2.1</v>
      </c>
      <c r="H9" s="22" t="n">
        <v>2.2</v>
      </c>
      <c r="I9" s="18" t="inlineStr">
        <is>
          <t>Megametales</t>
        </is>
      </c>
      <c r="J9" s="22" t="n">
        <v>2.35</v>
      </c>
      <c r="K9" s="18" t="inlineStr">
        <is>
          <t>Ferrisariato</t>
        </is>
      </c>
      <c r="L9" s="8">
        <f>F9*G9</f>
        <v/>
      </c>
      <c r="M9" s="145" t="inlineStr">
        <is>
          <t>GAS-D20-ACG-FLR-DN15</t>
        </is>
      </c>
      <c r="N9" s="18" t="inlineStr">
        <is>
          <t>Gas combustible (GLP / GN)</t>
        </is>
      </c>
      <c r="O9" s="18" t="inlineStr">
        <is>
          <t>Estimado · base original del usuario (sin cotización verificada)</t>
        </is>
      </c>
      <c r="P9" s="18" t="inlineStr">
        <is>
          <t>oct-2026 (est.)</t>
        </is>
      </c>
      <c r="Q9" s="18" t="n"/>
    </row>
    <row r="10">
      <c r="A10" s="60" t="inlineStr">
        <is>
          <t xml:space="preserve">      • Subcategoría Especificada: Conectores, Mangueras, Abrazaderas y Rejillas</t>
        </is>
      </c>
      <c r="B10" s="143" t="n"/>
      <c r="C10" s="143" t="n"/>
      <c r="D10" s="143" t="n"/>
      <c r="E10" s="143" t="n"/>
      <c r="F10" s="143" t="n"/>
      <c r="G10" s="143" t="n"/>
      <c r="H10" s="143" t="n"/>
      <c r="I10" s="143" t="n"/>
      <c r="J10" s="143" t="n"/>
      <c r="K10" s="143" t="n"/>
      <c r="L10" s="143" t="n"/>
      <c r="M10" s="143" t="n"/>
      <c r="N10" s="143" t="n"/>
      <c r="O10" s="143" t="n"/>
      <c r="P10" s="143" t="n"/>
      <c r="Q10" s="144" t="n"/>
    </row>
    <row r="11">
      <c r="A11" s="61" t="n">
        <v>2</v>
      </c>
      <c r="B11" s="62" t="inlineStr">
        <is>
          <t xml:space="preserve">        Conector Flare Cobre ⅜" x ½" NPT</t>
        </is>
      </c>
      <c r="C11" s="63" t="inlineStr">
        <is>
          <t>Residencial / Comercial</t>
        </is>
      </c>
      <c r="D11" s="61" t="inlineStr">
        <is>
          <t>Conectores Flare</t>
        </is>
      </c>
      <c r="E11" s="61" t="inlineStr">
        <is>
          <t>U</t>
        </is>
      </c>
      <c r="F11" s="64" t="n">
        <v>6</v>
      </c>
      <c r="G11" s="65" t="n">
        <v>1.8</v>
      </c>
      <c r="H11" s="65" t="n">
        <v>1.84</v>
      </c>
      <c r="I11" s="61" t="inlineStr">
        <is>
          <t>Megametales</t>
        </is>
      </c>
      <c r="J11" s="65" t="n">
        <v>2</v>
      </c>
      <c r="K11" s="61" t="inlineStr">
        <is>
          <t>Kywi / Megakywi</t>
        </is>
      </c>
      <c r="L11" s="66">
        <f>F11*G11</f>
        <v/>
      </c>
      <c r="M11" s="152" t="inlineStr">
        <is>
          <t>GAS-D20-ACG-FLR-DN10</t>
        </is>
      </c>
      <c r="N11" s="61" t="inlineStr">
        <is>
          <t>Gas combustible (GLP / GN)</t>
        </is>
      </c>
      <c r="O11" s="61" t="inlineStr">
        <is>
          <t>Estimado DION · criterio de mercado Guayaquil 2026 (no verificado en tienda)</t>
        </is>
      </c>
      <c r="P11" s="61" t="inlineStr">
        <is>
          <t>oct-2026 (est.)</t>
        </is>
      </c>
      <c r="Q11" s="61" t="n"/>
    </row>
    <row r="12">
      <c r="A12" s="18" t="n">
        <v>3</v>
      </c>
      <c r="B12" s="19" t="inlineStr">
        <is>
          <t xml:space="preserve">        Conector Flare Cobre ¾" x ¾" NPT</t>
        </is>
      </c>
      <c r="C12" s="20" t="inlineStr">
        <is>
          <t>Residencial / Comercial</t>
        </is>
      </c>
      <c r="D12" s="18" t="inlineStr">
        <is>
          <t>Conectores Flare</t>
        </is>
      </c>
      <c r="E12" s="18" t="inlineStr">
        <is>
          <t>U</t>
        </is>
      </c>
      <c r="F12" s="21" t="n">
        <v>4</v>
      </c>
      <c r="G12" s="22" t="n">
        <v>3.4</v>
      </c>
      <c r="H12" s="22" t="n">
        <v>3.57</v>
      </c>
      <c r="I12" s="18" t="inlineStr">
        <is>
          <t>Megametales</t>
        </is>
      </c>
      <c r="J12" s="22" t="n">
        <v>3.67</v>
      </c>
      <c r="K12" s="18" t="inlineStr">
        <is>
          <t>Ferrisariato</t>
        </is>
      </c>
      <c r="L12" s="8">
        <f>F12*G12</f>
        <v/>
      </c>
      <c r="M12" s="145" t="inlineStr">
        <is>
          <t>GAS-D20-ACG-FLR-DN20</t>
        </is>
      </c>
      <c r="N12" s="18" t="inlineStr">
        <is>
          <t>Gas combustible (GLP / GN)</t>
        </is>
      </c>
      <c r="O12" s="18" t="inlineStr">
        <is>
          <t>Estimado DION · criterio de mercado Guayaquil 2026 (no verificado en tienda)</t>
        </is>
      </c>
      <c r="P12" s="18" t="inlineStr">
        <is>
          <t>oct-2026 (est.)</t>
        </is>
      </c>
      <c r="Q12" s="18" t="n"/>
    </row>
    <row r="13">
      <c r="A13" s="61" t="n">
        <v>4</v>
      </c>
      <c r="B13" s="62" t="inlineStr">
        <is>
          <t xml:space="preserve">        Manguera Flexible Acero Inox para Gas ½" x 60 cm</t>
        </is>
      </c>
      <c r="C13" s="63" t="inlineStr">
        <is>
          <t>Residencial / Comercial</t>
        </is>
      </c>
      <c r="D13" s="61" t="inlineStr">
        <is>
          <t>Mangueras Gas</t>
        </is>
      </c>
      <c r="E13" s="61" t="inlineStr">
        <is>
          <t>U</t>
        </is>
      </c>
      <c r="F13" s="64" t="n">
        <v>4</v>
      </c>
      <c r="G13" s="65" t="n">
        <v>9.5</v>
      </c>
      <c r="H13" s="65" t="n">
        <v>9.880000000000001</v>
      </c>
      <c r="I13" s="61" t="inlineStr">
        <is>
          <t>Megametales</t>
        </is>
      </c>
      <c r="J13" s="65" t="n">
        <v>10.45</v>
      </c>
      <c r="K13" s="61" t="inlineStr">
        <is>
          <t>Kywi / Megakywi</t>
        </is>
      </c>
      <c r="L13" s="66">
        <f>F13*G13</f>
        <v/>
      </c>
      <c r="M13" s="152" t="inlineStr">
        <is>
          <t>GAS-D20-ACG-MAN-060</t>
        </is>
      </c>
      <c r="N13" s="61" t="inlineStr">
        <is>
          <t>Gas combustible (GLP / GN)</t>
        </is>
      </c>
      <c r="O13" s="61" t="inlineStr">
        <is>
          <t>Estimado DION · criterio de mercado Guayaquil 2026 (no verificado en tienda)</t>
        </is>
      </c>
      <c r="P13" s="61" t="inlineStr">
        <is>
          <t>oct-2026 (est.)</t>
        </is>
      </c>
      <c r="Q13" s="61" t="n"/>
    </row>
    <row r="14">
      <c r="A14" s="18" t="n">
        <v>5</v>
      </c>
      <c r="B14" s="19" t="inlineStr">
        <is>
          <t xml:space="preserve">        Manguera GLP Alta Presión con Abrazaderas (m)</t>
        </is>
      </c>
      <c r="C14" s="20" t="inlineStr">
        <is>
          <t>Residencial</t>
        </is>
      </c>
      <c r="D14" s="18" t="inlineStr">
        <is>
          <t>Mangueras Gas</t>
        </is>
      </c>
      <c r="E14" s="18" t="inlineStr">
        <is>
          <t>m</t>
        </is>
      </c>
      <c r="F14" s="21" t="n">
        <v>3</v>
      </c>
      <c r="G14" s="22" t="n">
        <v>2.6</v>
      </c>
      <c r="H14" s="22" t="n">
        <v>2.68</v>
      </c>
      <c r="I14" s="18" t="inlineStr">
        <is>
          <t>Megametales</t>
        </is>
      </c>
      <c r="J14" s="22" t="n">
        <v>2.89</v>
      </c>
      <c r="K14" s="18" t="inlineStr">
        <is>
          <t>Ferrisariato</t>
        </is>
      </c>
      <c r="L14" s="8">
        <f>F14*G14</f>
        <v/>
      </c>
      <c r="M14" s="145" t="inlineStr">
        <is>
          <t>GAS-D20-ACG-MAN-GLP</t>
        </is>
      </c>
      <c r="N14" s="18" t="inlineStr">
        <is>
          <t>Gas combustible (GLP / GN)</t>
        </is>
      </c>
      <c r="O14" s="18" t="inlineStr">
        <is>
          <t>Estimado DION · criterio de mercado Guayaquil 2026 (no verificado en tienda)</t>
        </is>
      </c>
      <c r="P14" s="18" t="inlineStr">
        <is>
          <t>oct-2026 (est.)</t>
        </is>
      </c>
      <c r="Q14" s="18" t="n"/>
    </row>
    <row r="15">
      <c r="A15" s="61" t="n">
        <v>6</v>
      </c>
      <c r="B15" s="62" t="inlineStr">
        <is>
          <t xml:space="preserve">        Abrazadera para Tubería de Gas ½"-¾" (Pintada Amarilla)</t>
        </is>
      </c>
      <c r="C15" s="63" t="inlineStr">
        <is>
          <t>Residencial / Comercial</t>
        </is>
      </c>
      <c r="D15" s="61" t="inlineStr">
        <is>
          <t>Abrazaderas</t>
        </is>
      </c>
      <c r="E15" s="61" t="inlineStr">
        <is>
          <t>U</t>
        </is>
      </c>
      <c r="F15" s="64" t="n">
        <v>20</v>
      </c>
      <c r="G15" s="65" t="n">
        <v>0.45</v>
      </c>
      <c r="H15" s="65" t="n">
        <v>0.46</v>
      </c>
      <c r="I15" s="61" t="inlineStr">
        <is>
          <t>Megametales</t>
        </is>
      </c>
      <c r="J15" s="65" t="n">
        <v>0.48</v>
      </c>
      <c r="K15" s="61" t="inlineStr">
        <is>
          <t>Kywi / Megakywi</t>
        </is>
      </c>
      <c r="L15" s="66">
        <f>F15*G15</f>
        <v/>
      </c>
      <c r="M15" s="152" t="inlineStr">
        <is>
          <t>GAS-D20-ACG-ABR-DN20</t>
        </is>
      </c>
      <c r="N15" s="61" t="inlineStr">
        <is>
          <t>Gas combustible (GLP / GN)</t>
        </is>
      </c>
      <c r="O15" s="61" t="inlineStr">
        <is>
          <t>Estimado DION · criterio de mercado Guayaquil 2026 (no verificado en tienda)</t>
        </is>
      </c>
      <c r="P15" s="61" t="inlineStr">
        <is>
          <t>oct-2026 (est.)</t>
        </is>
      </c>
      <c r="Q15" s="61" t="n"/>
    </row>
    <row r="16">
      <c r="A16" s="18" t="n">
        <v>7</v>
      </c>
      <c r="B16" s="19" t="inlineStr">
        <is>
          <t xml:space="preserve">        Rejilla de Ventilación Permanente 20x20 cm (Recinto GLP)</t>
        </is>
      </c>
      <c r="C16" s="20" t="inlineStr">
        <is>
          <t>Residencial / Comercial</t>
        </is>
      </c>
      <c r="D16" s="18" t="inlineStr">
        <is>
          <t>Ventilación</t>
        </is>
      </c>
      <c r="E16" s="18" t="inlineStr">
        <is>
          <t>U</t>
        </is>
      </c>
      <c r="F16" s="21" t="n">
        <v>2</v>
      </c>
      <c r="G16" s="22" t="n">
        <v>7.5</v>
      </c>
      <c r="H16" s="22" t="n">
        <v>7.73</v>
      </c>
      <c r="I16" s="18" t="inlineStr">
        <is>
          <t>Megametales</t>
        </is>
      </c>
      <c r="J16" s="22" t="n">
        <v>8.33</v>
      </c>
      <c r="K16" s="18" t="inlineStr">
        <is>
          <t>Ferrisariato</t>
        </is>
      </c>
      <c r="L16" s="8">
        <f>F16*G16</f>
        <v/>
      </c>
      <c r="M16" s="145" t="inlineStr">
        <is>
          <t>GAS-D20-RGG-REJ-VEN</t>
        </is>
      </c>
      <c r="N16" s="18" t="inlineStr">
        <is>
          <t>Gas combustible (GLP / GN)</t>
        </is>
      </c>
      <c r="O16" s="18" t="inlineStr">
        <is>
          <t>Estimado DION · criterio de mercado Guayaquil 2026 (no verificado en tienda)</t>
        </is>
      </c>
      <c r="P16" s="18" t="inlineStr">
        <is>
          <t>oct-2026 (est.)</t>
        </is>
      </c>
      <c r="Q16" s="18" t="n"/>
    </row>
    <row r="17">
      <c r="A17" s="61" t="n">
        <v>8</v>
      </c>
      <c r="B17" s="62" t="inlineStr">
        <is>
          <t xml:space="preserve">        Cinta / Pintura Amarilla de Señalización de Tubería Gas</t>
        </is>
      </c>
      <c r="C17" s="63" t="inlineStr">
        <is>
          <t>Residencial / Comercial</t>
        </is>
      </c>
      <c r="D17" s="61" t="inlineStr">
        <is>
          <t>Señalización</t>
        </is>
      </c>
      <c r="E17" s="61" t="inlineStr">
        <is>
          <t>U</t>
        </is>
      </c>
      <c r="F17" s="64" t="n">
        <v>2</v>
      </c>
      <c r="G17" s="65" t="n">
        <v>6.5</v>
      </c>
      <c r="H17" s="65" t="n">
        <v>6.83</v>
      </c>
      <c r="I17" s="61" t="inlineStr">
        <is>
          <t>Megametales</t>
        </is>
      </c>
      <c r="J17" s="65" t="n">
        <v>7.15</v>
      </c>
      <c r="K17" s="61" t="inlineStr">
        <is>
          <t>Kywi / Megakywi</t>
        </is>
      </c>
      <c r="L17" s="66">
        <f>F17*G17</f>
        <v/>
      </c>
      <c r="M17" s="152" t="inlineStr">
        <is>
          <t>GAS-D20-ACG-SEN-AMA</t>
        </is>
      </c>
      <c r="N17" s="61" t="inlineStr">
        <is>
          <t>Gas combustible (GLP / GN)</t>
        </is>
      </c>
      <c r="O17" s="61" t="inlineStr">
        <is>
          <t>Estimado DION · criterio de mercado Guayaquil 2026 (no verificado en tienda)</t>
        </is>
      </c>
      <c r="P17" s="61" t="inlineStr">
        <is>
          <t>oct-2026 (est.)</t>
        </is>
      </c>
      <c r="Q17" s="61" t="n"/>
    </row>
    <row r="18">
      <c r="A18" s="58" t="inlineStr">
        <is>
          <t>TUBERÍAS</t>
        </is>
      </c>
      <c r="B18" s="143" t="n"/>
      <c r="C18" s="143" t="n"/>
      <c r="D18" s="143" t="n"/>
      <c r="E18" s="143" t="n"/>
      <c r="F18" s="143" t="n"/>
      <c r="G18" s="143" t="n"/>
      <c r="H18" s="143" t="n"/>
      <c r="I18" s="143" t="n"/>
      <c r="J18" s="143" t="n"/>
      <c r="K18" s="143" t="n"/>
      <c r="L18" s="143" t="n"/>
      <c r="M18" s="143" t="n"/>
      <c r="N18" s="143" t="n"/>
      <c r="O18" s="143" t="n"/>
      <c r="P18" s="143" t="n"/>
      <c r="Q18" s="144" t="n"/>
    </row>
    <row r="19">
      <c r="A19" s="59" t="inlineStr">
        <is>
          <t xml:space="preserve">  ► CATEGORÍA: TUBERÍAS COBRE RÍGIDO TIPO L Y MULTICAPA PE-AL-PE</t>
        </is>
      </c>
      <c r="B19" s="143" t="n"/>
      <c r="C19" s="143" t="n"/>
      <c r="D19" s="143" t="n"/>
      <c r="E19" s="143" t="n"/>
      <c r="F19" s="143" t="n"/>
      <c r="G19" s="143" t="n"/>
      <c r="H19" s="143" t="n"/>
      <c r="I19" s="143" t="n"/>
      <c r="J19" s="143" t="n"/>
      <c r="K19" s="143" t="n"/>
      <c r="L19" s="143" t="n"/>
      <c r="M19" s="143" t="n"/>
      <c r="N19" s="143" t="n"/>
      <c r="O19" s="143" t="n"/>
      <c r="P19" s="143" t="n"/>
      <c r="Q19" s="144" t="n"/>
    </row>
    <row r="20">
      <c r="A20" s="60" t="inlineStr">
        <is>
          <t xml:space="preserve">      • Subcategoría Especificada: Gas GLP y Natural</t>
        </is>
      </c>
      <c r="B20" s="143" t="n"/>
      <c r="C20" s="143" t="n"/>
      <c r="D20" s="143" t="n"/>
      <c r="E20" s="143" t="n"/>
      <c r="F20" s="143" t="n"/>
      <c r="G20" s="143" t="n"/>
      <c r="H20" s="143" t="n"/>
      <c r="I20" s="143" t="n"/>
      <c r="J20" s="143" t="n"/>
      <c r="K20" s="143" t="n"/>
      <c r="L20" s="143" t="n"/>
      <c r="M20" s="143" t="n"/>
      <c r="N20" s="143" t="n"/>
      <c r="O20" s="143" t="n"/>
      <c r="P20" s="143" t="n"/>
      <c r="Q20" s="144" t="n"/>
    </row>
    <row r="21">
      <c r="A21" s="18" t="n">
        <v>9</v>
      </c>
      <c r="B21" s="19" t="inlineStr">
        <is>
          <t xml:space="preserve">        Tubo Cobre Rígido Tipo L ½" / ¾" para Gas (m)</t>
        </is>
      </c>
      <c r="C21" s="20" t="inlineStr">
        <is>
          <t>Residencial / Comercial</t>
        </is>
      </c>
      <c r="D21" s="18" t="inlineStr">
        <is>
          <t>Tubería Cobre</t>
        </is>
      </c>
      <c r="E21" s="18" t="inlineStr">
        <is>
          <t>m</t>
        </is>
      </c>
      <c r="F21" s="21" t="n">
        <v>20</v>
      </c>
      <c r="G21" s="22" t="n">
        <v>4.8</v>
      </c>
      <c r="H21" s="22" t="n">
        <v>4.95</v>
      </c>
      <c r="I21" s="18" t="inlineStr">
        <is>
          <t>Megametales</t>
        </is>
      </c>
      <c r="J21" s="22" t="n">
        <v>5.3</v>
      </c>
      <c r="K21" s="18" t="inlineStr">
        <is>
          <t>Ferrisariato</t>
        </is>
      </c>
      <c r="L21" s="8">
        <f>F21*G21</f>
        <v/>
      </c>
      <c r="M21" s="145" t="inlineStr">
        <is>
          <t>GAS-D20-TUG-COB-L12</t>
        </is>
      </c>
      <c r="N21" s="18" t="inlineStr">
        <is>
          <t>Gas combustible (GLP / GN)</t>
        </is>
      </c>
      <c r="O21" s="18" t="inlineStr">
        <is>
          <t>Estimado · base original del usuario (sin cotización verificada)</t>
        </is>
      </c>
      <c r="P21" s="18" t="inlineStr">
        <is>
          <t>oct-2026 (est.)</t>
        </is>
      </c>
      <c r="Q21" s="18" t="n">
        <v>3</v>
      </c>
    </row>
    <row r="22">
      <c r="A22" s="61" t="n">
        <v>10</v>
      </c>
      <c r="B22" s="62" t="inlineStr">
        <is>
          <t xml:space="preserve">        Tubo Multicapa PE-AL-PE Yellow 20mm Gas (m)</t>
        </is>
      </c>
      <c r="C22" s="63" t="inlineStr">
        <is>
          <t>Residencial / Comercial</t>
        </is>
      </c>
      <c r="D22" s="61" t="inlineStr">
        <is>
          <t>Tubería PE-AL-PE</t>
        </is>
      </c>
      <c r="E22" s="61" t="inlineStr">
        <is>
          <t>m</t>
        </is>
      </c>
      <c r="F22" s="64" t="n">
        <v>30</v>
      </c>
      <c r="G22" s="65" t="n">
        <v>2.5</v>
      </c>
      <c r="H22" s="65" t="n">
        <v>2.6</v>
      </c>
      <c r="I22" s="61" t="inlineStr">
        <is>
          <t>Megametales</t>
        </is>
      </c>
      <c r="J22" s="65" t="n">
        <v>2.8</v>
      </c>
      <c r="K22" s="61" t="inlineStr">
        <is>
          <t>Kywi / Megakywi</t>
        </is>
      </c>
      <c r="L22" s="66">
        <f>F22*G22</f>
        <v/>
      </c>
      <c r="M22" s="152" t="inlineStr">
        <is>
          <t>GAS-D20-TUG-PAP-1620</t>
        </is>
      </c>
      <c r="N22" s="61" t="inlineStr">
        <is>
          <t>Gas combustible (GLP / GN)</t>
        </is>
      </c>
      <c r="O22" s="61" t="inlineStr">
        <is>
          <t>Estimado · base original del usuario (sin cotización verificada)</t>
        </is>
      </c>
      <c r="P22" s="61" t="inlineStr">
        <is>
          <t>oct-2026 (est.)</t>
        </is>
      </c>
      <c r="Q22" s="61" t="n">
        <v>3</v>
      </c>
    </row>
    <row r="23">
      <c r="A23" s="60" t="inlineStr">
        <is>
          <t xml:space="preserve">      • Subcategoría Especificada: Todas las Medidas</t>
        </is>
      </c>
      <c r="B23" s="143" t="n"/>
      <c r="C23" s="143" t="n"/>
      <c r="D23" s="143" t="n"/>
      <c r="E23" s="143" t="n"/>
      <c r="F23" s="143" t="n"/>
      <c r="G23" s="143" t="n"/>
      <c r="H23" s="143" t="n"/>
      <c r="I23" s="143" t="n"/>
      <c r="J23" s="143" t="n"/>
      <c r="K23" s="143" t="n"/>
      <c r="L23" s="143" t="n"/>
      <c r="M23" s="143" t="n"/>
      <c r="N23" s="143" t="n"/>
      <c r="O23" s="143" t="n"/>
      <c r="P23" s="143" t="n"/>
      <c r="Q23" s="144" t="n"/>
    </row>
    <row r="24">
      <c r="A24" s="18" t="n">
        <v>11</v>
      </c>
      <c r="B24" s="19" t="inlineStr">
        <is>
          <t xml:space="preserve">        Tubo Cobre Tipo L ⅜" para Gas (m)</t>
        </is>
      </c>
      <c r="C24" s="20" t="inlineStr">
        <is>
          <t>Residencial / Comercial</t>
        </is>
      </c>
      <c r="D24" s="18" t="inlineStr">
        <is>
          <t>Tubería Cobre</t>
        </is>
      </c>
      <c r="E24" s="18" t="inlineStr">
        <is>
          <t>m</t>
        </is>
      </c>
      <c r="F24" s="21" t="n">
        <v>10</v>
      </c>
      <c r="G24" s="22" t="n">
        <v>5.2</v>
      </c>
      <c r="H24" s="22" t="n">
        <v>5.3</v>
      </c>
      <c r="I24" s="18" t="inlineStr">
        <is>
          <t>Megametales</t>
        </is>
      </c>
      <c r="J24" s="22" t="n">
        <v>5.67</v>
      </c>
      <c r="K24" s="18" t="inlineStr">
        <is>
          <t>Ferrisariato</t>
        </is>
      </c>
      <c r="L24" s="8">
        <f>F24*G24</f>
        <v/>
      </c>
      <c r="M24" s="145" t="inlineStr">
        <is>
          <t>GAS-D20-TUG-COB-L38</t>
        </is>
      </c>
      <c r="N24" s="18" t="inlineStr">
        <is>
          <t>Gas combustible (GLP / GN)</t>
        </is>
      </c>
      <c r="O24" s="18" t="inlineStr">
        <is>
          <t>Estimado DION · criterio de mercado Guayaquil 2026 (no verificado en tienda)</t>
        </is>
      </c>
      <c r="P24" s="18" t="inlineStr">
        <is>
          <t>oct-2026 (est.)</t>
        </is>
      </c>
      <c r="Q24" s="18" t="n">
        <v>3</v>
      </c>
    </row>
    <row r="25">
      <c r="A25" s="61" t="n">
        <v>12</v>
      </c>
      <c r="B25" s="62" t="inlineStr">
        <is>
          <t xml:space="preserve">        Tubo Cobre Tipo L ¾" para Gas (m)</t>
        </is>
      </c>
      <c r="C25" s="63" t="inlineStr">
        <is>
          <t>Residencial / Comercial</t>
        </is>
      </c>
      <c r="D25" s="61" t="inlineStr">
        <is>
          <t>Tubería Cobre</t>
        </is>
      </c>
      <c r="E25" s="61" t="inlineStr">
        <is>
          <t>m</t>
        </is>
      </c>
      <c r="F25" s="64" t="n">
        <v>10</v>
      </c>
      <c r="G25" s="65" t="n">
        <v>11.8</v>
      </c>
      <c r="H25" s="65" t="n">
        <v>12.04</v>
      </c>
      <c r="I25" s="61" t="inlineStr">
        <is>
          <t>Megametales</t>
        </is>
      </c>
      <c r="J25" s="65" t="n">
        <v>12.63</v>
      </c>
      <c r="K25" s="61" t="inlineStr">
        <is>
          <t>Kywi / Megakywi</t>
        </is>
      </c>
      <c r="L25" s="66">
        <f>F25*G25</f>
        <v/>
      </c>
      <c r="M25" s="152" t="inlineStr">
        <is>
          <t>GAS-D20-TUG-COB-L34</t>
        </is>
      </c>
      <c r="N25" s="61" t="inlineStr">
        <is>
          <t>Gas combustible (GLP / GN)</t>
        </is>
      </c>
      <c r="O25" s="61" t="inlineStr">
        <is>
          <t>Estimado DION · criterio de mercado Guayaquil 2026 (no verificado en tienda)</t>
        </is>
      </c>
      <c r="P25" s="61" t="inlineStr">
        <is>
          <t>oct-2026 (est.)</t>
        </is>
      </c>
      <c r="Q25" s="61" t="n">
        <v>3</v>
      </c>
    </row>
    <row r="26">
      <c r="A26" s="18" t="n">
        <v>13</v>
      </c>
      <c r="B26" s="19" t="inlineStr">
        <is>
          <t xml:space="preserve">        Tubo Cobre Tipo L 1" para Gas (m)</t>
        </is>
      </c>
      <c r="C26" s="20" t="inlineStr">
        <is>
          <t>Residencial / Comercial</t>
        </is>
      </c>
      <c r="D26" s="18" t="inlineStr">
        <is>
          <t>Tubería Cobre</t>
        </is>
      </c>
      <c r="E26" s="18" t="inlineStr">
        <is>
          <t>m</t>
        </is>
      </c>
      <c r="F26" s="21" t="n">
        <v>10</v>
      </c>
      <c r="G26" s="22" t="n">
        <v>16.4</v>
      </c>
      <c r="H26" s="22" t="n">
        <v>16.73</v>
      </c>
      <c r="I26" s="18" t="inlineStr">
        <is>
          <t>Megametales</t>
        </is>
      </c>
      <c r="J26" s="22" t="n">
        <v>18.2</v>
      </c>
      <c r="K26" s="18" t="inlineStr">
        <is>
          <t>Ferrisariato</t>
        </is>
      </c>
      <c r="L26" s="8">
        <f>F26*G26</f>
        <v/>
      </c>
      <c r="M26" s="145" t="inlineStr">
        <is>
          <t>GAS-D20-TUG-COB-L1</t>
        </is>
      </c>
      <c r="N26" s="18" t="inlineStr">
        <is>
          <t>Gas combustible (GLP / GN)</t>
        </is>
      </c>
      <c r="O26" s="18" t="inlineStr">
        <is>
          <t>Estimado DION · criterio de mercado Guayaquil 2026 (no verificado en tienda)</t>
        </is>
      </c>
      <c r="P26" s="18" t="inlineStr">
        <is>
          <t>oct-2026 (est.)</t>
        </is>
      </c>
      <c r="Q26" s="18" t="n">
        <v>3</v>
      </c>
    </row>
    <row r="27">
      <c r="A27" s="61" t="n">
        <v>14</v>
      </c>
      <c r="B27" s="62" t="inlineStr">
        <is>
          <t xml:space="preserve">        Tubo Cobre Tipo L 1¼" para Gas (m)</t>
        </is>
      </c>
      <c r="C27" s="63" t="inlineStr">
        <is>
          <t>Residencial / Comercial</t>
        </is>
      </c>
      <c r="D27" s="61" t="inlineStr">
        <is>
          <t>Tubería Cobre</t>
        </is>
      </c>
      <c r="E27" s="61" t="inlineStr">
        <is>
          <t>m</t>
        </is>
      </c>
      <c r="F27" s="64" t="n">
        <v>10</v>
      </c>
      <c r="G27" s="65" t="n">
        <v>23.5</v>
      </c>
      <c r="H27" s="65" t="n">
        <v>24.21</v>
      </c>
      <c r="I27" s="61" t="inlineStr">
        <is>
          <t>Megametales</t>
        </is>
      </c>
      <c r="J27" s="65" t="n">
        <v>25.38</v>
      </c>
      <c r="K27" s="61" t="inlineStr">
        <is>
          <t>Kywi / Megakywi</t>
        </is>
      </c>
      <c r="L27" s="66">
        <f>F27*G27</f>
        <v/>
      </c>
      <c r="M27" s="152" t="inlineStr">
        <is>
          <t>GAS-D20-TUG-COB-L114</t>
        </is>
      </c>
      <c r="N27" s="61" t="inlineStr">
        <is>
          <t>Gas combustible (GLP / GN)</t>
        </is>
      </c>
      <c r="O27" s="61" t="inlineStr">
        <is>
          <t>Estimado DION · criterio de mercado Guayaquil 2026 (no verificado en tienda)</t>
        </is>
      </c>
      <c r="P27" s="61" t="inlineStr">
        <is>
          <t>oct-2026 (est.)</t>
        </is>
      </c>
      <c r="Q27" s="61" t="n">
        <v>3</v>
      </c>
    </row>
    <row r="28">
      <c r="A28" s="18" t="n">
        <v>15</v>
      </c>
      <c r="B28" s="19" t="inlineStr">
        <is>
          <t xml:space="preserve">        Tubo Multicapa PE-AL-PE Gas 12x16 mm (m)</t>
        </is>
      </c>
      <c r="C28" s="20" t="inlineStr">
        <is>
          <t>Residencial / Comercial</t>
        </is>
      </c>
      <c r="D28" s="18" t="inlineStr">
        <is>
          <t>Tubería PE-AL-PE</t>
        </is>
      </c>
      <c r="E28" s="18" t="inlineStr">
        <is>
          <t>m</t>
        </is>
      </c>
      <c r="F28" s="21" t="n">
        <v>20</v>
      </c>
      <c r="G28" s="22" t="n">
        <v>1.95</v>
      </c>
      <c r="H28" s="22" t="n">
        <v>2.03</v>
      </c>
      <c r="I28" s="18" t="inlineStr">
        <is>
          <t>Megametales</t>
        </is>
      </c>
      <c r="J28" s="22" t="n">
        <v>2.09</v>
      </c>
      <c r="K28" s="18" t="inlineStr">
        <is>
          <t>Ferrisariato</t>
        </is>
      </c>
      <c r="L28" s="8">
        <f>F28*G28</f>
        <v/>
      </c>
      <c r="M28" s="145" t="inlineStr">
        <is>
          <t>GAS-D20-TUG-PAP-1216</t>
        </is>
      </c>
      <c r="N28" s="18" t="inlineStr">
        <is>
          <t>Gas combustible (GLP / GN)</t>
        </is>
      </c>
      <c r="O28" s="18" t="inlineStr">
        <is>
          <t>Estimado DION · criterio de mercado Guayaquil 2026 (no verificado en tienda)</t>
        </is>
      </c>
      <c r="P28" s="18" t="inlineStr">
        <is>
          <t>oct-2026 (est.)</t>
        </is>
      </c>
      <c r="Q28" s="18" t="n">
        <v>3</v>
      </c>
    </row>
    <row r="29">
      <c r="A29" s="61" t="n">
        <v>16</v>
      </c>
      <c r="B29" s="62" t="inlineStr">
        <is>
          <t xml:space="preserve">        Tubo Multicapa PE-AL-PE Gas 20x25 mm (m)</t>
        </is>
      </c>
      <c r="C29" s="63" t="inlineStr">
        <is>
          <t>Residencial / Comercial</t>
        </is>
      </c>
      <c r="D29" s="61" t="inlineStr">
        <is>
          <t>Tubería PE-AL-PE</t>
        </is>
      </c>
      <c r="E29" s="61" t="inlineStr">
        <is>
          <t>m</t>
        </is>
      </c>
      <c r="F29" s="64" t="n">
        <v>20</v>
      </c>
      <c r="G29" s="65" t="n">
        <v>3.6</v>
      </c>
      <c r="H29" s="65" t="n">
        <v>3.67</v>
      </c>
      <c r="I29" s="61" t="inlineStr">
        <is>
          <t>Megametales</t>
        </is>
      </c>
      <c r="J29" s="65" t="n">
        <v>4</v>
      </c>
      <c r="K29" s="61" t="inlineStr">
        <is>
          <t>Kywi / Megakywi</t>
        </is>
      </c>
      <c r="L29" s="66">
        <f>F29*G29</f>
        <v/>
      </c>
      <c r="M29" s="152" t="inlineStr">
        <is>
          <t>GAS-D20-TUG-PAP-2025</t>
        </is>
      </c>
      <c r="N29" s="61" t="inlineStr">
        <is>
          <t>Gas combustible (GLP / GN)</t>
        </is>
      </c>
      <c r="O29" s="61" t="inlineStr">
        <is>
          <t>Estimado DION · criterio de mercado Guayaquil 2026 (no verificado en tienda)</t>
        </is>
      </c>
      <c r="P29" s="61" t="inlineStr">
        <is>
          <t>oct-2026 (est.)</t>
        </is>
      </c>
      <c r="Q29" s="61" t="n">
        <v>3</v>
      </c>
    </row>
    <row r="30">
      <c r="A30" s="18" t="n">
        <v>17</v>
      </c>
      <c r="B30" s="19" t="inlineStr">
        <is>
          <t xml:space="preserve">        Tubo Multicapa PE-AL-PE Gas 26x32 mm (m)</t>
        </is>
      </c>
      <c r="C30" s="20" t="inlineStr">
        <is>
          <t>Residencial / Comercial</t>
        </is>
      </c>
      <c r="D30" s="18" t="inlineStr">
        <is>
          <t>Tubería PE-AL-PE</t>
        </is>
      </c>
      <c r="E30" s="18" t="inlineStr">
        <is>
          <t>m</t>
        </is>
      </c>
      <c r="F30" s="21" t="n">
        <v>20</v>
      </c>
      <c r="G30" s="22" t="n">
        <v>5.4</v>
      </c>
      <c r="H30" s="22" t="n">
        <v>5.51</v>
      </c>
      <c r="I30" s="18" t="inlineStr">
        <is>
          <t>Megametales</t>
        </is>
      </c>
      <c r="J30" s="22" t="n">
        <v>5.78</v>
      </c>
      <c r="K30" s="18" t="inlineStr">
        <is>
          <t>Ferrisariato</t>
        </is>
      </c>
      <c r="L30" s="8">
        <f>F30*G30</f>
        <v/>
      </c>
      <c r="M30" s="145" t="inlineStr">
        <is>
          <t>GAS-D20-TUG-PAP-2632</t>
        </is>
      </c>
      <c r="N30" s="18" t="inlineStr">
        <is>
          <t>Gas combustible (GLP / GN)</t>
        </is>
      </c>
      <c r="O30" s="18" t="inlineStr">
        <is>
          <t>Estimado DION · criterio de mercado Guayaquil 2026 (no verificado en tienda)</t>
        </is>
      </c>
      <c r="P30" s="18" t="inlineStr">
        <is>
          <t>oct-2026 (est.)</t>
        </is>
      </c>
      <c r="Q30" s="18" t="n">
        <v>3</v>
      </c>
    </row>
    <row r="31">
      <c r="A31" s="61" t="n">
        <v>18</v>
      </c>
      <c r="B31" s="62" t="inlineStr">
        <is>
          <t xml:space="preserve">        Tubo Acero Negro Cédula 40 ½" para Gas (6 m)</t>
        </is>
      </c>
      <c r="C31" s="63" t="inlineStr">
        <is>
          <t>Comercial / Industrial</t>
        </is>
      </c>
      <c r="D31" s="61" t="inlineStr">
        <is>
          <t>Tubería Acero</t>
        </is>
      </c>
      <c r="E31" s="61" t="inlineStr">
        <is>
          <t>U</t>
        </is>
      </c>
      <c r="F31" s="64" t="n">
        <v>2</v>
      </c>
      <c r="G31" s="65" t="n">
        <v>17</v>
      </c>
      <c r="H31" s="65" t="n">
        <v>17.34</v>
      </c>
      <c r="I31" s="61" t="inlineStr">
        <is>
          <t>Megametales</t>
        </is>
      </c>
      <c r="J31" s="65" t="n">
        <v>18.36</v>
      </c>
      <c r="K31" s="61" t="inlineStr">
        <is>
          <t>Kywi / Megakywi</t>
        </is>
      </c>
      <c r="L31" s="66">
        <f>F31*G31</f>
        <v/>
      </c>
      <c r="M31" s="152" t="inlineStr">
        <is>
          <t>GAS-D20-TUG-ACN-DN15</t>
        </is>
      </c>
      <c r="N31" s="61" t="inlineStr">
        <is>
          <t>Gas combustible (GLP / GN)</t>
        </is>
      </c>
      <c r="O31" s="61" t="inlineStr">
        <is>
          <t>Estimado DION · criterio de mercado Guayaquil 2026 (no verificado en tienda)</t>
        </is>
      </c>
      <c r="P31" s="61" t="inlineStr">
        <is>
          <t>oct-2026 (est.)</t>
        </is>
      </c>
      <c r="Q31" s="61" t="n">
        <v>3</v>
      </c>
    </row>
    <row r="32">
      <c r="A32" s="18" t="n">
        <v>19</v>
      </c>
      <c r="B32" s="19" t="inlineStr">
        <is>
          <t xml:space="preserve">        Tubo Acero Negro Cédula 40 ¾" para Gas (6 m)</t>
        </is>
      </c>
      <c r="C32" s="20" t="inlineStr">
        <is>
          <t>Comercial / Industrial</t>
        </is>
      </c>
      <c r="D32" s="18" t="inlineStr">
        <is>
          <t>Tubería Acero</t>
        </is>
      </c>
      <c r="E32" s="18" t="inlineStr">
        <is>
          <t>U</t>
        </is>
      </c>
      <c r="F32" s="21" t="n">
        <v>2</v>
      </c>
      <c r="G32" s="22" t="n">
        <v>22</v>
      </c>
      <c r="H32" s="22" t="n">
        <v>22.44</v>
      </c>
      <c r="I32" s="18" t="inlineStr">
        <is>
          <t>Megametales</t>
        </is>
      </c>
      <c r="J32" s="22" t="n">
        <v>23.98</v>
      </c>
      <c r="K32" s="18" t="inlineStr">
        <is>
          <t>Ferrisariato</t>
        </is>
      </c>
      <c r="L32" s="8">
        <f>F32*G32</f>
        <v/>
      </c>
      <c r="M32" s="145" t="inlineStr">
        <is>
          <t>GAS-D20-TUG-ACN-DN20</t>
        </is>
      </c>
      <c r="N32" s="18" t="inlineStr">
        <is>
          <t>Gas combustible (GLP / GN)</t>
        </is>
      </c>
      <c r="O32" s="18" t="inlineStr">
        <is>
          <t>Estimado DION · criterio de mercado Guayaquil 2026 (no verificado en tienda)</t>
        </is>
      </c>
      <c r="P32" s="18" t="inlineStr">
        <is>
          <t>oct-2026 (est.)</t>
        </is>
      </c>
      <c r="Q32" s="18" t="n">
        <v>3</v>
      </c>
    </row>
    <row r="33">
      <c r="A33" s="61" t="n">
        <v>20</v>
      </c>
      <c r="B33" s="62" t="inlineStr">
        <is>
          <t xml:space="preserve">        Tubo Acero Negro Cédula 40 1" para Gas (6 m)</t>
        </is>
      </c>
      <c r="C33" s="63" t="inlineStr">
        <is>
          <t>Comercial / Industrial</t>
        </is>
      </c>
      <c r="D33" s="61" t="inlineStr">
        <is>
          <t>Tubería Acero</t>
        </is>
      </c>
      <c r="E33" s="61" t="inlineStr">
        <is>
          <t>U</t>
        </is>
      </c>
      <c r="F33" s="64" t="n">
        <v>2</v>
      </c>
      <c r="G33" s="65" t="n">
        <v>31</v>
      </c>
      <c r="H33" s="65" t="n">
        <v>32.55</v>
      </c>
      <c r="I33" s="61" t="inlineStr">
        <is>
          <t>Megametales</t>
        </is>
      </c>
      <c r="J33" s="65" t="n">
        <v>33.79</v>
      </c>
      <c r="K33" s="61" t="inlineStr">
        <is>
          <t>Kywi / Megakywi</t>
        </is>
      </c>
      <c r="L33" s="66">
        <f>F33*G33</f>
        <v/>
      </c>
      <c r="M33" s="152" t="inlineStr">
        <is>
          <t>GAS-D20-TUG-ACN-DN25</t>
        </is>
      </c>
      <c r="N33" s="61" t="inlineStr">
        <is>
          <t>Gas combustible (GLP / GN)</t>
        </is>
      </c>
      <c r="O33" s="61" t="inlineStr">
        <is>
          <t>Estimado DION · criterio de mercado Guayaquil 2026 (no verificado en tienda)</t>
        </is>
      </c>
      <c r="P33" s="61" t="inlineStr">
        <is>
          <t>oct-2026 (est.)</t>
        </is>
      </c>
      <c r="Q33" s="61" t="n">
        <v>3</v>
      </c>
    </row>
    <row r="34">
      <c r="A34" s="18" t="n">
        <v>21</v>
      </c>
      <c r="B34" s="19" t="inlineStr">
        <is>
          <t xml:space="preserve">        Tubo Acero Negro Cédula 40 1½" para Gas (6 m)</t>
        </is>
      </c>
      <c r="C34" s="20" t="inlineStr">
        <is>
          <t>Comercial / Industrial</t>
        </is>
      </c>
      <c r="D34" s="18" t="inlineStr">
        <is>
          <t>Tubería Acero</t>
        </is>
      </c>
      <c r="E34" s="18" t="inlineStr">
        <is>
          <t>U</t>
        </is>
      </c>
      <c r="F34" s="21" t="n">
        <v>2</v>
      </c>
      <c r="G34" s="22" t="n">
        <v>49</v>
      </c>
      <c r="H34" s="22" t="n">
        <v>50.96</v>
      </c>
      <c r="I34" s="18" t="inlineStr">
        <is>
          <t>Megametales</t>
        </is>
      </c>
      <c r="J34" s="22" t="n">
        <v>54.39</v>
      </c>
      <c r="K34" s="18" t="inlineStr">
        <is>
          <t>Ferrisariato</t>
        </is>
      </c>
      <c r="L34" s="8">
        <f>F34*G34</f>
        <v/>
      </c>
      <c r="M34" s="145" t="inlineStr">
        <is>
          <t>GAS-D20-TUG-ACN-DN40</t>
        </is>
      </c>
      <c r="N34" s="18" t="inlineStr">
        <is>
          <t>Gas combustible (GLP / GN)</t>
        </is>
      </c>
      <c r="O34" s="18" t="inlineStr">
        <is>
          <t>Estimado DION · criterio de mercado Guayaquil 2026 (no verificado en tienda)</t>
        </is>
      </c>
      <c r="P34" s="18" t="inlineStr">
        <is>
          <t>oct-2026 (est.)</t>
        </is>
      </c>
      <c r="Q34" s="18" t="n">
        <v>3</v>
      </c>
    </row>
    <row r="35">
      <c r="A35" s="61" t="n">
        <v>22</v>
      </c>
      <c r="B35" s="62" t="inlineStr">
        <is>
          <t xml:space="preserve">        Tubo Acero Negro Cédula 40 2" para Gas (6 m)</t>
        </is>
      </c>
      <c r="C35" s="63" t="inlineStr">
        <is>
          <t>Comercial / Industrial</t>
        </is>
      </c>
      <c r="D35" s="61" t="inlineStr">
        <is>
          <t>Tubería Acero</t>
        </is>
      </c>
      <c r="E35" s="61" t="inlineStr">
        <is>
          <t>U</t>
        </is>
      </c>
      <c r="F35" s="64" t="n">
        <v>2</v>
      </c>
      <c r="G35" s="65" t="n">
        <v>66</v>
      </c>
      <c r="H35" s="65" t="n">
        <v>69.3</v>
      </c>
      <c r="I35" s="61" t="inlineStr">
        <is>
          <t>Megametales</t>
        </is>
      </c>
      <c r="J35" s="65" t="n">
        <v>72.59999999999999</v>
      </c>
      <c r="K35" s="61" t="inlineStr">
        <is>
          <t>Kywi / Megakywi</t>
        </is>
      </c>
      <c r="L35" s="66">
        <f>F35*G35</f>
        <v/>
      </c>
      <c r="M35" s="152" t="inlineStr">
        <is>
          <t>GAS-D20-TUG-ACN-DN50</t>
        </is>
      </c>
      <c r="N35" s="61" t="inlineStr">
        <is>
          <t>Gas combustible (GLP / GN)</t>
        </is>
      </c>
      <c r="O35" s="61" t="inlineStr">
        <is>
          <t>Estimado DION · criterio de mercado Guayaquil 2026 (no verificado en tienda)</t>
        </is>
      </c>
      <c r="P35" s="61" t="inlineStr">
        <is>
          <t>oct-2026 (est.)</t>
        </is>
      </c>
      <c r="Q35" s="61" t="n">
        <v>3</v>
      </c>
    </row>
    <row r="36">
      <c r="A36" s="58" t="inlineStr">
        <is>
          <t>EQUIPOS</t>
        </is>
      </c>
      <c r="B36" s="143" t="n"/>
      <c r="C36" s="143" t="n"/>
      <c r="D36" s="143" t="n"/>
      <c r="E36" s="143" t="n"/>
      <c r="F36" s="143" t="n"/>
      <c r="G36" s="143" t="n"/>
      <c r="H36" s="143" t="n"/>
      <c r="I36" s="143" t="n"/>
      <c r="J36" s="143" t="n"/>
      <c r="K36" s="143" t="n"/>
      <c r="L36" s="143" t="n"/>
      <c r="M36" s="143" t="n"/>
      <c r="N36" s="143" t="n"/>
      <c r="O36" s="143" t="n"/>
      <c r="P36" s="143" t="n"/>
      <c r="Q36" s="144" t="n"/>
    </row>
    <row r="37">
      <c r="A37" s="59" t="inlineStr">
        <is>
          <t xml:space="preserve">  ► CATEGORÍA: REGULADORES DE PRESIÓN Y MEDIDORES</t>
        </is>
      </c>
      <c r="B37" s="143" t="n"/>
      <c r="C37" s="143" t="n"/>
      <c r="D37" s="143" t="n"/>
      <c r="E37" s="143" t="n"/>
      <c r="F37" s="143" t="n"/>
      <c r="G37" s="143" t="n"/>
      <c r="H37" s="143" t="n"/>
      <c r="I37" s="143" t="n"/>
      <c r="J37" s="143" t="n"/>
      <c r="K37" s="143" t="n"/>
      <c r="L37" s="143" t="n"/>
      <c r="M37" s="143" t="n"/>
      <c r="N37" s="143" t="n"/>
      <c r="O37" s="143" t="n"/>
      <c r="P37" s="143" t="n"/>
      <c r="Q37" s="144" t="n"/>
    </row>
    <row r="38">
      <c r="A38" s="60" t="inlineStr">
        <is>
          <t xml:space="preserve">      • Subcategoría Especificada: Regulación de Gas</t>
        </is>
      </c>
      <c r="B38" s="143" t="n"/>
      <c r="C38" s="143" t="n"/>
      <c r="D38" s="143" t="n"/>
      <c r="E38" s="143" t="n"/>
      <c r="F38" s="143" t="n"/>
      <c r="G38" s="143" t="n"/>
      <c r="H38" s="143" t="n"/>
      <c r="I38" s="143" t="n"/>
      <c r="J38" s="143" t="n"/>
      <c r="K38" s="143" t="n"/>
      <c r="L38" s="143" t="n"/>
      <c r="M38" s="143" t="n"/>
      <c r="N38" s="143" t="n"/>
      <c r="O38" s="143" t="n"/>
      <c r="P38" s="143" t="n"/>
      <c r="Q38" s="144" t="n"/>
    </row>
    <row r="39">
      <c r="A39" s="18" t="n">
        <v>23</v>
      </c>
      <c r="B39" s="19" t="inlineStr">
        <is>
          <t xml:space="preserve">        Regulador de Presión de Gas GLP Alta/Baja 2-Stage</t>
        </is>
      </c>
      <c r="C39" s="20" t="inlineStr">
        <is>
          <t>Residencial / Comercial</t>
        </is>
      </c>
      <c r="D39" s="18" t="inlineStr">
        <is>
          <t>Reguladores Gas</t>
        </is>
      </c>
      <c r="E39" s="18" t="inlineStr">
        <is>
          <t>U</t>
        </is>
      </c>
      <c r="F39" s="21" t="n">
        <v>2</v>
      </c>
      <c r="G39" s="22" t="n">
        <v>38</v>
      </c>
      <c r="H39" s="22" t="n">
        <v>39.5</v>
      </c>
      <c r="I39" s="18" t="inlineStr">
        <is>
          <t>Megametales</t>
        </is>
      </c>
      <c r="J39" s="22" t="n">
        <v>42</v>
      </c>
      <c r="K39" s="18" t="inlineStr">
        <is>
          <t>Kywi / Megakywi</t>
        </is>
      </c>
      <c r="L39" s="8">
        <f>F39*G39</f>
        <v/>
      </c>
      <c r="M39" s="145" t="inlineStr">
        <is>
          <t>GAS-D20-RGG-REG-2E</t>
        </is>
      </c>
      <c r="N39" s="18" t="inlineStr">
        <is>
          <t>Gas combustible (GLP / GN)</t>
        </is>
      </c>
      <c r="O39" s="18" t="inlineStr">
        <is>
          <t>Estimado · base original del usuario (sin cotización verificada)</t>
        </is>
      </c>
      <c r="P39" s="18" t="inlineStr">
        <is>
          <t>oct-2026 (est.)</t>
        </is>
      </c>
      <c r="Q39" s="18" t="n"/>
    </row>
    <row r="40">
      <c r="A40" s="61" t="n">
        <v>24</v>
      </c>
      <c r="B40" s="62" t="inlineStr">
        <is>
          <t xml:space="preserve">        Medidor de Gas Diafragma G1.6 Monofásico Doméstico</t>
        </is>
      </c>
      <c r="C40" s="63" t="inlineStr">
        <is>
          <t>Residencial</t>
        </is>
      </c>
      <c r="D40" s="61" t="inlineStr">
        <is>
          <t>Medidores Gas</t>
        </is>
      </c>
      <c r="E40" s="61" t="inlineStr">
        <is>
          <t>U</t>
        </is>
      </c>
      <c r="F40" s="64" t="n">
        <v>1</v>
      </c>
      <c r="G40" s="65" t="n">
        <v>85</v>
      </c>
      <c r="H40" s="65" t="n">
        <v>88</v>
      </c>
      <c r="I40" s="61" t="inlineStr">
        <is>
          <t>Megametales</t>
        </is>
      </c>
      <c r="J40" s="65" t="n">
        <v>94</v>
      </c>
      <c r="K40" s="61" t="inlineStr">
        <is>
          <t>Kywi / Megakywi</t>
        </is>
      </c>
      <c r="L40" s="66">
        <f>F40*G40</f>
        <v/>
      </c>
      <c r="M40" s="152" t="inlineStr">
        <is>
          <t>GAS-D20-RGG-MED-G1P6</t>
        </is>
      </c>
      <c r="N40" s="61" t="inlineStr">
        <is>
          <t>Gas combustible (GLP / GN)</t>
        </is>
      </c>
      <c r="O40" s="61" t="inlineStr">
        <is>
          <t>Estimado · base original del usuario (sin cotización verificada)</t>
        </is>
      </c>
      <c r="P40" s="61" t="inlineStr">
        <is>
          <t>oct-2026 (est.)</t>
        </is>
      </c>
      <c r="Q40" s="61" t="n"/>
    </row>
    <row r="41">
      <c r="A41" s="60" t="inlineStr">
        <is>
          <t xml:space="preserve">      • Subcategoría Especificada: Reguladores, Medidores, Tanques Estacionarios y Cilindros</t>
        </is>
      </c>
      <c r="B41" s="143" t="n"/>
      <c r="C41" s="143" t="n"/>
      <c r="D41" s="143" t="n"/>
      <c r="E41" s="143" t="n"/>
      <c r="F41" s="143" t="n"/>
      <c r="G41" s="143" t="n"/>
      <c r="H41" s="143" t="n"/>
      <c r="I41" s="143" t="n"/>
      <c r="J41" s="143" t="n"/>
      <c r="K41" s="143" t="n"/>
      <c r="L41" s="143" t="n"/>
      <c r="M41" s="143" t="n"/>
      <c r="N41" s="143" t="n"/>
      <c r="O41" s="143" t="n"/>
      <c r="P41" s="143" t="n"/>
      <c r="Q41" s="144" t="n"/>
    </row>
    <row r="42">
      <c r="A42" s="18" t="n">
        <v>25</v>
      </c>
      <c r="B42" s="19" t="inlineStr">
        <is>
          <t xml:space="preserve">        Regulador de Gas GLP 1 Etapa Baja Presión</t>
        </is>
      </c>
      <c r="C42" s="20" t="inlineStr">
        <is>
          <t>Residencial</t>
        </is>
      </c>
      <c r="D42" s="18" t="inlineStr">
        <is>
          <t>Reguladores Gas</t>
        </is>
      </c>
      <c r="E42" s="18" t="inlineStr">
        <is>
          <t>U</t>
        </is>
      </c>
      <c r="F42" s="21" t="n">
        <v>1</v>
      </c>
      <c r="G42" s="22" t="n">
        <v>14</v>
      </c>
      <c r="H42" s="22" t="n">
        <v>14.42</v>
      </c>
      <c r="I42" s="18" t="inlineStr">
        <is>
          <t>Megametales</t>
        </is>
      </c>
      <c r="J42" s="22" t="n">
        <v>14.98</v>
      </c>
      <c r="K42" s="18" t="inlineStr">
        <is>
          <t>Ferrisariato</t>
        </is>
      </c>
      <c r="L42" s="8">
        <f>F42*G42</f>
        <v/>
      </c>
      <c r="M42" s="145" t="inlineStr">
        <is>
          <t>GAS-D20-RGG-REG-1E</t>
        </is>
      </c>
      <c r="N42" s="18" t="inlineStr">
        <is>
          <t>Gas combustible (GLP / GN)</t>
        </is>
      </c>
      <c r="O42" s="18" t="inlineStr">
        <is>
          <t>Estimado DION · criterio de mercado Guayaquil 2026 (no verificado en tienda)</t>
        </is>
      </c>
      <c r="P42" s="18" t="inlineStr">
        <is>
          <t>oct-2026 (est.)</t>
        </is>
      </c>
      <c r="Q42" s="18" t="n"/>
    </row>
    <row r="43">
      <c r="A43" s="61" t="n">
        <v>26</v>
      </c>
      <c r="B43" s="62" t="inlineStr">
        <is>
          <t xml:space="preserve">        Regulador Gas GLP Industrial Alta Presión (Primera Etapa)</t>
        </is>
      </c>
      <c r="C43" s="63" t="inlineStr">
        <is>
          <t>Comercial / Industrial</t>
        </is>
      </c>
      <c r="D43" s="61" t="inlineStr">
        <is>
          <t>Reguladores Gas</t>
        </is>
      </c>
      <c r="E43" s="61" t="inlineStr">
        <is>
          <t>U</t>
        </is>
      </c>
      <c r="F43" s="64" t="n">
        <v>1</v>
      </c>
      <c r="G43" s="65" t="n">
        <v>85</v>
      </c>
      <c r="H43" s="65" t="n">
        <v>87.55</v>
      </c>
      <c r="I43" s="61" t="inlineStr">
        <is>
          <t>Megametales</t>
        </is>
      </c>
      <c r="J43" s="65" t="n">
        <v>93.5</v>
      </c>
      <c r="K43" s="61" t="inlineStr">
        <is>
          <t>Kywi / Megakywi</t>
        </is>
      </c>
      <c r="L43" s="66">
        <f>F43*G43</f>
        <v/>
      </c>
      <c r="M43" s="152" t="inlineStr">
        <is>
          <t>GAS-D20-RGG-REG-UNI</t>
        </is>
      </c>
      <c r="N43" s="61" t="inlineStr">
        <is>
          <t>Gas combustible (GLP / GN)</t>
        </is>
      </c>
      <c r="O43" s="61" t="inlineStr">
        <is>
          <t>Estimado DION · criterio de mercado Guayaquil 2026 (no verificado en tienda)</t>
        </is>
      </c>
      <c r="P43" s="61" t="inlineStr">
        <is>
          <t>oct-2026 (est.)</t>
        </is>
      </c>
      <c r="Q43" s="61" t="n"/>
    </row>
    <row r="44">
      <c r="A44" s="18" t="n">
        <v>27</v>
      </c>
      <c r="B44" s="19" t="inlineStr">
        <is>
          <t xml:space="preserve">        Medidor de Gas Diafragma G4</t>
        </is>
      </c>
      <c r="C44" s="20" t="inlineStr">
        <is>
          <t>Residencial / Comercial</t>
        </is>
      </c>
      <c r="D44" s="18" t="inlineStr">
        <is>
          <t>Medidores Gas</t>
        </is>
      </c>
      <c r="E44" s="18" t="inlineStr">
        <is>
          <t>U</t>
        </is>
      </c>
      <c r="F44" s="21" t="n">
        <v>1</v>
      </c>
      <c r="G44" s="22" t="n">
        <v>125</v>
      </c>
      <c r="H44" s="22" t="n">
        <v>130</v>
      </c>
      <c r="I44" s="18" t="inlineStr">
        <is>
          <t>Megametales</t>
        </is>
      </c>
      <c r="J44" s="22" t="n">
        <v>138.75</v>
      </c>
      <c r="K44" s="18" t="inlineStr">
        <is>
          <t>Ferrisariato</t>
        </is>
      </c>
      <c r="L44" s="8">
        <f>F44*G44</f>
        <v/>
      </c>
      <c r="M44" s="145" t="inlineStr">
        <is>
          <t>GAS-D20-RGG-MED-G4</t>
        </is>
      </c>
      <c r="N44" s="18" t="inlineStr">
        <is>
          <t>Gas combustible (GLP / GN)</t>
        </is>
      </c>
      <c r="O44" s="18" t="inlineStr">
        <is>
          <t>Estimado DION · criterio de mercado Guayaquil 2026 (no verificado en tienda)</t>
        </is>
      </c>
      <c r="P44" s="18" t="inlineStr">
        <is>
          <t>oct-2026 (est.)</t>
        </is>
      </c>
      <c r="Q44" s="18" t="n"/>
    </row>
    <row r="45">
      <c r="A45" s="61" t="n">
        <v>28</v>
      </c>
      <c r="B45" s="62" t="inlineStr">
        <is>
          <t xml:space="preserve">        Medidor de Gas Diafragma G10</t>
        </is>
      </c>
      <c r="C45" s="63" t="inlineStr">
        <is>
          <t>Comercial</t>
        </is>
      </c>
      <c r="D45" s="61" t="inlineStr">
        <is>
          <t>Medidores Gas</t>
        </is>
      </c>
      <c r="E45" s="61" t="inlineStr">
        <is>
          <t>U</t>
        </is>
      </c>
      <c r="F45" s="64" t="n">
        <v>1</v>
      </c>
      <c r="G45" s="65" t="n">
        <v>320</v>
      </c>
      <c r="H45" s="65" t="n">
        <v>329.6</v>
      </c>
      <c r="I45" s="61" t="inlineStr">
        <is>
          <t>Megametales</t>
        </is>
      </c>
      <c r="J45" s="65" t="n">
        <v>352</v>
      </c>
      <c r="K45" s="61" t="inlineStr">
        <is>
          <t>Kywi / Megakywi</t>
        </is>
      </c>
      <c r="L45" s="66">
        <f>F45*G45</f>
        <v/>
      </c>
      <c r="M45" s="152" t="inlineStr">
        <is>
          <t>GAS-D20-RGG-MED-G10</t>
        </is>
      </c>
      <c r="N45" s="61" t="inlineStr">
        <is>
          <t>Gas combustible (GLP / GN)</t>
        </is>
      </c>
      <c r="O45" s="61" t="inlineStr">
        <is>
          <t>Estimado DION · criterio de mercado Guayaquil 2026 (no verificado en tienda)</t>
        </is>
      </c>
      <c r="P45" s="61" t="inlineStr">
        <is>
          <t>oct-2026 (est.)</t>
        </is>
      </c>
      <c r="Q45" s="61" t="n"/>
    </row>
    <row r="46">
      <c r="A46" s="18" t="n">
        <v>29</v>
      </c>
      <c r="B46" s="19" t="inlineStr">
        <is>
          <t xml:space="preserve">        Cilindro GLP Doméstico 15 kg (Envase)</t>
        </is>
      </c>
      <c r="C46" s="20" t="inlineStr">
        <is>
          <t>Residencial</t>
        </is>
      </c>
      <c r="D46" s="18" t="inlineStr">
        <is>
          <t>Cilindros GLP</t>
        </is>
      </c>
      <c r="E46" s="18" t="inlineStr">
        <is>
          <t>U</t>
        </is>
      </c>
      <c r="F46" s="21" t="n">
        <v>2</v>
      </c>
      <c r="G46" s="22" t="n">
        <v>48</v>
      </c>
      <c r="H46" s="22" t="n">
        <v>50.4</v>
      </c>
      <c r="I46" s="18" t="inlineStr">
        <is>
          <t>Megametales</t>
        </is>
      </c>
      <c r="J46" s="22" t="n">
        <v>53.28</v>
      </c>
      <c r="K46" s="18" t="inlineStr">
        <is>
          <t>Ferrisariato</t>
        </is>
      </c>
      <c r="L46" s="8">
        <f>F46*G46</f>
        <v/>
      </c>
      <c r="M46" s="145" t="inlineStr">
        <is>
          <t>GAS-D20-TGL-CIL-15KG</t>
        </is>
      </c>
      <c r="N46" s="18" t="inlineStr">
        <is>
          <t>Gas combustible (GLP / GN)</t>
        </is>
      </c>
      <c r="O46" s="18" t="inlineStr">
        <is>
          <t>Estimado DION · criterio de mercado Guayaquil 2026 (no verificado en tienda)</t>
        </is>
      </c>
      <c r="P46" s="18" t="inlineStr">
        <is>
          <t>oct-2026 (est.)</t>
        </is>
      </c>
      <c r="Q46" s="18" t="n"/>
    </row>
    <row r="47">
      <c r="A47" s="61" t="n">
        <v>30</v>
      </c>
      <c r="B47" s="62" t="inlineStr">
        <is>
          <t xml:space="preserve">        Cilindro GLP Industrial 45 kg (Envase)</t>
        </is>
      </c>
      <c r="C47" s="63" t="inlineStr">
        <is>
          <t>Comercial</t>
        </is>
      </c>
      <c r="D47" s="61" t="inlineStr">
        <is>
          <t>Cilindros GLP</t>
        </is>
      </c>
      <c r="E47" s="61" t="inlineStr">
        <is>
          <t>U</t>
        </is>
      </c>
      <c r="F47" s="64" t="n">
        <v>2</v>
      </c>
      <c r="G47" s="65" t="n">
        <v>135</v>
      </c>
      <c r="H47" s="65" t="n">
        <v>139.05</v>
      </c>
      <c r="I47" s="61" t="inlineStr">
        <is>
          <t>Megametales</t>
        </is>
      </c>
      <c r="J47" s="65" t="n">
        <v>144.45</v>
      </c>
      <c r="K47" s="61" t="inlineStr">
        <is>
          <t>Kywi / Megakywi</t>
        </is>
      </c>
      <c r="L47" s="66">
        <f>F47*G47</f>
        <v/>
      </c>
      <c r="M47" s="152" t="inlineStr">
        <is>
          <t>GAS-D20-TGL-CIL-45KG</t>
        </is>
      </c>
      <c r="N47" s="61" t="inlineStr">
        <is>
          <t>Gas combustible (GLP / GN)</t>
        </is>
      </c>
      <c r="O47" s="61" t="inlineStr">
        <is>
          <t>Estimado DION · criterio de mercado Guayaquil 2026 (no verificado en tienda)</t>
        </is>
      </c>
      <c r="P47" s="61" t="inlineStr">
        <is>
          <t>oct-2026 (est.)</t>
        </is>
      </c>
      <c r="Q47" s="61" t="n"/>
    </row>
    <row r="48">
      <c r="A48" s="18" t="n">
        <v>31</v>
      </c>
      <c r="B48" s="19" t="inlineStr">
        <is>
          <t xml:space="preserve">        Manifold / Colector para 4 Cilindros con Válvulas</t>
        </is>
      </c>
      <c r="C48" s="20" t="inlineStr">
        <is>
          <t>Comercial</t>
        </is>
      </c>
      <c r="D48" s="18" t="inlineStr">
        <is>
          <t>Colectores</t>
        </is>
      </c>
      <c r="E48" s="18" t="inlineStr">
        <is>
          <t>U</t>
        </is>
      </c>
      <c r="F48" s="21" t="n">
        <v>1</v>
      </c>
      <c r="G48" s="22" t="n">
        <v>240</v>
      </c>
      <c r="H48" s="22" t="n">
        <v>244.8</v>
      </c>
      <c r="I48" s="18" t="inlineStr">
        <is>
          <t>Megametales</t>
        </is>
      </c>
      <c r="J48" s="22" t="n">
        <v>261.6</v>
      </c>
      <c r="K48" s="18" t="inlineStr">
        <is>
          <t>Ferrisariato</t>
        </is>
      </c>
      <c r="L48" s="8">
        <f>F48*G48</f>
        <v/>
      </c>
      <c r="M48" s="145" t="inlineStr">
        <is>
          <t>GAS-D20-TGL-MAN-4C</t>
        </is>
      </c>
      <c r="N48" s="18" t="inlineStr">
        <is>
          <t>Gas combustible (GLP / GN)</t>
        </is>
      </c>
      <c r="O48" s="18" t="inlineStr">
        <is>
          <t>Estimado DION · criterio de mercado Guayaquil 2026 (no verificado en tienda)</t>
        </is>
      </c>
      <c r="P48" s="18" t="inlineStr">
        <is>
          <t>oct-2026 (est.)</t>
        </is>
      </c>
      <c r="Q48" s="18" t="n"/>
    </row>
    <row r="49">
      <c r="A49" s="61" t="n">
        <v>32</v>
      </c>
      <c r="B49" s="62" t="inlineStr">
        <is>
          <t xml:space="preserve">        Caseta de Cilindros GLP Ventilada (Malla + Cubierta)</t>
        </is>
      </c>
      <c r="C49" s="63" t="inlineStr">
        <is>
          <t>Comercial</t>
        </is>
      </c>
      <c r="D49" s="61" t="inlineStr">
        <is>
          <t>Casetas</t>
        </is>
      </c>
      <c r="E49" s="61" t="inlineStr">
        <is>
          <t>U</t>
        </is>
      </c>
      <c r="F49" s="64" t="n">
        <v>0</v>
      </c>
      <c r="G49" s="65" t="n">
        <v>650</v>
      </c>
      <c r="H49" s="65" t="n">
        <v>682.5</v>
      </c>
      <c r="I49" s="61" t="inlineStr">
        <is>
          <t>Megametales</t>
        </is>
      </c>
      <c r="J49" s="65" t="n">
        <v>702</v>
      </c>
      <c r="K49" s="61" t="inlineStr">
        <is>
          <t>Kywi / Megakywi</t>
        </is>
      </c>
      <c r="L49" s="66">
        <f>F49*G49</f>
        <v/>
      </c>
      <c r="M49" s="152" t="inlineStr">
        <is>
          <t>GAS-D20-TGL-CAS-CIL</t>
        </is>
      </c>
      <c r="N49" s="61" t="inlineStr">
        <is>
          <t>Gas combustible (GLP / GN)</t>
        </is>
      </c>
      <c r="O49" s="61" t="inlineStr">
        <is>
          <t>Estimado DION · criterio de mercado Guayaquil 2026 (no verificado en tienda)</t>
        </is>
      </c>
      <c r="P49" s="61" t="inlineStr">
        <is>
          <t>oct-2026 (est.)</t>
        </is>
      </c>
      <c r="Q49" s="61" t="n"/>
    </row>
    <row r="50">
      <c r="A50" s="18" t="n">
        <v>33</v>
      </c>
      <c r="B50" s="19" t="inlineStr">
        <is>
          <t xml:space="preserve">        Tanque Estacionario GLP 120 gal ASME</t>
        </is>
      </c>
      <c r="C50" s="20" t="inlineStr">
        <is>
          <t>Comercial</t>
        </is>
      </c>
      <c r="D50" s="18" t="inlineStr">
        <is>
          <t>Tanques Estacionarios</t>
        </is>
      </c>
      <c r="E50" s="18" t="inlineStr">
        <is>
          <t>U</t>
        </is>
      </c>
      <c r="F50" s="21" t="n">
        <v>0</v>
      </c>
      <c r="G50" s="22" t="n">
        <v>1450</v>
      </c>
      <c r="H50" s="22" t="n">
        <v>1479</v>
      </c>
      <c r="I50" s="18" t="inlineStr">
        <is>
          <t>Megametales</t>
        </is>
      </c>
      <c r="J50" s="22" t="n">
        <v>1566</v>
      </c>
      <c r="K50" s="18" t="inlineStr">
        <is>
          <t>Ferrisariato</t>
        </is>
      </c>
      <c r="L50" s="8">
        <f>F50*G50</f>
        <v/>
      </c>
      <c r="M50" s="145" t="inlineStr">
        <is>
          <t>GAS-D20-TGL-EST-0120G</t>
        </is>
      </c>
      <c r="N50" s="18" t="inlineStr">
        <is>
          <t>Gas combustible (GLP / GN)</t>
        </is>
      </c>
      <c r="O50" s="18" t="inlineStr">
        <is>
          <t>Estimado DION · criterio de mercado Guayaquil 2026 (no verificado en tienda)</t>
        </is>
      </c>
      <c r="P50" s="18" t="inlineStr">
        <is>
          <t>oct-2026 (est.)</t>
        </is>
      </c>
      <c r="Q50" s="18" t="n"/>
    </row>
    <row r="51">
      <c r="A51" s="61" t="n">
        <v>34</v>
      </c>
      <c r="B51" s="62" t="inlineStr">
        <is>
          <t xml:space="preserve">        Tanque Estacionario GLP 250 gal ASME</t>
        </is>
      </c>
      <c r="C51" s="63" t="inlineStr">
        <is>
          <t>Comercial</t>
        </is>
      </c>
      <c r="D51" s="61" t="inlineStr">
        <is>
          <t>Tanques Estacionarios</t>
        </is>
      </c>
      <c r="E51" s="61" t="inlineStr">
        <is>
          <t>U</t>
        </is>
      </c>
      <c r="F51" s="64" t="n">
        <v>0</v>
      </c>
      <c r="G51" s="65" t="n">
        <v>2400</v>
      </c>
      <c r="H51" s="65" t="n">
        <v>2472</v>
      </c>
      <c r="I51" s="61" t="inlineStr">
        <is>
          <t>Megametales</t>
        </is>
      </c>
      <c r="J51" s="65" t="n">
        <v>2568</v>
      </c>
      <c r="K51" s="61" t="inlineStr">
        <is>
          <t>Kywi / Megakywi</t>
        </is>
      </c>
      <c r="L51" s="66">
        <f>F51*G51</f>
        <v/>
      </c>
      <c r="M51" s="152" t="inlineStr">
        <is>
          <t>GAS-D20-TGL-EST-0250G</t>
        </is>
      </c>
      <c r="N51" s="61" t="inlineStr">
        <is>
          <t>Gas combustible (GLP / GN)</t>
        </is>
      </c>
      <c r="O51" s="61" t="inlineStr">
        <is>
          <t>Estimado DION · criterio de mercado Guayaquil 2026 (no verificado en tienda)</t>
        </is>
      </c>
      <c r="P51" s="61" t="inlineStr">
        <is>
          <t>oct-2026 (est.)</t>
        </is>
      </c>
      <c r="Q51" s="61" t="n"/>
    </row>
    <row r="52">
      <c r="A52" s="18" t="n">
        <v>35</v>
      </c>
      <c r="B52" s="19" t="inlineStr">
        <is>
          <t xml:space="preserve">        Tanque Estacionario GLP 500 gal ASME</t>
        </is>
      </c>
      <c r="C52" s="20" t="inlineStr">
        <is>
          <t>Comercial / Industrial</t>
        </is>
      </c>
      <c r="D52" s="18" t="inlineStr">
        <is>
          <t>Tanques Estacionarios</t>
        </is>
      </c>
      <c r="E52" s="18" t="inlineStr">
        <is>
          <t>U</t>
        </is>
      </c>
      <c r="F52" s="21" t="n">
        <v>0</v>
      </c>
      <c r="G52" s="22" t="n">
        <v>3900</v>
      </c>
      <c r="H52" s="22" t="n">
        <v>4095</v>
      </c>
      <c r="I52" s="18" t="inlineStr">
        <is>
          <t>Megametales</t>
        </is>
      </c>
      <c r="J52" s="22" t="n">
        <v>4290</v>
      </c>
      <c r="K52" s="18" t="inlineStr">
        <is>
          <t>Ferrisariato</t>
        </is>
      </c>
      <c r="L52" s="8">
        <f>F52*G52</f>
        <v/>
      </c>
      <c r="M52" s="145" t="inlineStr">
        <is>
          <t>GAS-D20-TGL-EST-0500G</t>
        </is>
      </c>
      <c r="N52" s="18" t="inlineStr">
        <is>
          <t>Gas combustible (GLP / GN)</t>
        </is>
      </c>
      <c r="O52" s="18" t="inlineStr">
        <is>
          <t>Estimado DION · criterio de mercado Guayaquil 2026 (no verificado en tienda)</t>
        </is>
      </c>
      <c r="P52" s="18" t="inlineStr">
        <is>
          <t>oct-2026 (est.)</t>
        </is>
      </c>
      <c r="Q52" s="18" t="n"/>
    </row>
    <row r="53">
      <c r="A53" s="61" t="n">
        <v>36</v>
      </c>
      <c r="B53" s="62" t="inlineStr">
        <is>
          <t xml:space="preserve">        Tanque Estacionario GLP 1000 gal ASME</t>
        </is>
      </c>
      <c r="C53" s="63" t="inlineStr">
        <is>
          <t>Industrial / Hospitalario</t>
        </is>
      </c>
      <c r="D53" s="61" t="inlineStr">
        <is>
          <t>Tanques Estacionarios</t>
        </is>
      </c>
      <c r="E53" s="61" t="inlineStr">
        <is>
          <t>U</t>
        </is>
      </c>
      <c r="F53" s="64" t="n">
        <v>0</v>
      </c>
      <c r="G53" s="65" t="n">
        <v>6900</v>
      </c>
      <c r="H53" s="65" t="n">
        <v>7245</v>
      </c>
      <c r="I53" s="61" t="inlineStr">
        <is>
          <t>Megametales</t>
        </is>
      </c>
      <c r="J53" s="65" t="n">
        <v>7521</v>
      </c>
      <c r="K53" s="61" t="inlineStr">
        <is>
          <t>Kywi / Megakywi</t>
        </is>
      </c>
      <c r="L53" s="66">
        <f>F53*G53</f>
        <v/>
      </c>
      <c r="M53" s="152" t="inlineStr">
        <is>
          <t>GAS-D20-TGL-EST-1000G</t>
        </is>
      </c>
      <c r="N53" s="61" t="inlineStr">
        <is>
          <t>Gas combustible (GLP / GN)</t>
        </is>
      </c>
      <c r="O53" s="61" t="inlineStr">
        <is>
          <t>Estimado DION · criterio de mercado Guayaquil 2026 (no verificado en tienda)</t>
        </is>
      </c>
      <c r="P53" s="61" t="inlineStr">
        <is>
          <t>oct-2026 (est.)</t>
        </is>
      </c>
      <c r="Q53" s="61" t="n"/>
    </row>
    <row r="54">
      <c r="A54" s="58" t="inlineStr">
        <is>
          <t>CONEXIONES</t>
        </is>
      </c>
      <c r="B54" s="143" t="n"/>
      <c r="C54" s="143" t="n"/>
      <c r="D54" s="143" t="n"/>
      <c r="E54" s="143" t="n"/>
      <c r="F54" s="143" t="n"/>
      <c r="G54" s="143" t="n"/>
      <c r="H54" s="143" t="n"/>
      <c r="I54" s="143" t="n"/>
      <c r="J54" s="143" t="n"/>
      <c r="K54" s="143" t="n"/>
      <c r="L54" s="143" t="n"/>
      <c r="M54" s="143" t="n"/>
      <c r="N54" s="143" t="n"/>
      <c r="O54" s="143" t="n"/>
      <c r="P54" s="143" t="n"/>
      <c r="Q54" s="144" t="n"/>
    </row>
    <row r="55">
      <c r="A55" s="59" t="inlineStr">
        <is>
          <t xml:space="preserve">  ► CATEGORÍA: CODOS, TEES, UNIONES Y VÁLVULAS NPT</t>
        </is>
      </c>
      <c r="B55" s="143" t="n"/>
      <c r="C55" s="143" t="n"/>
      <c r="D55" s="143" t="n"/>
      <c r="E55" s="143" t="n"/>
      <c r="F55" s="143" t="n"/>
      <c r="G55" s="143" t="n"/>
      <c r="H55" s="143" t="n"/>
      <c r="I55" s="143" t="n"/>
      <c r="J55" s="143" t="n"/>
      <c r="K55" s="143" t="n"/>
      <c r="L55" s="143" t="n"/>
      <c r="M55" s="143" t="n"/>
      <c r="N55" s="143" t="n"/>
      <c r="O55" s="143" t="n"/>
      <c r="P55" s="143" t="n"/>
      <c r="Q55" s="144" t="n"/>
    </row>
    <row r="56">
      <c r="A56" s="60" t="inlineStr">
        <is>
          <t xml:space="preserve">      • Subcategoría Especificada: Conexiones Crimpadas y Valvulería NPT</t>
        </is>
      </c>
      <c r="B56" s="143" t="n"/>
      <c r="C56" s="143" t="n"/>
      <c r="D56" s="143" t="n"/>
      <c r="E56" s="143" t="n"/>
      <c r="F56" s="143" t="n"/>
      <c r="G56" s="143" t="n"/>
      <c r="H56" s="143" t="n"/>
      <c r="I56" s="143" t="n"/>
      <c r="J56" s="143" t="n"/>
      <c r="K56" s="143" t="n"/>
      <c r="L56" s="143" t="n"/>
      <c r="M56" s="143" t="n"/>
      <c r="N56" s="143" t="n"/>
      <c r="O56" s="143" t="n"/>
      <c r="P56" s="143" t="n"/>
      <c r="Q56" s="144" t="n"/>
    </row>
    <row r="57">
      <c r="A57" s="18" t="n">
        <v>37</v>
      </c>
      <c r="B57" s="19" t="inlineStr">
        <is>
          <t xml:space="preserve">        Codo PE-AL-PE 20mm Crimpado / Prensado Gas</t>
        </is>
      </c>
      <c r="C57" s="20" t="inlineStr">
        <is>
          <t>Residencial / Comercial</t>
        </is>
      </c>
      <c r="D57" s="18" t="inlineStr">
        <is>
          <t>Codos Crimpados</t>
        </is>
      </c>
      <c r="E57" s="18" t="inlineStr">
        <is>
          <t>U</t>
        </is>
      </c>
      <c r="F57" s="21" t="n">
        <v>15</v>
      </c>
      <c r="G57" s="22" t="n">
        <v>3.2</v>
      </c>
      <c r="H57" s="22" t="n">
        <v>3.35</v>
      </c>
      <c r="I57" s="18" t="inlineStr">
        <is>
          <t>Megametales</t>
        </is>
      </c>
      <c r="J57" s="22" t="n">
        <v>3.6</v>
      </c>
      <c r="K57" s="18" t="inlineStr">
        <is>
          <t>Ferrisariato</t>
        </is>
      </c>
      <c r="L57" s="8">
        <f>F57*G57</f>
        <v/>
      </c>
      <c r="M57" s="145" t="inlineStr">
        <is>
          <t>GAS-D20-ACG-PAP-C90-020</t>
        </is>
      </c>
      <c r="N57" s="18" t="inlineStr">
        <is>
          <t>Gas combustible (GLP / GN)</t>
        </is>
      </c>
      <c r="O57" s="18" t="inlineStr">
        <is>
          <t>Estimado · base original del usuario (sin cotización verificada)</t>
        </is>
      </c>
      <c r="P57" s="18" t="inlineStr">
        <is>
          <t>oct-2026 (est.)</t>
        </is>
      </c>
      <c r="Q57" s="18" t="n"/>
    </row>
    <row r="58">
      <c r="A58" s="61" t="n">
        <v>38</v>
      </c>
      <c r="B58" s="62" t="inlineStr">
        <is>
          <t xml:space="preserve">        Válvula de Bola Aprobada para Gas GLP ¾" Rosca NPT</t>
        </is>
      </c>
      <c r="C58" s="63" t="inlineStr">
        <is>
          <t>Residencial / Comercial / Ind</t>
        </is>
      </c>
      <c r="D58" s="61" t="inlineStr">
        <is>
          <t>Válvulas Gas</t>
        </is>
      </c>
      <c r="E58" s="61" t="inlineStr">
        <is>
          <t>U</t>
        </is>
      </c>
      <c r="F58" s="64" t="n">
        <v>4</v>
      </c>
      <c r="G58" s="65" t="n">
        <v>14.5</v>
      </c>
      <c r="H58" s="65" t="n">
        <v>15</v>
      </c>
      <c r="I58" s="61" t="inlineStr">
        <is>
          <t>Megametales</t>
        </is>
      </c>
      <c r="J58" s="65" t="n">
        <v>16.2</v>
      </c>
      <c r="K58" s="61" t="inlineStr">
        <is>
          <t>Ferrisariato</t>
        </is>
      </c>
      <c r="L58" s="66">
        <f>F58*G58</f>
        <v/>
      </c>
      <c r="M58" s="152" t="inlineStr">
        <is>
          <t>GAS-D20-RGG-VAL-BOL-34</t>
        </is>
      </c>
      <c r="N58" s="61" t="inlineStr">
        <is>
          <t>Gas combustible (GLP / GN)</t>
        </is>
      </c>
      <c r="O58" s="61" t="inlineStr">
        <is>
          <t>Estimado · base original del usuario (sin cotización verificada)</t>
        </is>
      </c>
      <c r="P58" s="61" t="inlineStr">
        <is>
          <t>oct-2026 (est.)</t>
        </is>
      </c>
      <c r="Q58" s="61" t="n"/>
    </row>
    <row r="59">
      <c r="A59" s="60" t="inlineStr">
        <is>
          <t xml:space="preserve">      • Subcategoría Especificada: Accesorios por Diámetro y Válvulas</t>
        </is>
      </c>
      <c r="B59" s="143" t="n"/>
      <c r="C59" s="143" t="n"/>
      <c r="D59" s="143" t="n"/>
      <c r="E59" s="143" t="n"/>
      <c r="F59" s="143" t="n"/>
      <c r="G59" s="143" t="n"/>
      <c r="H59" s="143" t="n"/>
      <c r="I59" s="143" t="n"/>
      <c r="J59" s="143" t="n"/>
      <c r="K59" s="143" t="n"/>
      <c r="L59" s="143" t="n"/>
      <c r="M59" s="143" t="n"/>
      <c r="N59" s="143" t="n"/>
      <c r="O59" s="143" t="n"/>
      <c r="P59" s="143" t="n"/>
      <c r="Q59" s="144" t="n"/>
    </row>
    <row r="60">
      <c r="A60" s="18" t="n">
        <v>39</v>
      </c>
      <c r="B60" s="19" t="inlineStr">
        <is>
          <t xml:space="preserve">        Codo 90° Cobre Soldar ½" (Gas)</t>
        </is>
      </c>
      <c r="C60" s="20" t="inlineStr">
        <is>
          <t>Residencial / Comercial</t>
        </is>
      </c>
      <c r="D60" s="18" t="inlineStr">
        <is>
          <t>Codo 90° Cobre</t>
        </is>
      </c>
      <c r="E60" s="18" t="inlineStr">
        <is>
          <t>U</t>
        </is>
      </c>
      <c r="F60" s="21" t="n">
        <v>6</v>
      </c>
      <c r="G60" s="22" t="n">
        <v>0.95</v>
      </c>
      <c r="H60" s="22" t="n">
        <v>1</v>
      </c>
      <c r="I60" s="18" t="inlineStr">
        <is>
          <t>Megametales</t>
        </is>
      </c>
      <c r="J60" s="22" t="n">
        <v>1.04</v>
      </c>
      <c r="K60" s="18" t="inlineStr">
        <is>
          <t>Ferrisariato</t>
        </is>
      </c>
      <c r="L60" s="8">
        <f>F60*G60</f>
        <v/>
      </c>
      <c r="M60" s="145" t="inlineStr">
        <is>
          <t>GAS-D20-ACG-COB-C90-DN15</t>
        </is>
      </c>
      <c r="N60" s="18" t="inlineStr">
        <is>
          <t>Gas combustible (GLP / GN)</t>
        </is>
      </c>
      <c r="O60" s="18" t="inlineStr">
        <is>
          <t>Estimado DION · criterio de mercado Guayaquil 2026 (no verificado en tienda)</t>
        </is>
      </c>
      <c r="P60" s="18" t="inlineStr">
        <is>
          <t>oct-2026 (est.)</t>
        </is>
      </c>
      <c r="Q60" s="18" t="n"/>
    </row>
    <row r="61">
      <c r="A61" s="61" t="n">
        <v>40</v>
      </c>
      <c r="B61" s="62" t="inlineStr">
        <is>
          <t xml:space="preserve">        Codo 90° Cobre Soldar ¾" (Gas)</t>
        </is>
      </c>
      <c r="C61" s="63" t="inlineStr">
        <is>
          <t>Residencial / Comercial</t>
        </is>
      </c>
      <c r="D61" s="61" t="inlineStr">
        <is>
          <t>Codo 90° Cobre</t>
        </is>
      </c>
      <c r="E61" s="61" t="inlineStr">
        <is>
          <t>U</t>
        </is>
      </c>
      <c r="F61" s="64" t="n">
        <v>6</v>
      </c>
      <c r="G61" s="65" t="n">
        <v>2.1</v>
      </c>
      <c r="H61" s="65" t="n">
        <v>2.16</v>
      </c>
      <c r="I61" s="61" t="inlineStr">
        <is>
          <t>Megametales</t>
        </is>
      </c>
      <c r="J61" s="65" t="n">
        <v>2.29</v>
      </c>
      <c r="K61" s="61" t="inlineStr">
        <is>
          <t>Kywi / Megakywi</t>
        </is>
      </c>
      <c r="L61" s="66">
        <f>F61*G61</f>
        <v/>
      </c>
      <c r="M61" s="152" t="inlineStr">
        <is>
          <t>GAS-D20-ACG-COB-C90-DN20</t>
        </is>
      </c>
      <c r="N61" s="61" t="inlineStr">
        <is>
          <t>Gas combustible (GLP / GN)</t>
        </is>
      </c>
      <c r="O61" s="61" t="inlineStr">
        <is>
          <t>Estimado DION · criterio de mercado Guayaquil 2026 (no verificado en tienda)</t>
        </is>
      </c>
      <c r="P61" s="61" t="inlineStr">
        <is>
          <t>oct-2026 (est.)</t>
        </is>
      </c>
      <c r="Q61" s="61" t="n"/>
    </row>
    <row r="62">
      <c r="A62" s="18" t="n">
        <v>41</v>
      </c>
      <c r="B62" s="19" t="inlineStr">
        <is>
          <t xml:space="preserve">        Tee Cobre Soldar ½" (Gas)</t>
        </is>
      </c>
      <c r="C62" s="20" t="inlineStr">
        <is>
          <t>Residencial / Comercial</t>
        </is>
      </c>
      <c r="D62" s="18" t="inlineStr">
        <is>
          <t>Tee Cobre</t>
        </is>
      </c>
      <c r="E62" s="18" t="inlineStr">
        <is>
          <t>U</t>
        </is>
      </c>
      <c r="F62" s="21" t="n">
        <v>6</v>
      </c>
      <c r="G62" s="22" t="n">
        <v>1.35</v>
      </c>
      <c r="H62" s="22" t="n">
        <v>1.42</v>
      </c>
      <c r="I62" s="18" t="inlineStr">
        <is>
          <t>Megametales</t>
        </is>
      </c>
      <c r="J62" s="22" t="n">
        <v>1.46</v>
      </c>
      <c r="K62" s="18" t="inlineStr">
        <is>
          <t>Ferrisariato</t>
        </is>
      </c>
      <c r="L62" s="8">
        <f>F62*G62</f>
        <v/>
      </c>
      <c r="M62" s="145" t="inlineStr">
        <is>
          <t>GAS-D20-ACG-COB-TEE-DN15</t>
        </is>
      </c>
      <c r="N62" s="18" t="inlineStr">
        <is>
          <t>Gas combustible (GLP / GN)</t>
        </is>
      </c>
      <c r="O62" s="18" t="inlineStr">
        <is>
          <t>Estimado DION · criterio de mercado Guayaquil 2026 (no verificado en tienda)</t>
        </is>
      </c>
      <c r="P62" s="18" t="inlineStr">
        <is>
          <t>oct-2026 (est.)</t>
        </is>
      </c>
      <c r="Q62" s="18" t="n"/>
    </row>
    <row r="63">
      <c r="A63" s="61" t="n">
        <v>42</v>
      </c>
      <c r="B63" s="62" t="inlineStr">
        <is>
          <t xml:space="preserve">        Tee Cobre Soldar ¾" (Gas)</t>
        </is>
      </c>
      <c r="C63" s="63" t="inlineStr">
        <is>
          <t>Residencial / Comercial</t>
        </is>
      </c>
      <c r="D63" s="61" t="inlineStr">
        <is>
          <t>Tee Cobre</t>
        </is>
      </c>
      <c r="E63" s="61" t="inlineStr">
        <is>
          <t>U</t>
        </is>
      </c>
      <c r="F63" s="64" t="n">
        <v>6</v>
      </c>
      <c r="G63" s="65" t="n">
        <v>2.9</v>
      </c>
      <c r="H63" s="65" t="n">
        <v>3.04</v>
      </c>
      <c r="I63" s="61" t="inlineStr">
        <is>
          <t>Megametales</t>
        </is>
      </c>
      <c r="J63" s="65" t="n">
        <v>3.22</v>
      </c>
      <c r="K63" s="61" t="inlineStr">
        <is>
          <t>Kywi / Megakywi</t>
        </is>
      </c>
      <c r="L63" s="66">
        <f>F63*G63</f>
        <v/>
      </c>
      <c r="M63" s="152" t="inlineStr">
        <is>
          <t>GAS-D20-ACG-COB-TEE-DN20</t>
        </is>
      </c>
      <c r="N63" s="61" t="inlineStr">
        <is>
          <t>Gas combustible (GLP / GN)</t>
        </is>
      </c>
      <c r="O63" s="61" t="inlineStr">
        <is>
          <t>Estimado DION · criterio de mercado Guayaquil 2026 (no verificado en tienda)</t>
        </is>
      </c>
      <c r="P63" s="61" t="inlineStr">
        <is>
          <t>oct-2026 (est.)</t>
        </is>
      </c>
      <c r="Q63" s="61" t="n"/>
    </row>
    <row r="64">
      <c r="A64" s="18" t="n">
        <v>43</v>
      </c>
      <c r="B64" s="19" t="inlineStr">
        <is>
          <t xml:space="preserve">        Unión Cobre Soldar ½" (Gas)</t>
        </is>
      </c>
      <c r="C64" s="20" t="inlineStr">
        <is>
          <t>Residencial / Comercial</t>
        </is>
      </c>
      <c r="D64" s="18" t="inlineStr">
        <is>
          <t>Unión Cobre</t>
        </is>
      </c>
      <c r="E64" s="18" t="inlineStr">
        <is>
          <t>U</t>
        </is>
      </c>
      <c r="F64" s="21" t="n">
        <v>6</v>
      </c>
      <c r="G64" s="22" t="n">
        <v>0.55</v>
      </c>
      <c r="H64" s="22" t="n">
        <v>0.58</v>
      </c>
      <c r="I64" s="18" t="inlineStr">
        <is>
          <t>Megametales</t>
        </is>
      </c>
      <c r="J64" s="22" t="n">
        <v>0.59</v>
      </c>
      <c r="K64" s="18" t="inlineStr">
        <is>
          <t>Ferrisariato</t>
        </is>
      </c>
      <c r="L64" s="8">
        <f>F64*G64</f>
        <v/>
      </c>
      <c r="M64" s="145" t="inlineStr">
        <is>
          <t>GAS-D20-ACG-COB-UNI-DN15</t>
        </is>
      </c>
      <c r="N64" s="18" t="inlineStr">
        <is>
          <t>Gas combustible (GLP / GN)</t>
        </is>
      </c>
      <c r="O64" s="18" t="inlineStr">
        <is>
          <t>Estimado DION · criterio de mercado Guayaquil 2026 (no verificado en tienda)</t>
        </is>
      </c>
      <c r="P64" s="18" t="inlineStr">
        <is>
          <t>oct-2026 (est.)</t>
        </is>
      </c>
      <c r="Q64" s="18" t="n"/>
    </row>
    <row r="65">
      <c r="A65" s="61" t="n">
        <v>44</v>
      </c>
      <c r="B65" s="62" t="inlineStr">
        <is>
          <t xml:space="preserve">        Tee PE-AL-PE Prensar Gas 20 mm</t>
        </is>
      </c>
      <c r="C65" s="63" t="inlineStr">
        <is>
          <t>Residencial / Comercial</t>
        </is>
      </c>
      <c r="D65" s="61" t="inlineStr">
        <is>
          <t>Tees Crimpadas</t>
        </is>
      </c>
      <c r="E65" s="61" t="inlineStr">
        <is>
          <t>U</t>
        </is>
      </c>
      <c r="F65" s="64" t="n">
        <v>4</v>
      </c>
      <c r="G65" s="65" t="n">
        <v>4.6</v>
      </c>
      <c r="H65" s="65" t="n">
        <v>4.69</v>
      </c>
      <c r="I65" s="61" t="inlineStr">
        <is>
          <t>Megametales</t>
        </is>
      </c>
      <c r="J65" s="65" t="n">
        <v>5.11</v>
      </c>
      <c r="K65" s="61" t="inlineStr">
        <is>
          <t>Kywi / Megakywi</t>
        </is>
      </c>
      <c r="L65" s="66">
        <f>F65*G65</f>
        <v/>
      </c>
      <c r="M65" s="152" t="inlineStr">
        <is>
          <t>GAS-D20-ACG-PAP-TEE-020</t>
        </is>
      </c>
      <c r="N65" s="61" t="inlineStr">
        <is>
          <t>Gas combustible (GLP / GN)</t>
        </is>
      </c>
      <c r="O65" s="61" t="inlineStr">
        <is>
          <t>Estimado DION · criterio de mercado Guayaquil 2026 (no verificado en tienda)</t>
        </is>
      </c>
      <c r="P65" s="61" t="inlineStr">
        <is>
          <t>oct-2026 (est.)</t>
        </is>
      </c>
      <c r="Q65" s="61" t="n"/>
    </row>
    <row r="66">
      <c r="A66" s="18" t="n">
        <v>45</v>
      </c>
      <c r="B66" s="19" t="inlineStr">
        <is>
          <t xml:space="preserve">        Unión PE-AL-PE Prensar Gas 20 mm</t>
        </is>
      </c>
      <c r="C66" s="20" t="inlineStr">
        <is>
          <t>Residencial / Comercial</t>
        </is>
      </c>
      <c r="D66" s="18" t="inlineStr">
        <is>
          <t>Uniones Crimpadas</t>
        </is>
      </c>
      <c r="E66" s="18" t="inlineStr">
        <is>
          <t>U</t>
        </is>
      </c>
      <c r="F66" s="21" t="n">
        <v>4</v>
      </c>
      <c r="G66" s="22" t="n">
        <v>2.9</v>
      </c>
      <c r="H66" s="22" t="n">
        <v>2.96</v>
      </c>
      <c r="I66" s="18" t="inlineStr">
        <is>
          <t>Megametales</t>
        </is>
      </c>
      <c r="J66" s="22" t="n">
        <v>3.1</v>
      </c>
      <c r="K66" s="18" t="inlineStr">
        <is>
          <t>Ferrisariato</t>
        </is>
      </c>
      <c r="L66" s="8">
        <f>F66*G66</f>
        <v/>
      </c>
      <c r="M66" s="145" t="inlineStr">
        <is>
          <t>GAS-D20-ACG-PAP-UNI-020</t>
        </is>
      </c>
      <c r="N66" s="18" t="inlineStr">
        <is>
          <t>Gas combustible (GLP / GN)</t>
        </is>
      </c>
      <c r="O66" s="18" t="inlineStr">
        <is>
          <t>Estimado DION · criterio de mercado Guayaquil 2026 (no verificado en tienda)</t>
        </is>
      </c>
      <c r="P66" s="18" t="inlineStr">
        <is>
          <t>oct-2026 (est.)</t>
        </is>
      </c>
      <c r="Q66" s="18" t="n"/>
    </row>
    <row r="67">
      <c r="A67" s="61" t="n">
        <v>46</v>
      </c>
      <c r="B67" s="62" t="inlineStr">
        <is>
          <t xml:space="preserve">        Válvula de Bola Gas ½" Aprobada</t>
        </is>
      </c>
      <c r="C67" s="63" t="inlineStr">
        <is>
          <t>Residencial / Comercial</t>
        </is>
      </c>
      <c r="D67" s="61" t="inlineStr">
        <is>
          <t>Válvulas Gas</t>
        </is>
      </c>
      <c r="E67" s="61" t="inlineStr">
        <is>
          <t>U</t>
        </is>
      </c>
      <c r="F67" s="64" t="n">
        <v>4</v>
      </c>
      <c r="G67" s="65" t="n">
        <v>10.5</v>
      </c>
      <c r="H67" s="65" t="n">
        <v>10.81</v>
      </c>
      <c r="I67" s="61" t="inlineStr">
        <is>
          <t>Megametales</t>
        </is>
      </c>
      <c r="J67" s="65" t="n">
        <v>11.24</v>
      </c>
      <c r="K67" s="61" t="inlineStr">
        <is>
          <t>Kywi / Megakywi</t>
        </is>
      </c>
      <c r="L67" s="66">
        <f>F67*G67</f>
        <v/>
      </c>
      <c r="M67" s="152" t="inlineStr">
        <is>
          <t>GAS-D20-RGG-VAL-BOL-12</t>
        </is>
      </c>
      <c r="N67" s="61" t="inlineStr">
        <is>
          <t>Gas combustible (GLP / GN)</t>
        </is>
      </c>
      <c r="O67" s="61" t="inlineStr">
        <is>
          <t>Estimado DION · criterio de mercado Guayaquil 2026 (no verificado en tienda)</t>
        </is>
      </c>
      <c r="P67" s="61" t="inlineStr">
        <is>
          <t>oct-2026 (est.)</t>
        </is>
      </c>
      <c r="Q67" s="61" t="n"/>
    </row>
    <row r="68">
      <c r="A68" s="18" t="n">
        <v>47</v>
      </c>
      <c r="B68" s="19" t="inlineStr">
        <is>
          <t xml:space="preserve">        Válvula de Bola Gas 1" Aprobada</t>
        </is>
      </c>
      <c r="C68" s="20" t="inlineStr">
        <is>
          <t>Comercial / Industrial</t>
        </is>
      </c>
      <c r="D68" s="18" t="inlineStr">
        <is>
          <t>Válvulas Gas</t>
        </is>
      </c>
      <c r="E68" s="18" t="inlineStr">
        <is>
          <t>U</t>
        </is>
      </c>
      <c r="F68" s="21" t="n">
        <v>2</v>
      </c>
      <c r="G68" s="22" t="n">
        <v>19.5</v>
      </c>
      <c r="H68" s="22" t="n">
        <v>20.48</v>
      </c>
      <c r="I68" s="18" t="inlineStr">
        <is>
          <t>Megametales</t>
        </is>
      </c>
      <c r="J68" s="22" t="n">
        <v>21.65</v>
      </c>
      <c r="K68" s="18" t="inlineStr">
        <is>
          <t>Ferrisariato</t>
        </is>
      </c>
      <c r="L68" s="8">
        <f>F68*G68</f>
        <v/>
      </c>
      <c r="M68" s="145" t="inlineStr">
        <is>
          <t>GAS-D20-RGG-VAL-BOL-100</t>
        </is>
      </c>
      <c r="N68" s="18" t="inlineStr">
        <is>
          <t>Gas combustible (GLP / GN)</t>
        </is>
      </c>
      <c r="O68" s="18" t="inlineStr">
        <is>
          <t>Estimado DION · criterio de mercado Guayaquil 2026 (no verificado en tienda)</t>
        </is>
      </c>
      <c r="P68" s="18" t="inlineStr">
        <is>
          <t>oct-2026 (est.)</t>
        </is>
      </c>
      <c r="Q68" s="18" t="n"/>
    </row>
    <row r="69">
      <c r="A69" s="61" t="n">
        <v>48</v>
      </c>
      <c r="B69" s="62" t="inlineStr">
        <is>
          <t xml:space="preserve">        Punto de Consumo con Válvula y Tapón (Gas)</t>
        </is>
      </c>
      <c r="C69" s="63" t="inlineStr">
        <is>
          <t>Residencial / Comercial</t>
        </is>
      </c>
      <c r="D69" s="61" t="inlineStr">
        <is>
          <t>Puntos de Gas</t>
        </is>
      </c>
      <c r="E69" s="61" t="inlineStr">
        <is>
          <t>U</t>
        </is>
      </c>
      <c r="F69" s="64" t="n">
        <v>4</v>
      </c>
      <c r="G69" s="65" t="n">
        <v>22</v>
      </c>
      <c r="H69" s="65" t="n">
        <v>22.66</v>
      </c>
      <c r="I69" s="61" t="inlineStr">
        <is>
          <t>Megametales</t>
        </is>
      </c>
      <c r="J69" s="65" t="n">
        <v>24.2</v>
      </c>
      <c r="K69" s="61" t="inlineStr">
        <is>
          <t>Kywi / Megakywi</t>
        </is>
      </c>
      <c r="L69" s="66">
        <f>F69*G69</f>
        <v/>
      </c>
      <c r="M69" s="152" t="inlineStr">
        <is>
          <t>GAS-D20-RGG-PUN-CON</t>
        </is>
      </c>
      <c r="N69" s="61" t="inlineStr">
        <is>
          <t>Gas combustible (GLP / GN)</t>
        </is>
      </c>
      <c r="O69" s="61" t="inlineStr">
        <is>
          <t>Estimado DION · criterio de mercado Guayaquil 2026 (no verificado en tienda)</t>
        </is>
      </c>
      <c r="P69" s="61" t="inlineStr">
        <is>
          <t>oct-2026 (est.)</t>
        </is>
      </c>
      <c r="Q69" s="61" t="n"/>
    </row>
    <row r="70">
      <c r="A70" s="18" t="n">
        <v>49</v>
      </c>
      <c r="B70" s="19" t="inlineStr">
        <is>
          <t xml:space="preserve">        Manómetro y Kit de Prueba de Hermeticidad</t>
        </is>
      </c>
      <c r="C70" s="20" t="inlineStr">
        <is>
          <t>Residencial / Comercial</t>
        </is>
      </c>
      <c r="D70" s="18" t="inlineStr">
        <is>
          <t>Pruebas</t>
        </is>
      </c>
      <c r="E70" s="18" t="inlineStr">
        <is>
          <t>Juego</t>
        </is>
      </c>
      <c r="F70" s="21" t="n">
        <v>1</v>
      </c>
      <c r="G70" s="22" t="n">
        <v>45</v>
      </c>
      <c r="H70" s="22" t="n">
        <v>46.35</v>
      </c>
      <c r="I70" s="18" t="inlineStr">
        <is>
          <t>Megametales</t>
        </is>
      </c>
      <c r="J70" s="22" t="n">
        <v>49.5</v>
      </c>
      <c r="K70" s="18" t="inlineStr">
        <is>
          <t>Ferrisariato</t>
        </is>
      </c>
      <c r="L70" s="8">
        <f>F70*G70</f>
        <v/>
      </c>
      <c r="M70" s="145" t="inlineStr">
        <is>
          <t>GAS-D20-RGG-MAN-PRU</t>
        </is>
      </c>
      <c r="N70" s="18" t="inlineStr">
        <is>
          <t>Gas combustible (GLP / GN)</t>
        </is>
      </c>
      <c r="O70" s="18" t="inlineStr">
        <is>
          <t>Estimado DION · criterio de mercado Guayaquil 2026 (no verificado en tienda)</t>
        </is>
      </c>
      <c r="P70" s="18" t="inlineStr">
        <is>
          <t>oct-2026 (est.)</t>
        </is>
      </c>
      <c r="Q70" s="18" t="n"/>
    </row>
    <row r="71">
      <c r="A71" s="58" t="inlineStr">
        <is>
          <t>EQUIPOS ESPECIALIZADOS</t>
        </is>
      </c>
      <c r="B71" s="143" t="n"/>
      <c r="C71" s="143" t="n"/>
      <c r="D71" s="143" t="n"/>
      <c r="E71" s="143" t="n"/>
      <c r="F71" s="143" t="n"/>
      <c r="G71" s="143" t="n"/>
      <c r="H71" s="143" t="n"/>
      <c r="I71" s="143" t="n"/>
      <c r="J71" s="143" t="n"/>
      <c r="K71" s="143" t="n"/>
      <c r="L71" s="143" t="n"/>
      <c r="M71" s="143" t="n"/>
      <c r="N71" s="143" t="n"/>
      <c r="O71" s="143" t="n"/>
      <c r="P71" s="143" t="n"/>
      <c r="Q71" s="144" t="n"/>
    </row>
    <row r="72">
      <c r="A72" s="59" t="inlineStr">
        <is>
          <t xml:space="preserve">  ► CATEGORÍA: DETECTORES DE FUGA Y ELECTROVÁLVULAS SOLENOIDE</t>
        </is>
      </c>
      <c r="B72" s="143" t="n"/>
      <c r="C72" s="143" t="n"/>
      <c r="D72" s="143" t="n"/>
      <c r="E72" s="143" t="n"/>
      <c r="F72" s="143" t="n"/>
      <c r="G72" s="143" t="n"/>
      <c r="H72" s="143" t="n"/>
      <c r="I72" s="143" t="n"/>
      <c r="J72" s="143" t="n"/>
      <c r="K72" s="143" t="n"/>
      <c r="L72" s="143" t="n"/>
      <c r="M72" s="143" t="n"/>
      <c r="N72" s="143" t="n"/>
      <c r="O72" s="143" t="n"/>
      <c r="P72" s="143" t="n"/>
      <c r="Q72" s="144" t="n"/>
    </row>
    <row r="73">
      <c r="A73" s="60" t="inlineStr">
        <is>
          <t xml:space="preserve">      • Subcategoría Especificada: Seguridad de Gas</t>
        </is>
      </c>
      <c r="B73" s="143" t="n"/>
      <c r="C73" s="143" t="n"/>
      <c r="D73" s="143" t="n"/>
      <c r="E73" s="143" t="n"/>
      <c r="F73" s="143" t="n"/>
      <c r="G73" s="143" t="n"/>
      <c r="H73" s="143" t="n"/>
      <c r="I73" s="143" t="n"/>
      <c r="J73" s="143" t="n"/>
      <c r="K73" s="143" t="n"/>
      <c r="L73" s="143" t="n"/>
      <c r="M73" s="143" t="n"/>
      <c r="N73" s="143" t="n"/>
      <c r="O73" s="143" t="n"/>
      <c r="P73" s="143" t="n"/>
      <c r="Q73" s="144" t="n"/>
    </row>
    <row r="74">
      <c r="A74" s="61" t="n">
        <v>50</v>
      </c>
      <c r="B74" s="62" t="inlineStr">
        <is>
          <t xml:space="preserve">        Detector Fuga de Gas Methane/LPG 110V Alarma</t>
        </is>
      </c>
      <c r="C74" s="63" t="inlineStr">
        <is>
          <t>Residencial / Comercial</t>
        </is>
      </c>
      <c r="D74" s="61" t="inlineStr">
        <is>
          <t>Detectores Fuga</t>
        </is>
      </c>
      <c r="E74" s="61" t="inlineStr">
        <is>
          <t>U</t>
        </is>
      </c>
      <c r="F74" s="64" t="n">
        <v>2</v>
      </c>
      <c r="G74" s="65" t="n">
        <v>28</v>
      </c>
      <c r="H74" s="65" t="n">
        <v>29.2</v>
      </c>
      <c r="I74" s="61" t="inlineStr">
        <is>
          <t>Megametales</t>
        </is>
      </c>
      <c r="J74" s="65" t="n">
        <v>31.5</v>
      </c>
      <c r="K74" s="61" t="inlineStr">
        <is>
          <t>Ferrisariato</t>
        </is>
      </c>
      <c r="L74" s="66">
        <f>F74*G74</f>
        <v/>
      </c>
      <c r="M74" s="152" t="inlineStr">
        <is>
          <t>DI-D50-DET-GAS-GLP</t>
        </is>
      </c>
      <c r="N74" s="61" t="inlineStr">
        <is>
          <t>Detección y alarma de incendios</t>
        </is>
      </c>
      <c r="O74" s="61" t="inlineStr">
        <is>
          <t>Estimado · base original del usuario (sin cotización verificada)</t>
        </is>
      </c>
      <c r="P74" s="61" t="inlineStr">
        <is>
          <t>oct-2026 (est.)</t>
        </is>
      </c>
      <c r="Q74" s="61" t="n"/>
    </row>
    <row r="75">
      <c r="A75" s="18" t="n">
        <v>51</v>
      </c>
      <c r="B75" s="19" t="inlineStr">
        <is>
          <t xml:space="preserve">        Electrovalvula Solenoide Corte de Gas N.C. ¾"</t>
        </is>
      </c>
      <c r="C75" s="20" t="inlineStr">
        <is>
          <t>Comercial / Industrial</t>
        </is>
      </c>
      <c r="D75" s="18" t="inlineStr">
        <is>
          <t>Electroválvulas</t>
        </is>
      </c>
      <c r="E75" s="18" t="inlineStr">
        <is>
          <t>U</t>
        </is>
      </c>
      <c r="F75" s="21" t="n">
        <v>1</v>
      </c>
      <c r="G75" s="22" t="n">
        <v>85</v>
      </c>
      <c r="H75" s="22" t="n">
        <v>88</v>
      </c>
      <c r="I75" s="18" t="inlineStr">
        <is>
          <t>Megametales</t>
        </is>
      </c>
      <c r="J75" s="22" t="n">
        <v>94</v>
      </c>
      <c r="K75" s="18" t="inlineStr">
        <is>
          <t>Kywi / Megakywi</t>
        </is>
      </c>
      <c r="L75" s="8">
        <f>F75*G75</f>
        <v/>
      </c>
      <c r="M75" s="145" t="inlineStr">
        <is>
          <t>GAS-D20-RGG-ELE-VAL</t>
        </is>
      </c>
      <c r="N75" s="18" t="inlineStr">
        <is>
          <t>Gas combustible (GLP / GN)</t>
        </is>
      </c>
      <c r="O75" s="18" t="inlineStr">
        <is>
          <t>Estimado · base original del usuario (sin cotización verificada)</t>
        </is>
      </c>
      <c r="P75" s="18" t="inlineStr">
        <is>
          <t>oct-2026 (est.)</t>
        </is>
      </c>
      <c r="Q75" s="18" t="n"/>
    </row>
    <row r="76">
      <c r="A76" s="60" t="inlineStr">
        <is>
          <t xml:space="preserve">      • Subcategoría Especificada: Detección Centralizada</t>
        </is>
      </c>
      <c r="B76" s="143" t="n"/>
      <c r="C76" s="143" t="n"/>
      <c r="D76" s="143" t="n"/>
      <c r="E76" s="143" t="n"/>
      <c r="F76" s="143" t="n"/>
      <c r="G76" s="143" t="n"/>
      <c r="H76" s="143" t="n"/>
      <c r="I76" s="143" t="n"/>
      <c r="J76" s="143" t="n"/>
      <c r="K76" s="143" t="n"/>
      <c r="L76" s="143" t="n"/>
      <c r="M76" s="143" t="n"/>
      <c r="N76" s="143" t="n"/>
      <c r="O76" s="143" t="n"/>
      <c r="P76" s="143" t="n"/>
      <c r="Q76" s="144" t="n"/>
    </row>
    <row r="77">
      <c r="A77" s="61" t="n">
        <v>52</v>
      </c>
      <c r="B77" s="62" t="inlineStr">
        <is>
          <t xml:space="preserve">        Detector de Monóxido de Carbono CO 110V con Alarma</t>
        </is>
      </c>
      <c r="C77" s="63" t="inlineStr">
        <is>
          <t>Residencial / Comercial</t>
        </is>
      </c>
      <c r="D77" s="61" t="inlineStr">
        <is>
          <t>Detectores CO</t>
        </is>
      </c>
      <c r="E77" s="61" t="inlineStr">
        <is>
          <t>U</t>
        </is>
      </c>
      <c r="F77" s="64" t="n">
        <v>2</v>
      </c>
      <c r="G77" s="65" t="n">
        <v>32</v>
      </c>
      <c r="H77" s="65" t="n">
        <v>33.6</v>
      </c>
      <c r="I77" s="61" t="inlineStr">
        <is>
          <t>Megametales</t>
        </is>
      </c>
      <c r="J77" s="65" t="n">
        <v>34.24</v>
      </c>
      <c r="K77" s="61" t="inlineStr">
        <is>
          <t>Kywi / Megakywi</t>
        </is>
      </c>
      <c r="L77" s="66">
        <f>F77*G77</f>
        <v/>
      </c>
      <c r="M77" s="152" t="inlineStr">
        <is>
          <t>DI-D50-DET-CO</t>
        </is>
      </c>
      <c r="N77" s="61" t="inlineStr">
        <is>
          <t>Detección y alarma de incendios</t>
        </is>
      </c>
      <c r="O77" s="61" t="inlineStr">
        <is>
          <t>Estimado DION · criterio de mercado Guayaquil 2026 (no verificado en tienda)</t>
        </is>
      </c>
      <c r="P77" s="61" t="inlineStr">
        <is>
          <t>oct-2026 (est.)</t>
        </is>
      </c>
      <c r="Q77" s="61" t="n"/>
    </row>
    <row r="78">
      <c r="A78" s="18" t="n">
        <v>53</v>
      </c>
      <c r="B78" s="19" t="inlineStr">
        <is>
          <t xml:space="preserve">        Central de Detección de Gas 4 Zonas + Sensores Catalíticos</t>
        </is>
      </c>
      <c r="C78" s="20" t="inlineStr">
        <is>
          <t>Comercial / Industrial</t>
        </is>
      </c>
      <c r="D78" s="18" t="inlineStr">
        <is>
          <t>Centrales Gas</t>
        </is>
      </c>
      <c r="E78" s="18" t="inlineStr">
        <is>
          <t>Juego</t>
        </is>
      </c>
      <c r="F78" s="21" t="n">
        <v>0</v>
      </c>
      <c r="G78" s="22" t="n">
        <v>850</v>
      </c>
      <c r="H78" s="22" t="n">
        <v>867</v>
      </c>
      <c r="I78" s="18" t="inlineStr">
        <is>
          <t>Megametales</t>
        </is>
      </c>
      <c r="J78" s="22" t="n">
        <v>909.5</v>
      </c>
      <c r="K78" s="18" t="inlineStr">
        <is>
          <t>Ferrisariato</t>
        </is>
      </c>
      <c r="L78" s="8">
        <f>F78*G78</f>
        <v/>
      </c>
      <c r="M78" s="145" t="inlineStr">
        <is>
          <t>GAS-D20-RGG-CEN-DET</t>
        </is>
      </c>
      <c r="N78" s="18" t="inlineStr">
        <is>
          <t>Gas combustible (GLP / GN)</t>
        </is>
      </c>
      <c r="O78" s="18" t="inlineStr">
        <is>
          <t>Estimado DION · criterio de mercado Guayaquil 2026 (no verificado en tienda)</t>
        </is>
      </c>
      <c r="P78" s="18" t="inlineStr">
        <is>
          <t>oct-2026 (est.)</t>
        </is>
      </c>
      <c r="Q78" s="18" t="n"/>
    </row>
    <row r="79">
      <c r="A79" s="10" t="n"/>
      <c r="B79" s="147" t="inlineStr">
        <is>
          <t>TOTAL BASE DE DATOS RED DE GAS GLP Y NATURAL (ESTIMADO)</t>
        </is>
      </c>
      <c r="C79" s="148" t="n"/>
      <c r="D79" s="148" t="n"/>
      <c r="E79" s="148" t="n"/>
      <c r="F79" s="148" t="n"/>
      <c r="G79" s="148" t="n"/>
      <c r="H79" s="148" t="n"/>
      <c r="I79" s="148" t="n"/>
      <c r="J79" s="148" t="n"/>
      <c r="K79" s="148" t="n"/>
      <c r="L79" s="30">
        <f>SUM(L6:L78)</f>
        <v/>
      </c>
      <c r="M79" s="30" t="n"/>
      <c r="N79" s="30" t="n"/>
      <c r="O79" s="30" t="n"/>
      <c r="P79" s="30" t="n"/>
      <c r="Q79" s="30" t="n"/>
    </row>
  </sheetData>
  <mergeCells count="21">
    <mergeCell ref="A18:Q18"/>
    <mergeCell ref="A56:Q56"/>
    <mergeCell ref="A55:Q55"/>
    <mergeCell ref="A59:Q59"/>
    <mergeCell ref="A73:Q73"/>
    <mergeCell ref="A76:Q76"/>
    <mergeCell ref="A71:Q71"/>
    <mergeCell ref="A23:Q23"/>
    <mergeCell ref="A36:Q36"/>
    <mergeCell ref="A8:Q8"/>
    <mergeCell ref="A6:Q6"/>
    <mergeCell ref="B79:K79"/>
    <mergeCell ref="A7:Q7"/>
    <mergeCell ref="A20:Q20"/>
    <mergeCell ref="A38:Q38"/>
    <mergeCell ref="A54:Q54"/>
    <mergeCell ref="A72:Q72"/>
    <mergeCell ref="A10:Q10"/>
    <mergeCell ref="A41:Q41"/>
    <mergeCell ref="A19:Q19"/>
    <mergeCell ref="A37:Q37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76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8" customWidth="1" min="2" max="2"/>
    <col width="30" customWidth="1" min="3" max="3"/>
    <col width="32" customWidth="1" min="4" max="4"/>
    <col width="8" customWidth="1" min="5" max="5"/>
    <col width="10" customWidth="1" min="6" max="6"/>
    <col width="15" customWidth="1" min="7" max="7"/>
    <col width="16" customWidth="1" min="8" max="8"/>
    <col width="22" customWidth="1" min="9" max="9"/>
    <col width="16" customWidth="1" min="10" max="10"/>
    <col width="20" customWidth="1" min="11" max="11"/>
    <col width="16" customWidth="1" min="12" max="12"/>
    <col width="27" customWidth="1" min="13" max="13"/>
    <col width="30" customWidth="1" min="14" max="14"/>
    <col width="44" customWidth="1" min="15" max="15"/>
    <col width="15" customWidth="1" min="16" max="16"/>
    <col width="14" customWidth="1" min="17" max="17"/>
  </cols>
  <sheetData>
    <row r="1">
      <c r="A1" s="1" t="inlineStr">
        <is>
          <t>BASE DE DATOS COMPLETA DE CATALOGACIÓN: AGUAS LLUVIAS Y PLUVIAL</t>
        </is>
      </c>
    </row>
    <row r="2">
      <c r="A2" s="2" t="inlineStr">
        <is>
          <t>Estructura Jerárquica Homogénea: Accesorios &gt; Tuberías &gt; Equipos &gt; Conexiones &gt; Equipos Especializados | Degradé por Niveles (Ecuador - USD)</t>
        </is>
      </c>
    </row>
    <row r="3">
      <c r="A3" s="13" t="inlineStr">
        <is>
          <t>« Volver al Índice General</t>
        </is>
      </c>
    </row>
    <row r="5" ht="30" customHeight="1">
      <c r="A5" s="4" t="inlineStr">
        <is>
          <t>Item</t>
        </is>
      </c>
      <c r="B5" s="4" t="inlineStr">
        <is>
          <t>Descripción de Accesorio / Ítem Especificado</t>
        </is>
      </c>
      <c r="C5" s="4" t="inlineStr">
        <is>
          <t>Clasificación / Ámbito de Uso
(Residencial/Comercial/Industrial)</t>
        </is>
      </c>
      <c r="D5" s="4" t="inlineStr">
        <is>
          <t>Tipo / Familia</t>
        </is>
      </c>
      <c r="E5" s="4" t="inlineStr">
        <is>
          <t>Unidad</t>
        </is>
      </c>
      <c r="F5" s="4" t="inlineStr">
        <is>
          <t>Cant.</t>
        </is>
      </c>
      <c r="G5" s="4" t="inlineStr">
        <is>
          <t>P. Ref. Est. ($)</t>
        </is>
      </c>
      <c r="H5" s="4" t="inlineStr">
        <is>
          <t>P. Unit. Local A ($)
(Megametales)</t>
        </is>
      </c>
      <c r="I5" s="4" t="inlineStr">
        <is>
          <t>Local A
Especificado</t>
        </is>
      </c>
      <c r="J5" s="4" t="inlineStr">
        <is>
          <t>P. Unit. Local B ($)
(Kywi/Ferrisariato)</t>
        </is>
      </c>
      <c r="K5" s="4" t="inlineStr">
        <is>
          <t>Local B
Especificado</t>
        </is>
      </c>
      <c r="L5" s="4" t="inlineStr">
        <is>
          <t>Subtotal Est. ($)</t>
        </is>
      </c>
      <c r="M5" s="4" t="inlineStr">
        <is>
          <t>Código DION</t>
        </is>
      </c>
      <c r="N5" s="4" t="inlineStr">
        <is>
          <t>Disciplina</t>
        </is>
      </c>
      <c r="O5" s="4" t="inlineStr">
        <is>
          <t>Fuente del precio</t>
        </is>
      </c>
      <c r="P5" s="4" t="inlineStr">
        <is>
          <t>Fecha precio</t>
        </is>
      </c>
      <c r="Q5" s="4" t="inlineStr">
        <is>
          <t>Rendimiento /
desperdicio %</t>
        </is>
      </c>
    </row>
    <row r="6">
      <c r="A6" s="67" t="inlineStr">
        <is>
          <t>ACCESORIOS</t>
        </is>
      </c>
      <c r="B6" s="143" t="n"/>
      <c r="C6" s="143" t="n"/>
      <c r="D6" s="143" t="n"/>
      <c r="E6" s="143" t="n"/>
      <c r="F6" s="143" t="n"/>
      <c r="G6" s="143" t="n"/>
      <c r="H6" s="143" t="n"/>
      <c r="I6" s="143" t="n"/>
      <c r="J6" s="143" t="n"/>
      <c r="K6" s="143" t="n"/>
      <c r="L6" s="143" t="n"/>
      <c r="M6" s="143" t="n"/>
      <c r="N6" s="143" t="n"/>
      <c r="O6" s="143" t="n"/>
      <c r="P6" s="143" t="n"/>
      <c r="Q6" s="144" t="n"/>
    </row>
    <row r="7">
      <c r="A7" s="68" t="inlineStr">
        <is>
          <t xml:space="preserve">  ► CATEGORÍA: REJILLAS Y ESQUINEROS</t>
        </is>
      </c>
      <c r="B7" s="143" t="n"/>
      <c r="C7" s="143" t="n"/>
      <c r="D7" s="143" t="n"/>
      <c r="E7" s="143" t="n"/>
      <c r="F7" s="143" t="n"/>
      <c r="G7" s="143" t="n"/>
      <c r="H7" s="143" t="n"/>
      <c r="I7" s="143" t="n"/>
      <c r="J7" s="143" t="n"/>
      <c r="K7" s="143" t="n"/>
      <c r="L7" s="143" t="n"/>
      <c r="M7" s="143" t="n"/>
      <c r="N7" s="143" t="n"/>
      <c r="O7" s="143" t="n"/>
      <c r="P7" s="143" t="n"/>
      <c r="Q7" s="144" t="n"/>
    </row>
    <row r="8">
      <c r="A8" s="69" t="inlineStr">
        <is>
          <t xml:space="preserve">      • Subcategoría Especificada: Accesorios Canaleta Techo</t>
        </is>
      </c>
      <c r="B8" s="143" t="n"/>
      <c r="C8" s="143" t="n"/>
      <c r="D8" s="143" t="n"/>
      <c r="E8" s="143" t="n"/>
      <c r="F8" s="143" t="n"/>
      <c r="G8" s="143" t="n"/>
      <c r="H8" s="143" t="n"/>
      <c r="I8" s="143" t="n"/>
      <c r="J8" s="143" t="n"/>
      <c r="K8" s="143" t="n"/>
      <c r="L8" s="143" t="n"/>
      <c r="M8" s="143" t="n"/>
      <c r="N8" s="143" t="n"/>
      <c r="O8" s="143" t="n"/>
      <c r="P8" s="143" t="n"/>
      <c r="Q8" s="144" t="n"/>
    </row>
    <row r="9">
      <c r="A9" s="18" t="n">
        <v>1</v>
      </c>
      <c r="B9" s="19" t="inlineStr">
        <is>
          <t xml:space="preserve">        Rejilla de Protección para Canaleta de Lluvia</t>
        </is>
      </c>
      <c r="C9" s="20" t="inlineStr">
        <is>
          <t>Residencial / Comercial</t>
        </is>
      </c>
      <c r="D9" s="18" t="inlineStr">
        <is>
          <t>Rejillas Canaleta</t>
        </is>
      </c>
      <c r="E9" s="18" t="inlineStr">
        <is>
          <t>U</t>
        </is>
      </c>
      <c r="F9" s="21" t="n">
        <v>8</v>
      </c>
      <c r="G9" s="22" t="n">
        <v>6.5</v>
      </c>
      <c r="H9" s="22" t="n">
        <v>6.7</v>
      </c>
      <c r="I9" s="18" t="inlineStr">
        <is>
          <t>Megametales</t>
        </is>
      </c>
      <c r="J9" s="22" t="n">
        <v>7.2</v>
      </c>
      <c r="K9" s="18" t="inlineStr">
        <is>
          <t>Ferrisariato</t>
        </is>
      </c>
      <c r="L9" s="8">
        <f>F9*G9</f>
        <v/>
      </c>
      <c r="M9" s="145" t="inlineStr">
        <is>
          <t>A-B30-ACU-REJ-CAN</t>
        </is>
      </c>
      <c r="N9" s="18" t="inlineStr">
        <is>
          <t>Arquitectura</t>
        </is>
      </c>
      <c r="O9" s="18" t="inlineStr">
        <is>
          <t>Estimado · base original del usuario (sin cotización verificada)</t>
        </is>
      </c>
      <c r="P9" s="18" t="inlineStr">
        <is>
          <t>oct-2026 (est.)</t>
        </is>
      </c>
      <c r="Q9" s="18" t="n"/>
    </row>
    <row r="10">
      <c r="A10" s="69" t="inlineStr">
        <is>
          <t xml:space="preserve">      • Subcategoría Especificada: Accesorios de Canalón y Cubierta</t>
        </is>
      </c>
      <c r="B10" s="143" t="n"/>
      <c r="C10" s="143" t="n"/>
      <c r="D10" s="143" t="n"/>
      <c r="E10" s="143" t="n"/>
      <c r="F10" s="143" t="n"/>
      <c r="G10" s="143" t="n"/>
      <c r="H10" s="143" t="n"/>
      <c r="I10" s="143" t="n"/>
      <c r="J10" s="143" t="n"/>
      <c r="K10" s="143" t="n"/>
      <c r="L10" s="143" t="n"/>
      <c r="M10" s="143" t="n"/>
      <c r="N10" s="143" t="n"/>
      <c r="O10" s="143" t="n"/>
      <c r="P10" s="143" t="n"/>
      <c r="Q10" s="144" t="n"/>
    </row>
    <row r="11">
      <c r="A11" s="70" t="n">
        <v>2</v>
      </c>
      <c r="B11" s="71" t="inlineStr">
        <is>
          <t xml:space="preserve">        Soporte / Gancho para Canaleta PVC</t>
        </is>
      </c>
      <c r="C11" s="72" t="inlineStr">
        <is>
          <t>Residencial / Comercial</t>
        </is>
      </c>
      <c r="D11" s="70" t="inlineStr">
        <is>
          <t>Soportes Canaleta</t>
        </is>
      </c>
      <c r="E11" s="70" t="inlineStr">
        <is>
          <t>U</t>
        </is>
      </c>
      <c r="F11" s="73" t="n">
        <v>20</v>
      </c>
      <c r="G11" s="74" t="n">
        <v>1.15</v>
      </c>
      <c r="H11" s="74" t="n">
        <v>1.21</v>
      </c>
      <c r="I11" s="70" t="inlineStr">
        <is>
          <t>Megametales</t>
        </is>
      </c>
      <c r="J11" s="74" t="n">
        <v>1.28</v>
      </c>
      <c r="K11" s="70" t="inlineStr">
        <is>
          <t>Kywi / Megakywi</t>
        </is>
      </c>
      <c r="L11" s="75">
        <f>F11*G11</f>
        <v/>
      </c>
      <c r="M11" s="153" t="inlineStr">
        <is>
          <t>A-B30-ACU-SOP-CAN</t>
        </is>
      </c>
      <c r="N11" s="70" t="inlineStr">
        <is>
          <t>Arquitectura</t>
        </is>
      </c>
      <c r="O11" s="70" t="inlineStr">
        <is>
          <t>Estimado DION · criterio de mercado Guayaquil 2026 (no verificado en tienda)</t>
        </is>
      </c>
      <c r="P11" s="70" t="inlineStr">
        <is>
          <t>oct-2026 (est.)</t>
        </is>
      </c>
      <c r="Q11" s="70" t="n"/>
    </row>
    <row r="12">
      <c r="A12" s="18" t="n">
        <v>3</v>
      </c>
      <c r="B12" s="19" t="inlineStr">
        <is>
          <t xml:space="preserve">        Esquinero Exterior / Interior Canaleta PVC</t>
        </is>
      </c>
      <c r="C12" s="20" t="inlineStr">
        <is>
          <t>Residencial / Comercial</t>
        </is>
      </c>
      <c r="D12" s="18" t="inlineStr">
        <is>
          <t>Esquineros</t>
        </is>
      </c>
      <c r="E12" s="18" t="inlineStr">
        <is>
          <t>U</t>
        </is>
      </c>
      <c r="F12" s="21" t="n">
        <v>4</v>
      </c>
      <c r="G12" s="22" t="n">
        <v>6.8</v>
      </c>
      <c r="H12" s="22" t="n">
        <v>7</v>
      </c>
      <c r="I12" s="18" t="inlineStr">
        <is>
          <t>Megametales</t>
        </is>
      </c>
      <c r="J12" s="22" t="n">
        <v>7.34</v>
      </c>
      <c r="K12" s="18" t="inlineStr">
        <is>
          <t>Ferrisariato</t>
        </is>
      </c>
      <c r="L12" s="8">
        <f>F12*G12</f>
        <v/>
      </c>
      <c r="M12" s="145" t="inlineStr">
        <is>
          <t>A-B30-ACU-ESQ-CAN</t>
        </is>
      </c>
      <c r="N12" s="18" t="inlineStr">
        <is>
          <t>Arquitectura</t>
        </is>
      </c>
      <c r="O12" s="18" t="inlineStr">
        <is>
          <t>Estimado DION · criterio de mercado Guayaquil 2026 (no verificado en tienda)</t>
        </is>
      </c>
      <c r="P12" s="18" t="inlineStr">
        <is>
          <t>oct-2026 (est.)</t>
        </is>
      </c>
      <c r="Q12" s="18" t="n"/>
    </row>
    <row r="13">
      <c r="A13" s="70" t="n">
        <v>4</v>
      </c>
      <c r="B13" s="71" t="inlineStr">
        <is>
          <t xml:space="preserve">        Tapa Final Canaleta PVC (Par)</t>
        </is>
      </c>
      <c r="C13" s="72" t="inlineStr">
        <is>
          <t>Residencial / Comercial</t>
        </is>
      </c>
      <c r="D13" s="70" t="inlineStr">
        <is>
          <t>Tapas Canaleta</t>
        </is>
      </c>
      <c r="E13" s="70" t="inlineStr">
        <is>
          <t>Par</t>
        </is>
      </c>
      <c r="F13" s="73" t="n">
        <v>2</v>
      </c>
      <c r="G13" s="74" t="n">
        <v>4.2</v>
      </c>
      <c r="H13" s="74" t="n">
        <v>4.41</v>
      </c>
      <c r="I13" s="70" t="inlineStr">
        <is>
          <t>Megametales</t>
        </is>
      </c>
      <c r="J13" s="74" t="n">
        <v>4.49</v>
      </c>
      <c r="K13" s="70" t="inlineStr">
        <is>
          <t>Kywi / Megakywi</t>
        </is>
      </c>
      <c r="L13" s="75">
        <f>F13*G13</f>
        <v/>
      </c>
      <c r="M13" s="153" t="inlineStr">
        <is>
          <t>A-B30-ACU-TAP-CAN</t>
        </is>
      </c>
      <c r="N13" s="70" t="inlineStr">
        <is>
          <t>Arquitectura</t>
        </is>
      </c>
      <c r="O13" s="70" t="inlineStr">
        <is>
          <t>Estimado DION · criterio de mercado Guayaquil 2026 (no verificado en tienda)</t>
        </is>
      </c>
      <c r="P13" s="70" t="inlineStr">
        <is>
          <t>oct-2026 (est.)</t>
        </is>
      </c>
      <c r="Q13" s="70" t="n"/>
    </row>
    <row r="14">
      <c r="A14" s="18" t="n">
        <v>5</v>
      </c>
      <c r="B14" s="19" t="inlineStr">
        <is>
          <t xml:space="preserve">        Embudo / Salida de Canaleta a Bajante 110 mm</t>
        </is>
      </c>
      <c r="C14" s="20" t="inlineStr">
        <is>
          <t>Residencial / Comercial</t>
        </is>
      </c>
      <c r="D14" s="18" t="inlineStr">
        <is>
          <t>Embudos</t>
        </is>
      </c>
      <c r="E14" s="18" t="inlineStr">
        <is>
          <t>U</t>
        </is>
      </c>
      <c r="F14" s="21" t="n">
        <v>4</v>
      </c>
      <c r="G14" s="22" t="n">
        <v>7.5</v>
      </c>
      <c r="H14" s="22" t="n">
        <v>7.88</v>
      </c>
      <c r="I14" s="18" t="inlineStr">
        <is>
          <t>Megametales</t>
        </is>
      </c>
      <c r="J14" s="22" t="n">
        <v>8.18</v>
      </c>
      <c r="K14" s="18" t="inlineStr">
        <is>
          <t>Ferrisariato</t>
        </is>
      </c>
      <c r="L14" s="8">
        <f>F14*G14</f>
        <v/>
      </c>
      <c r="M14" s="145" t="inlineStr">
        <is>
          <t>A-B30-ACU-EMB-110</t>
        </is>
      </c>
      <c r="N14" s="18" t="inlineStr">
        <is>
          <t>Arquitectura</t>
        </is>
      </c>
      <c r="O14" s="18" t="inlineStr">
        <is>
          <t>Estimado DION · criterio de mercado Guayaquil 2026 (no verificado en tienda)</t>
        </is>
      </c>
      <c r="P14" s="18" t="inlineStr">
        <is>
          <t>oct-2026 (est.)</t>
        </is>
      </c>
      <c r="Q14" s="18" t="n"/>
    </row>
    <row r="15">
      <c r="A15" s="70" t="n">
        <v>6</v>
      </c>
      <c r="B15" s="71" t="inlineStr">
        <is>
          <t xml:space="preserve">        Cúpula / Rejilla Tipo Paraguas Bajante 75 mm</t>
        </is>
      </c>
      <c r="C15" s="72" t="inlineStr">
        <is>
          <t>Residencial / Comercial</t>
        </is>
      </c>
      <c r="D15" s="70" t="inlineStr">
        <is>
          <t>Cúpulas</t>
        </is>
      </c>
      <c r="E15" s="70" t="inlineStr">
        <is>
          <t>U</t>
        </is>
      </c>
      <c r="F15" s="73" t="n">
        <v>4</v>
      </c>
      <c r="G15" s="74" t="n">
        <v>6.5</v>
      </c>
      <c r="H15" s="74" t="n">
        <v>6.83</v>
      </c>
      <c r="I15" s="70" t="inlineStr">
        <is>
          <t>Megametales</t>
        </is>
      </c>
      <c r="J15" s="74" t="n">
        <v>7.15</v>
      </c>
      <c r="K15" s="70" t="inlineStr">
        <is>
          <t>Kywi / Megakywi</t>
        </is>
      </c>
      <c r="L15" s="75">
        <f>F15*G15</f>
        <v/>
      </c>
      <c r="M15" s="153" t="inlineStr">
        <is>
          <t>IS-D20-DRE-CUP-075</t>
        </is>
      </c>
      <c r="N15" s="70" t="inlineStr">
        <is>
          <t>Instalaciones sanitarias (hidrosanitarias)</t>
        </is>
      </c>
      <c r="O15" s="70" t="inlineStr">
        <is>
          <t>Estimado DION · criterio de mercado Guayaquil 2026 (no verificado en tienda)</t>
        </is>
      </c>
      <c r="P15" s="70" t="inlineStr">
        <is>
          <t>oct-2026 (est.)</t>
        </is>
      </c>
      <c r="Q15" s="70" t="n"/>
    </row>
    <row r="16">
      <c r="A16" s="18" t="n">
        <v>7</v>
      </c>
      <c r="B16" s="19" t="inlineStr">
        <is>
          <t xml:space="preserve">        Cúpula / Rejilla Tipo Paraguas Bajante 110 mm</t>
        </is>
      </c>
      <c r="C16" s="20" t="inlineStr">
        <is>
          <t>Residencial / Comercial</t>
        </is>
      </c>
      <c r="D16" s="18" t="inlineStr">
        <is>
          <t>Cúpulas</t>
        </is>
      </c>
      <c r="E16" s="18" t="inlineStr">
        <is>
          <t>U</t>
        </is>
      </c>
      <c r="F16" s="21" t="n">
        <v>4</v>
      </c>
      <c r="G16" s="22" t="n">
        <v>8.5</v>
      </c>
      <c r="H16" s="22" t="n">
        <v>8.76</v>
      </c>
      <c r="I16" s="18" t="inlineStr">
        <is>
          <t>Megametales</t>
        </is>
      </c>
      <c r="J16" s="22" t="n">
        <v>9.44</v>
      </c>
      <c r="K16" s="18" t="inlineStr">
        <is>
          <t>Ferrisariato</t>
        </is>
      </c>
      <c r="L16" s="8">
        <f>F16*G16</f>
        <v/>
      </c>
      <c r="M16" s="145" t="inlineStr">
        <is>
          <t>IS-D20-DRE-CUP-110</t>
        </is>
      </c>
      <c r="N16" s="18" t="inlineStr">
        <is>
          <t>Instalaciones sanitarias (hidrosanitarias)</t>
        </is>
      </c>
      <c r="O16" s="18" t="inlineStr">
        <is>
          <t>Estimado DION · criterio de mercado Guayaquil 2026 (no verificado en tienda)</t>
        </is>
      </c>
      <c r="P16" s="18" t="inlineStr">
        <is>
          <t>oct-2026 (est.)</t>
        </is>
      </c>
      <c r="Q16" s="18" t="n"/>
    </row>
    <row r="17">
      <c r="A17" s="70" t="n">
        <v>8</v>
      </c>
      <c r="B17" s="71" t="inlineStr">
        <is>
          <t xml:space="preserve">        Cúpula / Rejilla Tipo Paraguas Bajante 160 mm</t>
        </is>
      </c>
      <c r="C17" s="72" t="inlineStr">
        <is>
          <t>Comercial / Industrial</t>
        </is>
      </c>
      <c r="D17" s="70" t="inlineStr">
        <is>
          <t>Cúpulas</t>
        </is>
      </c>
      <c r="E17" s="70" t="inlineStr">
        <is>
          <t>U</t>
        </is>
      </c>
      <c r="F17" s="73" t="n">
        <v>2</v>
      </c>
      <c r="G17" s="74" t="n">
        <v>14</v>
      </c>
      <c r="H17" s="74" t="n">
        <v>14.42</v>
      </c>
      <c r="I17" s="70" t="inlineStr">
        <is>
          <t>Megametales</t>
        </is>
      </c>
      <c r="J17" s="74" t="n">
        <v>14.98</v>
      </c>
      <c r="K17" s="70" t="inlineStr">
        <is>
          <t>Kywi / Megakywi</t>
        </is>
      </c>
      <c r="L17" s="75">
        <f>F17*G17</f>
        <v/>
      </c>
      <c r="M17" s="153" t="inlineStr">
        <is>
          <t>IS-D20-DRE-CUP-160</t>
        </is>
      </c>
      <c r="N17" s="70" t="inlineStr">
        <is>
          <t>Instalaciones sanitarias (hidrosanitarias)</t>
        </is>
      </c>
      <c r="O17" s="70" t="inlineStr">
        <is>
          <t>Estimado DION · criterio de mercado Guayaquil 2026 (no verificado en tienda)</t>
        </is>
      </c>
      <c r="P17" s="70" t="inlineStr">
        <is>
          <t>oct-2026 (est.)</t>
        </is>
      </c>
      <c r="Q17" s="70" t="n"/>
    </row>
    <row r="18">
      <c r="A18" s="18" t="n">
        <v>9</v>
      </c>
      <c r="B18" s="19" t="inlineStr">
        <is>
          <t xml:space="preserve">        Geotextil No Tejido 200 g/m² (m²)</t>
        </is>
      </c>
      <c r="C18" s="20" t="inlineStr">
        <is>
          <t>Jardines / Obras Civil</t>
        </is>
      </c>
      <c r="D18" s="18" t="inlineStr">
        <is>
          <t>Geotextiles</t>
        </is>
      </c>
      <c r="E18" s="18" t="inlineStr">
        <is>
          <t>m2</t>
        </is>
      </c>
      <c r="F18" s="21" t="n">
        <v>30</v>
      </c>
      <c r="G18" s="22" t="n">
        <v>1.25</v>
      </c>
      <c r="H18" s="22" t="n">
        <v>1.31</v>
      </c>
      <c r="I18" s="18" t="inlineStr">
        <is>
          <t>Megametales</t>
        </is>
      </c>
      <c r="J18" s="22" t="n">
        <v>1.35</v>
      </c>
      <c r="K18" s="18" t="inlineStr">
        <is>
          <t>Ferrisariato</t>
        </is>
      </c>
      <c r="L18" s="8">
        <f>F18*G18</f>
        <v/>
      </c>
      <c r="M18" s="145" t="inlineStr">
        <is>
          <t>IS-D20-DRE-GEO-200</t>
        </is>
      </c>
      <c r="N18" s="18" t="inlineStr">
        <is>
          <t>Instalaciones sanitarias (hidrosanitarias)</t>
        </is>
      </c>
      <c r="O18" s="18" t="inlineStr">
        <is>
          <t>Estimado DION · criterio de mercado Guayaquil 2026 (no verificado en tienda)</t>
        </is>
      </c>
      <c r="P18" s="18" t="inlineStr">
        <is>
          <t>oct-2026 (est.)</t>
        </is>
      </c>
      <c r="Q18" s="18" t="n">
        <v>10</v>
      </c>
    </row>
    <row r="19">
      <c r="A19" s="67" t="inlineStr">
        <is>
          <t>TUBERÍAS</t>
        </is>
      </c>
      <c r="B19" s="143" t="n"/>
      <c r="C19" s="143" t="n"/>
      <c r="D19" s="143" t="n"/>
      <c r="E19" s="143" t="n"/>
      <c r="F19" s="143" t="n"/>
      <c r="G19" s="143" t="n"/>
      <c r="H19" s="143" t="n"/>
      <c r="I19" s="143" t="n"/>
      <c r="J19" s="143" t="n"/>
      <c r="K19" s="143" t="n"/>
      <c r="L19" s="143" t="n"/>
      <c r="M19" s="143" t="n"/>
      <c r="N19" s="143" t="n"/>
      <c r="O19" s="143" t="n"/>
      <c r="P19" s="143" t="n"/>
      <c r="Q19" s="144" t="n"/>
    </row>
    <row r="20">
      <c r="A20" s="68" t="inlineStr">
        <is>
          <t xml:space="preserve">  ► CATEGORÍA: CANALETAS, BAJANTES PVC Y HDPE PERFORADO</t>
        </is>
      </c>
      <c r="B20" s="143" t="n"/>
      <c r="C20" s="143" t="n"/>
      <c r="D20" s="143" t="n"/>
      <c r="E20" s="143" t="n"/>
      <c r="F20" s="143" t="n"/>
      <c r="G20" s="143" t="n"/>
      <c r="H20" s="143" t="n"/>
      <c r="I20" s="143" t="n"/>
      <c r="J20" s="143" t="n"/>
      <c r="K20" s="143" t="n"/>
      <c r="L20" s="143" t="n"/>
      <c r="M20" s="143" t="n"/>
      <c r="N20" s="143" t="n"/>
      <c r="O20" s="143" t="n"/>
      <c r="P20" s="143" t="n"/>
      <c r="Q20" s="144" t="n"/>
    </row>
    <row r="21">
      <c r="A21" s="69" t="inlineStr">
        <is>
          <t xml:space="preserve">      • Subcategoría Especificada: Recolección Techo y Drenaje Francés</t>
        </is>
      </c>
      <c r="B21" s="143" t="n"/>
      <c r="C21" s="143" t="n"/>
      <c r="D21" s="143" t="n"/>
      <c r="E21" s="143" t="n"/>
      <c r="F21" s="143" t="n"/>
      <c r="G21" s="143" t="n"/>
      <c r="H21" s="143" t="n"/>
      <c r="I21" s="143" t="n"/>
      <c r="J21" s="143" t="n"/>
      <c r="K21" s="143" t="n"/>
      <c r="L21" s="143" t="n"/>
      <c r="M21" s="143" t="n"/>
      <c r="N21" s="143" t="n"/>
      <c r="O21" s="143" t="n"/>
      <c r="P21" s="143" t="n"/>
      <c r="Q21" s="144" t="n"/>
    </row>
    <row r="22">
      <c r="A22" s="70" t="n">
        <v>10</v>
      </c>
      <c r="B22" s="71" t="inlineStr">
        <is>
          <t xml:space="preserve">        Canaleta PVC Colectora de Lluvia (3m) Verde</t>
        </is>
      </c>
      <c r="C22" s="72" t="inlineStr">
        <is>
          <t>Residencial / Comercial</t>
        </is>
      </c>
      <c r="D22" s="70" t="inlineStr">
        <is>
          <t>Canaletas PVC</t>
        </is>
      </c>
      <c r="E22" s="70" t="inlineStr">
        <is>
          <t>U</t>
        </is>
      </c>
      <c r="F22" s="73" t="n">
        <v>8</v>
      </c>
      <c r="G22" s="74" t="n">
        <v>14</v>
      </c>
      <c r="H22" s="74" t="n">
        <v>14.4</v>
      </c>
      <c r="I22" s="70" t="inlineStr">
        <is>
          <t>Megametales</t>
        </is>
      </c>
      <c r="J22" s="74" t="n">
        <v>15.3</v>
      </c>
      <c r="K22" s="70" t="inlineStr">
        <is>
          <t>Kywi / Megakywi</t>
        </is>
      </c>
      <c r="L22" s="75">
        <f>F22*G22</f>
        <v/>
      </c>
      <c r="M22" s="153" t="inlineStr">
        <is>
          <t>A-B30-CAN-PVC-125</t>
        </is>
      </c>
      <c r="N22" s="70" t="inlineStr">
        <is>
          <t>Arquitectura</t>
        </is>
      </c>
      <c r="O22" s="70" t="inlineStr">
        <is>
          <t>Estimado · base original del usuario (sin cotización verificada)</t>
        </is>
      </c>
      <c r="P22" s="70" t="inlineStr">
        <is>
          <t>oct-2026 (est.)</t>
        </is>
      </c>
      <c r="Q22" s="70" t="n">
        <v>5</v>
      </c>
    </row>
    <row r="23">
      <c r="A23" s="18" t="n">
        <v>11</v>
      </c>
      <c r="B23" s="19" t="inlineStr">
        <is>
          <t xml:space="preserve">        Tubo PVC Bajante Pluvial 110mm / 4" (6m)</t>
        </is>
      </c>
      <c r="C23" s="20" t="inlineStr">
        <is>
          <t>Residencial / Comercial</t>
        </is>
      </c>
      <c r="D23" s="18" t="inlineStr">
        <is>
          <t>Bajantes PVC</t>
        </is>
      </c>
      <c r="E23" s="18" t="inlineStr">
        <is>
          <t>U</t>
        </is>
      </c>
      <c r="F23" s="21" t="n">
        <v>6</v>
      </c>
      <c r="G23" s="22" t="n">
        <v>18.5</v>
      </c>
      <c r="H23" s="22" t="n">
        <v>18.9</v>
      </c>
      <c r="I23" s="18" t="inlineStr">
        <is>
          <t>Megametales</t>
        </is>
      </c>
      <c r="J23" s="22" t="n">
        <v>19.8</v>
      </c>
      <c r="K23" s="18" t="inlineStr">
        <is>
          <t>Ferrisariato</t>
        </is>
      </c>
      <c r="L23" s="8">
        <f>F23*G23</f>
        <v/>
      </c>
      <c r="M23" s="145" t="inlineStr">
        <is>
          <t>IS-D20-BAJ-PVC-110</t>
        </is>
      </c>
      <c r="N23" s="18" t="inlineStr">
        <is>
          <t>Instalaciones sanitarias (hidrosanitarias)</t>
        </is>
      </c>
      <c r="O23" s="18" t="inlineStr">
        <is>
          <t>Estimado · base original del usuario (sin cotización verificada)</t>
        </is>
      </c>
      <c r="P23" s="18" t="inlineStr">
        <is>
          <t>oct-2026 (est.)</t>
        </is>
      </c>
      <c r="Q23" s="18" t="n">
        <v>5</v>
      </c>
    </row>
    <row r="24">
      <c r="A24" s="70" t="n">
        <v>12</v>
      </c>
      <c r="B24" s="71" t="inlineStr">
        <is>
          <t xml:space="preserve">        Tubo Corrugado HDPE Perforado Drenaje Francés 110mm</t>
        </is>
      </c>
      <c r="C24" s="72" t="inlineStr">
        <is>
          <t>Jardines / Obras Civil</t>
        </is>
      </c>
      <c r="D24" s="70" t="inlineStr">
        <is>
          <t>Drenaje HDPE</t>
        </is>
      </c>
      <c r="E24" s="70" t="inlineStr">
        <is>
          <t>m</t>
        </is>
      </c>
      <c r="F24" s="73" t="n">
        <v>20</v>
      </c>
      <c r="G24" s="74" t="n">
        <v>3.8</v>
      </c>
      <c r="H24" s="74" t="n">
        <v>3.95</v>
      </c>
      <c r="I24" s="70" t="inlineStr">
        <is>
          <t>Megametales</t>
        </is>
      </c>
      <c r="J24" s="74" t="n">
        <v>4.2</v>
      </c>
      <c r="K24" s="70" t="inlineStr">
        <is>
          <t>Ferrisariato</t>
        </is>
      </c>
      <c r="L24" s="75">
        <f>F24*G24</f>
        <v/>
      </c>
      <c r="M24" s="153" t="inlineStr">
        <is>
          <t>IS-D20-DRE-DRE-SUB-110</t>
        </is>
      </c>
      <c r="N24" s="70" t="inlineStr">
        <is>
          <t>Instalaciones sanitarias (hidrosanitarias)</t>
        </is>
      </c>
      <c r="O24" s="70" t="inlineStr">
        <is>
          <t>Estimado · base original del usuario (sin cotización verificada)</t>
        </is>
      </c>
      <c r="P24" s="70" t="inlineStr">
        <is>
          <t>oct-2026 (est.)</t>
        </is>
      </c>
      <c r="Q24" s="70" t="n">
        <v>5</v>
      </c>
    </row>
    <row r="25">
      <c r="A25" s="69" t="inlineStr">
        <is>
          <t xml:space="preserve">      • Subcategoría Especificada: Bajantes, Colectores y Corrugados por Diámetro</t>
        </is>
      </c>
      <c r="B25" s="143" t="n"/>
      <c r="C25" s="143" t="n"/>
      <c r="D25" s="143" t="n"/>
      <c r="E25" s="143" t="n"/>
      <c r="F25" s="143" t="n"/>
      <c r="G25" s="143" t="n"/>
      <c r="H25" s="143" t="n"/>
      <c r="I25" s="143" t="n"/>
      <c r="J25" s="143" t="n"/>
      <c r="K25" s="143" t="n"/>
      <c r="L25" s="143" t="n"/>
      <c r="M25" s="143" t="n"/>
      <c r="N25" s="143" t="n"/>
      <c r="O25" s="143" t="n"/>
      <c r="P25" s="143" t="n"/>
      <c r="Q25" s="144" t="n"/>
    </row>
    <row r="26">
      <c r="A26" s="18" t="n">
        <v>13</v>
      </c>
      <c r="B26" s="19" t="inlineStr">
        <is>
          <t xml:space="preserve">        Canaleta Galvanizada Prepintada Desarrollo 30 cm (m)</t>
        </is>
      </c>
      <c r="C26" s="20" t="inlineStr">
        <is>
          <t>Residencial / Comercial</t>
        </is>
      </c>
      <c r="D26" s="18" t="inlineStr">
        <is>
          <t>Canaletas Metálicas</t>
        </is>
      </c>
      <c r="E26" s="18" t="inlineStr">
        <is>
          <t>m</t>
        </is>
      </c>
      <c r="F26" s="21" t="n">
        <v>10</v>
      </c>
      <c r="G26" s="22" t="n">
        <v>6.5</v>
      </c>
      <c r="H26" s="22" t="n">
        <v>6.63</v>
      </c>
      <c r="I26" s="18" t="inlineStr">
        <is>
          <t>Megametales</t>
        </is>
      </c>
      <c r="J26" s="22" t="n">
        <v>7.22</v>
      </c>
      <c r="K26" s="18" t="inlineStr">
        <is>
          <t>Ferrisariato</t>
        </is>
      </c>
      <c r="L26" s="8">
        <f>F26*G26</f>
        <v/>
      </c>
      <c r="M26" s="145" t="inlineStr">
        <is>
          <t>A-B30-CAN-GAL-30</t>
        </is>
      </c>
      <c r="N26" s="18" t="inlineStr">
        <is>
          <t>Arquitectura</t>
        </is>
      </c>
      <c r="O26" s="18" t="inlineStr">
        <is>
          <t>Estimado DION · criterio de mercado Guayaquil 2026 (no verificado en tienda)</t>
        </is>
      </c>
      <c r="P26" s="18" t="inlineStr">
        <is>
          <t>oct-2026 (est.)</t>
        </is>
      </c>
      <c r="Q26" s="18" t="n">
        <v>5</v>
      </c>
    </row>
    <row r="27">
      <c r="A27" s="70" t="n">
        <v>14</v>
      </c>
      <c r="B27" s="71" t="inlineStr">
        <is>
          <t xml:space="preserve">        Canaleta Galvanizada Desarrollo 50 cm (m)</t>
        </is>
      </c>
      <c r="C27" s="72" t="inlineStr">
        <is>
          <t>Comercial / Industrial</t>
        </is>
      </c>
      <c r="D27" s="70" t="inlineStr">
        <is>
          <t>Canaletas Metálicas</t>
        </is>
      </c>
      <c r="E27" s="70" t="inlineStr">
        <is>
          <t>m</t>
        </is>
      </c>
      <c r="F27" s="73" t="n">
        <v>10</v>
      </c>
      <c r="G27" s="74" t="n">
        <v>9.5</v>
      </c>
      <c r="H27" s="74" t="n">
        <v>9.69</v>
      </c>
      <c r="I27" s="70" t="inlineStr">
        <is>
          <t>Megametales</t>
        </is>
      </c>
      <c r="J27" s="74" t="n">
        <v>10.45</v>
      </c>
      <c r="K27" s="70" t="inlineStr">
        <is>
          <t>Kywi / Megakywi</t>
        </is>
      </c>
      <c r="L27" s="75">
        <f>F27*G27</f>
        <v/>
      </c>
      <c r="M27" s="153" t="inlineStr">
        <is>
          <t>A-B30-CAN-GAL-50</t>
        </is>
      </c>
      <c r="N27" s="70" t="inlineStr">
        <is>
          <t>Arquitectura</t>
        </is>
      </c>
      <c r="O27" s="70" t="inlineStr">
        <is>
          <t>Estimado DION · criterio de mercado Guayaquil 2026 (no verificado en tienda)</t>
        </is>
      </c>
      <c r="P27" s="70" t="inlineStr">
        <is>
          <t>oct-2026 (est.)</t>
        </is>
      </c>
      <c r="Q27" s="70" t="n">
        <v>5</v>
      </c>
    </row>
    <row r="28">
      <c r="A28" s="18" t="n">
        <v>15</v>
      </c>
      <c r="B28" s="19" t="inlineStr">
        <is>
          <t xml:space="preserve">        Canaleta Galvanizada Industrial Desarrollo 80 cm (m)</t>
        </is>
      </c>
      <c r="C28" s="20" t="inlineStr">
        <is>
          <t>Industrial</t>
        </is>
      </c>
      <c r="D28" s="18" t="inlineStr">
        <is>
          <t>Canaletas Metálicas</t>
        </is>
      </c>
      <c r="E28" s="18" t="inlineStr">
        <is>
          <t>m</t>
        </is>
      </c>
      <c r="F28" s="21" t="n">
        <v>10</v>
      </c>
      <c r="G28" s="22" t="n">
        <v>14.5</v>
      </c>
      <c r="H28" s="22" t="n">
        <v>14.94</v>
      </c>
      <c r="I28" s="18" t="inlineStr">
        <is>
          <t>Megametales</t>
        </is>
      </c>
      <c r="J28" s="22" t="n">
        <v>16.1</v>
      </c>
      <c r="K28" s="18" t="inlineStr">
        <is>
          <t>Ferrisariato</t>
        </is>
      </c>
      <c r="L28" s="8">
        <f>F28*G28</f>
        <v/>
      </c>
      <c r="M28" s="145" t="inlineStr">
        <is>
          <t>A-B30-CAN-GAL-80</t>
        </is>
      </c>
      <c r="N28" s="18" t="inlineStr">
        <is>
          <t>Arquitectura</t>
        </is>
      </c>
      <c r="O28" s="18" t="inlineStr">
        <is>
          <t>Estimado DION · criterio de mercado Guayaquil 2026 (no verificado en tienda)</t>
        </is>
      </c>
      <c r="P28" s="18" t="inlineStr">
        <is>
          <t>oct-2026 (est.)</t>
        </is>
      </c>
      <c r="Q28" s="18" t="n">
        <v>5</v>
      </c>
    </row>
    <row r="29">
      <c r="A29" s="70" t="n">
        <v>16</v>
      </c>
      <c r="B29" s="71" t="inlineStr">
        <is>
          <t xml:space="preserve">        Canaleta PVC 150 mm (m)</t>
        </is>
      </c>
      <c r="C29" s="72" t="inlineStr">
        <is>
          <t>Comercial / Industrial</t>
        </is>
      </c>
      <c r="D29" s="70" t="inlineStr">
        <is>
          <t>Canaletas PVC</t>
        </is>
      </c>
      <c r="E29" s="70" t="inlineStr">
        <is>
          <t>m</t>
        </is>
      </c>
      <c r="F29" s="73" t="n">
        <v>10</v>
      </c>
      <c r="G29" s="74" t="n">
        <v>7.8</v>
      </c>
      <c r="H29" s="74" t="n">
        <v>7.96</v>
      </c>
      <c r="I29" s="70" t="inlineStr">
        <is>
          <t>Megametales</t>
        </is>
      </c>
      <c r="J29" s="74" t="n">
        <v>8.66</v>
      </c>
      <c r="K29" s="70" t="inlineStr">
        <is>
          <t>Kywi / Megakywi</t>
        </is>
      </c>
      <c r="L29" s="75">
        <f>F29*G29</f>
        <v/>
      </c>
      <c r="M29" s="153" t="inlineStr">
        <is>
          <t>A-B30-CAN-PVC-150</t>
        </is>
      </c>
      <c r="N29" s="70" t="inlineStr">
        <is>
          <t>Arquitectura</t>
        </is>
      </c>
      <c r="O29" s="70" t="inlineStr">
        <is>
          <t>Estimado DION · criterio de mercado Guayaquil 2026 (no verificado en tienda)</t>
        </is>
      </c>
      <c r="P29" s="70" t="inlineStr">
        <is>
          <t>oct-2026 (est.)</t>
        </is>
      </c>
      <c r="Q29" s="70" t="n">
        <v>5</v>
      </c>
    </row>
    <row r="30">
      <c r="A30" s="18" t="n">
        <v>17</v>
      </c>
      <c r="B30" s="19" t="inlineStr">
        <is>
          <t xml:space="preserve">        Tubo PVC Bajante Pluvial 75 mm (3 m)</t>
        </is>
      </c>
      <c r="C30" s="20" t="inlineStr">
        <is>
          <t>Residencial / Comercial</t>
        </is>
      </c>
      <c r="D30" s="18" t="inlineStr">
        <is>
          <t>Bajantes PVC</t>
        </is>
      </c>
      <c r="E30" s="18" t="inlineStr">
        <is>
          <t>U</t>
        </is>
      </c>
      <c r="F30" s="21" t="n">
        <v>4</v>
      </c>
      <c r="G30" s="22" t="n">
        <v>7.3</v>
      </c>
      <c r="H30" s="22" t="n">
        <v>7.52</v>
      </c>
      <c r="I30" s="18" t="inlineStr">
        <is>
          <t>Megametales</t>
        </is>
      </c>
      <c r="J30" s="22" t="n">
        <v>7.96</v>
      </c>
      <c r="K30" s="18" t="inlineStr">
        <is>
          <t>Ferrisariato</t>
        </is>
      </c>
      <c r="L30" s="8">
        <f>F30*G30</f>
        <v/>
      </c>
      <c r="M30" s="145" t="inlineStr">
        <is>
          <t>IS-D20-BAJ-PVC-075</t>
        </is>
      </c>
      <c r="N30" s="18" t="inlineStr">
        <is>
          <t>Instalaciones sanitarias (hidrosanitarias)</t>
        </is>
      </c>
      <c r="O30" s="18" t="inlineStr">
        <is>
          <t>Estimado DION · criterio de mercado Guayaquil 2026 (no verificado en tienda)</t>
        </is>
      </c>
      <c r="P30" s="18" t="inlineStr">
        <is>
          <t>oct-2026 (est.)</t>
        </is>
      </c>
      <c r="Q30" s="18" t="n">
        <v>5</v>
      </c>
    </row>
    <row r="31">
      <c r="A31" s="70" t="n">
        <v>18</v>
      </c>
      <c r="B31" s="71" t="inlineStr">
        <is>
          <t xml:space="preserve">        Tubo PVC Bajante Pluvial 160 mm (3 m)</t>
        </is>
      </c>
      <c r="C31" s="72" t="inlineStr">
        <is>
          <t>Comercial / Industrial</t>
        </is>
      </c>
      <c r="D31" s="70" t="inlineStr">
        <is>
          <t>Bajantes PVC</t>
        </is>
      </c>
      <c r="E31" s="70" t="inlineStr">
        <is>
          <t>U</t>
        </is>
      </c>
      <c r="F31" s="73" t="n">
        <v>4</v>
      </c>
      <c r="G31" s="74" t="n">
        <v>24.5</v>
      </c>
      <c r="H31" s="74" t="n">
        <v>24.99</v>
      </c>
      <c r="I31" s="70" t="inlineStr">
        <is>
          <t>Megametales</t>
        </is>
      </c>
      <c r="J31" s="74" t="n">
        <v>27.2</v>
      </c>
      <c r="K31" s="70" t="inlineStr">
        <is>
          <t>Kywi / Megakywi</t>
        </is>
      </c>
      <c r="L31" s="75">
        <f>F31*G31</f>
        <v/>
      </c>
      <c r="M31" s="153" t="inlineStr">
        <is>
          <t>IS-D20-BAJ-PVC-160</t>
        </is>
      </c>
      <c r="N31" s="70" t="inlineStr">
        <is>
          <t>Instalaciones sanitarias (hidrosanitarias)</t>
        </is>
      </c>
      <c r="O31" s="70" t="inlineStr">
        <is>
          <t>Estimado DION · criterio de mercado Guayaquil 2026 (no verificado en tienda)</t>
        </is>
      </c>
      <c r="P31" s="70" t="inlineStr">
        <is>
          <t>oct-2026 (est.)</t>
        </is>
      </c>
      <c r="Q31" s="70" t="n">
        <v>5</v>
      </c>
    </row>
    <row r="32">
      <c r="A32" s="18" t="n">
        <v>19</v>
      </c>
      <c r="B32" s="19" t="inlineStr">
        <is>
          <t xml:space="preserve">        Bajante Rectangular Galvanizado 100x75 mm (m)</t>
        </is>
      </c>
      <c r="C32" s="20" t="inlineStr">
        <is>
          <t>Residencial / Comercial</t>
        </is>
      </c>
      <c r="D32" s="18" t="inlineStr">
        <is>
          <t>Bajantes Metálicos</t>
        </is>
      </c>
      <c r="E32" s="18" t="inlineStr">
        <is>
          <t>m</t>
        </is>
      </c>
      <c r="F32" s="21" t="n">
        <v>6</v>
      </c>
      <c r="G32" s="22" t="n">
        <v>8.5</v>
      </c>
      <c r="H32" s="22" t="n">
        <v>8.67</v>
      </c>
      <c r="I32" s="18" t="inlineStr">
        <is>
          <t>Megametales</t>
        </is>
      </c>
      <c r="J32" s="22" t="n">
        <v>9.18</v>
      </c>
      <c r="K32" s="18" t="inlineStr">
        <is>
          <t>Ferrisariato</t>
        </is>
      </c>
      <c r="L32" s="8">
        <f>F32*G32</f>
        <v/>
      </c>
      <c r="M32" s="145" t="inlineStr">
        <is>
          <t>IS-D20-BAJ-GAL-100X75</t>
        </is>
      </c>
      <c r="N32" s="18" t="inlineStr">
        <is>
          <t>Instalaciones sanitarias (hidrosanitarias)</t>
        </is>
      </c>
      <c r="O32" s="18" t="inlineStr">
        <is>
          <t>Estimado DION · criterio de mercado Guayaquil 2026 (no verificado en tienda)</t>
        </is>
      </c>
      <c r="P32" s="18" t="inlineStr">
        <is>
          <t>oct-2026 (est.)</t>
        </is>
      </c>
      <c r="Q32" s="18" t="n">
        <v>5</v>
      </c>
    </row>
    <row r="33">
      <c r="A33" s="70" t="n">
        <v>20</v>
      </c>
      <c r="B33" s="71" t="inlineStr">
        <is>
          <t xml:space="preserve">        Tubo PVC Aguas Lluvias Ø110 mm (3 m)</t>
        </is>
      </c>
      <c r="C33" s="72" t="inlineStr">
        <is>
          <t>Residencial / Comercial</t>
        </is>
      </c>
      <c r="D33" s="70" t="inlineStr">
        <is>
          <t>Colectores PVC</t>
        </is>
      </c>
      <c r="E33" s="70" t="inlineStr">
        <is>
          <t>U</t>
        </is>
      </c>
      <c r="F33" s="73" t="n">
        <v>4</v>
      </c>
      <c r="G33" s="74" t="n">
        <v>10.9</v>
      </c>
      <c r="H33" s="74" t="n">
        <v>11.45</v>
      </c>
      <c r="I33" s="70" t="inlineStr">
        <is>
          <t>Megametales</t>
        </is>
      </c>
      <c r="J33" s="74" t="n">
        <v>11.88</v>
      </c>
      <c r="K33" s="70" t="inlineStr">
        <is>
          <t>Kywi / Megakywi</t>
        </is>
      </c>
      <c r="L33" s="75">
        <f>F33*G33</f>
        <v/>
      </c>
      <c r="M33" s="153" t="inlineStr">
        <is>
          <t>IS-D20-TLL-PVC-110</t>
        </is>
      </c>
      <c r="N33" s="70" t="inlineStr">
        <is>
          <t>Instalaciones sanitarias (hidrosanitarias)</t>
        </is>
      </c>
      <c r="O33" s="70" t="inlineStr">
        <is>
          <t>Estimado DION · criterio de mercado Guayaquil 2026 (no verificado en tienda)</t>
        </is>
      </c>
      <c r="P33" s="70" t="inlineStr">
        <is>
          <t>oct-2026 (est.)</t>
        </is>
      </c>
      <c r="Q33" s="70" t="n">
        <v>5</v>
      </c>
    </row>
    <row r="34">
      <c r="A34" s="18" t="n">
        <v>21</v>
      </c>
      <c r="B34" s="19" t="inlineStr">
        <is>
          <t xml:space="preserve">        Tubo PVC Aguas Lluvias Ø160 mm (3 m)</t>
        </is>
      </c>
      <c r="C34" s="20" t="inlineStr">
        <is>
          <t>Residencial / Comercial</t>
        </is>
      </c>
      <c r="D34" s="18" t="inlineStr">
        <is>
          <t>Colectores PVC</t>
        </is>
      </c>
      <c r="E34" s="18" t="inlineStr">
        <is>
          <t>U</t>
        </is>
      </c>
      <c r="F34" s="21" t="n">
        <v>4</v>
      </c>
      <c r="G34" s="22" t="n">
        <v>24.5</v>
      </c>
      <c r="H34" s="22" t="n">
        <v>25.48</v>
      </c>
      <c r="I34" s="18" t="inlineStr">
        <is>
          <t>Megametales</t>
        </is>
      </c>
      <c r="J34" s="22" t="n">
        <v>26.46</v>
      </c>
      <c r="K34" s="18" t="inlineStr">
        <is>
          <t>Ferrisariato</t>
        </is>
      </c>
      <c r="L34" s="8">
        <f>F34*G34</f>
        <v/>
      </c>
      <c r="M34" s="145" t="inlineStr">
        <is>
          <t>IS-D20-TLL-PVC-160</t>
        </is>
      </c>
      <c r="N34" s="18" t="inlineStr">
        <is>
          <t>Instalaciones sanitarias (hidrosanitarias)</t>
        </is>
      </c>
      <c r="O34" s="18" t="inlineStr">
        <is>
          <t>Estimado DION · criterio de mercado Guayaquil 2026 (no verificado en tienda)</t>
        </is>
      </c>
      <c r="P34" s="18" t="inlineStr">
        <is>
          <t>oct-2026 (est.)</t>
        </is>
      </c>
      <c r="Q34" s="18" t="n">
        <v>5</v>
      </c>
    </row>
    <row r="35">
      <c r="A35" s="70" t="n">
        <v>22</v>
      </c>
      <c r="B35" s="71" t="inlineStr">
        <is>
          <t xml:space="preserve">        Tubo PVC Aguas Lluvias Ø200 mm (3 m)</t>
        </is>
      </c>
      <c r="C35" s="72" t="inlineStr">
        <is>
          <t>Comercial / Industrial</t>
        </is>
      </c>
      <c r="D35" s="70" t="inlineStr">
        <is>
          <t>Colectores PVC</t>
        </is>
      </c>
      <c r="E35" s="70" t="inlineStr">
        <is>
          <t>U</t>
        </is>
      </c>
      <c r="F35" s="73" t="n">
        <v>4</v>
      </c>
      <c r="G35" s="74" t="n">
        <v>38.5</v>
      </c>
      <c r="H35" s="74" t="n">
        <v>40.04</v>
      </c>
      <c r="I35" s="70" t="inlineStr">
        <is>
          <t>Megametales</t>
        </is>
      </c>
      <c r="J35" s="74" t="n">
        <v>41.2</v>
      </c>
      <c r="K35" s="70" t="inlineStr">
        <is>
          <t>Kywi / Megakywi</t>
        </is>
      </c>
      <c r="L35" s="75">
        <f>F35*G35</f>
        <v/>
      </c>
      <c r="M35" s="153" t="inlineStr">
        <is>
          <t>IS-D20-TLL-PVC-200</t>
        </is>
      </c>
      <c r="N35" s="70" t="inlineStr">
        <is>
          <t>Instalaciones sanitarias (hidrosanitarias)</t>
        </is>
      </c>
      <c r="O35" s="70" t="inlineStr">
        <is>
          <t>Estimado DION · criterio de mercado Guayaquil 2026 (no verificado en tienda)</t>
        </is>
      </c>
      <c r="P35" s="70" t="inlineStr">
        <is>
          <t>oct-2026 (est.)</t>
        </is>
      </c>
      <c r="Q35" s="70" t="n">
        <v>5</v>
      </c>
    </row>
    <row r="36">
      <c r="A36" s="18" t="n">
        <v>23</v>
      </c>
      <c r="B36" s="19" t="inlineStr">
        <is>
          <t xml:space="preserve">        Tubo PVC Aguas Lluvias Ø250 mm (3 m)</t>
        </is>
      </c>
      <c r="C36" s="20" t="inlineStr">
        <is>
          <t>Comercial / Industrial</t>
        </is>
      </c>
      <c r="D36" s="18" t="inlineStr">
        <is>
          <t>Colectores PVC</t>
        </is>
      </c>
      <c r="E36" s="18" t="inlineStr">
        <is>
          <t>U</t>
        </is>
      </c>
      <c r="F36" s="21" t="n">
        <v>4</v>
      </c>
      <c r="G36" s="22" t="n">
        <v>59</v>
      </c>
      <c r="H36" s="22" t="n">
        <v>60.18</v>
      </c>
      <c r="I36" s="18" t="inlineStr">
        <is>
          <t>Megametales</t>
        </is>
      </c>
      <c r="J36" s="22" t="n">
        <v>64.31</v>
      </c>
      <c r="K36" s="18" t="inlineStr">
        <is>
          <t>Ferrisariato</t>
        </is>
      </c>
      <c r="L36" s="8">
        <f>F36*G36</f>
        <v/>
      </c>
      <c r="M36" s="145" t="inlineStr">
        <is>
          <t>IS-D20-TLL-PVC-250</t>
        </is>
      </c>
      <c r="N36" s="18" t="inlineStr">
        <is>
          <t>Instalaciones sanitarias (hidrosanitarias)</t>
        </is>
      </c>
      <c r="O36" s="18" t="inlineStr">
        <is>
          <t>Estimado DION · criterio de mercado Guayaquil 2026 (no verificado en tienda)</t>
        </is>
      </c>
      <c r="P36" s="18" t="inlineStr">
        <is>
          <t>oct-2026 (est.)</t>
        </is>
      </c>
      <c r="Q36" s="18" t="n">
        <v>5</v>
      </c>
    </row>
    <row r="37">
      <c r="A37" s="70" t="n">
        <v>24</v>
      </c>
      <c r="B37" s="71" t="inlineStr">
        <is>
          <t xml:space="preserve">        Tubo PVC Aguas Lluvias Ø315 mm (3 m)</t>
        </is>
      </c>
      <c r="C37" s="72" t="inlineStr">
        <is>
          <t>Comercial / Industrial</t>
        </is>
      </c>
      <c r="D37" s="70" t="inlineStr">
        <is>
          <t>Colectores PVC</t>
        </is>
      </c>
      <c r="E37" s="70" t="inlineStr">
        <is>
          <t>U</t>
        </is>
      </c>
      <c r="F37" s="73" t="n">
        <v>4</v>
      </c>
      <c r="G37" s="74" t="n">
        <v>92</v>
      </c>
      <c r="H37" s="74" t="n">
        <v>95.68000000000001</v>
      </c>
      <c r="I37" s="70" t="inlineStr">
        <is>
          <t>Megametales</t>
        </is>
      </c>
      <c r="J37" s="74" t="n">
        <v>100.28</v>
      </c>
      <c r="K37" s="70" t="inlineStr">
        <is>
          <t>Kywi / Megakywi</t>
        </is>
      </c>
      <c r="L37" s="75">
        <f>F37*G37</f>
        <v/>
      </c>
      <c r="M37" s="153" t="inlineStr">
        <is>
          <t>IS-D20-TLL-PVC-315</t>
        </is>
      </c>
      <c r="N37" s="70" t="inlineStr">
        <is>
          <t>Instalaciones sanitarias (hidrosanitarias)</t>
        </is>
      </c>
      <c r="O37" s="70" t="inlineStr">
        <is>
          <t>Estimado DION · criterio de mercado Guayaquil 2026 (no verificado en tienda)</t>
        </is>
      </c>
      <c r="P37" s="70" t="inlineStr">
        <is>
          <t>oct-2026 (est.)</t>
        </is>
      </c>
      <c r="Q37" s="70" t="n">
        <v>5</v>
      </c>
    </row>
    <row r="38">
      <c r="A38" s="18" t="n">
        <v>25</v>
      </c>
      <c r="B38" s="19" t="inlineStr">
        <is>
          <t xml:space="preserve">        Tubo PVC Corrugado Doble Pared Ø200 mm (6 m) Alcantarillado</t>
        </is>
      </c>
      <c r="C38" s="20" t="inlineStr">
        <is>
          <t>Urbanización / Comercial</t>
        </is>
      </c>
      <c r="D38" s="18" t="inlineStr">
        <is>
          <t>Corrugados</t>
        </is>
      </c>
      <c r="E38" s="18" t="inlineStr">
        <is>
          <t>U</t>
        </is>
      </c>
      <c r="F38" s="21" t="n">
        <v>2</v>
      </c>
      <c r="G38" s="22" t="n">
        <v>76</v>
      </c>
      <c r="H38" s="22" t="n">
        <v>77.52</v>
      </c>
      <c r="I38" s="18" t="inlineStr">
        <is>
          <t>Megametales</t>
        </is>
      </c>
      <c r="J38" s="22" t="n">
        <v>82.84</v>
      </c>
      <c r="K38" s="18" t="inlineStr">
        <is>
          <t>Ferrisariato</t>
        </is>
      </c>
      <c r="L38" s="8">
        <f>F38*G38</f>
        <v/>
      </c>
      <c r="M38" s="145" t="inlineStr">
        <is>
          <t>IS-D20-TLL-COR-200</t>
        </is>
      </c>
      <c r="N38" s="18" t="inlineStr">
        <is>
          <t>Instalaciones sanitarias (hidrosanitarias)</t>
        </is>
      </c>
      <c r="O38" s="18" t="inlineStr">
        <is>
          <t>Estimado DION · criterio de mercado Guayaquil 2026 (no verificado en tienda)</t>
        </is>
      </c>
      <c r="P38" s="18" t="inlineStr">
        <is>
          <t>oct-2026 (est.)</t>
        </is>
      </c>
      <c r="Q38" s="18" t="n">
        <v>3</v>
      </c>
    </row>
    <row r="39">
      <c r="A39" s="70" t="n">
        <v>26</v>
      </c>
      <c r="B39" s="71" t="inlineStr">
        <is>
          <t xml:space="preserve">        Tubo PVC Corrugado Doble Pared Ø250 mm (6 m) Alcantarillado</t>
        </is>
      </c>
      <c r="C39" s="72" t="inlineStr">
        <is>
          <t>Urbanización / Comercial</t>
        </is>
      </c>
      <c r="D39" s="70" t="inlineStr">
        <is>
          <t>Corrugados</t>
        </is>
      </c>
      <c r="E39" s="70" t="inlineStr">
        <is>
          <t>U</t>
        </is>
      </c>
      <c r="F39" s="73" t="n">
        <v>2</v>
      </c>
      <c r="G39" s="74" t="n">
        <v>116</v>
      </c>
      <c r="H39" s="74" t="n">
        <v>120.64</v>
      </c>
      <c r="I39" s="70" t="inlineStr">
        <is>
          <t>Megametales</t>
        </is>
      </c>
      <c r="J39" s="74" t="n">
        <v>124.12</v>
      </c>
      <c r="K39" s="70" t="inlineStr">
        <is>
          <t>Kywi / Megakywi</t>
        </is>
      </c>
      <c r="L39" s="75">
        <f>F39*G39</f>
        <v/>
      </c>
      <c r="M39" s="153" t="inlineStr">
        <is>
          <t>IS-D20-TLL-COR-250</t>
        </is>
      </c>
      <c r="N39" s="70" t="inlineStr">
        <is>
          <t>Instalaciones sanitarias (hidrosanitarias)</t>
        </is>
      </c>
      <c r="O39" s="70" t="inlineStr">
        <is>
          <t>Estimado DION · criterio de mercado Guayaquil 2026 (no verificado en tienda)</t>
        </is>
      </c>
      <c r="P39" s="70" t="inlineStr">
        <is>
          <t>oct-2026 (est.)</t>
        </is>
      </c>
      <c r="Q39" s="70" t="n">
        <v>3</v>
      </c>
    </row>
    <row r="40">
      <c r="A40" s="18" t="n">
        <v>27</v>
      </c>
      <c r="B40" s="19" t="inlineStr">
        <is>
          <t xml:space="preserve">        Tubo PVC Corrugado Doble Pared Ø315 mm (6 m) Alcantarillado</t>
        </is>
      </c>
      <c r="C40" s="20" t="inlineStr">
        <is>
          <t>Urbanización / Comercial</t>
        </is>
      </c>
      <c r="D40" s="18" t="inlineStr">
        <is>
          <t>Corrugados</t>
        </is>
      </c>
      <c r="E40" s="18" t="inlineStr">
        <is>
          <t>U</t>
        </is>
      </c>
      <c r="F40" s="21" t="n">
        <v>2</v>
      </c>
      <c r="G40" s="22" t="n">
        <v>178</v>
      </c>
      <c r="H40" s="22" t="n">
        <v>183.34</v>
      </c>
      <c r="I40" s="18" t="inlineStr">
        <is>
          <t>Megametales</t>
        </is>
      </c>
      <c r="J40" s="22" t="n">
        <v>195.8</v>
      </c>
      <c r="K40" s="18" t="inlineStr">
        <is>
          <t>Ferrisariato</t>
        </is>
      </c>
      <c r="L40" s="8">
        <f>F40*G40</f>
        <v/>
      </c>
      <c r="M40" s="145" t="inlineStr">
        <is>
          <t>IS-D20-TLL-COR-315</t>
        </is>
      </c>
      <c r="N40" s="18" t="inlineStr">
        <is>
          <t>Instalaciones sanitarias (hidrosanitarias)</t>
        </is>
      </c>
      <c r="O40" s="18" t="inlineStr">
        <is>
          <t>Estimado DION · criterio de mercado Guayaquil 2026 (no verificado en tienda)</t>
        </is>
      </c>
      <c r="P40" s="18" t="inlineStr">
        <is>
          <t>oct-2026 (est.)</t>
        </is>
      </c>
      <c r="Q40" s="18" t="n">
        <v>3</v>
      </c>
    </row>
    <row r="41">
      <c r="A41" s="70" t="n">
        <v>28</v>
      </c>
      <c r="B41" s="71" t="inlineStr">
        <is>
          <t xml:space="preserve">        Tubo PVC Corrugado Doble Pared Ø400 mm (6 m) Alcantarillado</t>
        </is>
      </c>
      <c r="C41" s="72" t="inlineStr">
        <is>
          <t>Urbanización / Comercial</t>
        </is>
      </c>
      <c r="D41" s="70" t="inlineStr">
        <is>
          <t>Corrugados</t>
        </is>
      </c>
      <c r="E41" s="70" t="inlineStr">
        <is>
          <t>U</t>
        </is>
      </c>
      <c r="F41" s="73" t="n">
        <v>2</v>
      </c>
      <c r="G41" s="74" t="n">
        <v>295</v>
      </c>
      <c r="H41" s="74" t="n">
        <v>306.8</v>
      </c>
      <c r="I41" s="70" t="inlineStr">
        <is>
          <t>Megametales</t>
        </is>
      </c>
      <c r="J41" s="74" t="n">
        <v>324.5</v>
      </c>
      <c r="K41" s="70" t="inlineStr">
        <is>
          <t>Kywi / Megakywi</t>
        </is>
      </c>
      <c r="L41" s="75">
        <f>F41*G41</f>
        <v/>
      </c>
      <c r="M41" s="153" t="inlineStr">
        <is>
          <t>IS-D20-TLL-COR-400</t>
        </is>
      </c>
      <c r="N41" s="70" t="inlineStr">
        <is>
          <t>Instalaciones sanitarias (hidrosanitarias)</t>
        </is>
      </c>
      <c r="O41" s="70" t="inlineStr">
        <is>
          <t>Estimado DION · criterio de mercado Guayaquil 2026 (no verificado en tienda)</t>
        </is>
      </c>
      <c r="P41" s="70" t="inlineStr">
        <is>
          <t>oct-2026 (est.)</t>
        </is>
      </c>
      <c r="Q41" s="70" t="n">
        <v>3</v>
      </c>
    </row>
    <row r="42">
      <c r="A42" s="18" t="n">
        <v>29</v>
      </c>
      <c r="B42" s="19" t="inlineStr">
        <is>
          <t xml:space="preserve">        Tubo PVC Corrugado Doble Pared Ø500 mm (6 m) Alcantarillado</t>
        </is>
      </c>
      <c r="C42" s="20" t="inlineStr">
        <is>
          <t>Urbanización / Comercial</t>
        </is>
      </c>
      <c r="D42" s="18" t="inlineStr">
        <is>
          <t>Corrugados</t>
        </is>
      </c>
      <c r="E42" s="18" t="inlineStr">
        <is>
          <t>U</t>
        </is>
      </c>
      <c r="F42" s="21" t="n">
        <v>2</v>
      </c>
      <c r="G42" s="22" t="n">
        <v>455</v>
      </c>
      <c r="H42" s="22" t="n">
        <v>477.75</v>
      </c>
      <c r="I42" s="18" t="inlineStr">
        <is>
          <t>Megametales</t>
        </is>
      </c>
      <c r="J42" s="22" t="n">
        <v>505.05</v>
      </c>
      <c r="K42" s="18" t="inlineStr">
        <is>
          <t>Ferrisariato</t>
        </is>
      </c>
      <c r="L42" s="8">
        <f>F42*G42</f>
        <v/>
      </c>
      <c r="M42" s="145" t="inlineStr">
        <is>
          <t>IS-D20-TLL-COR-500</t>
        </is>
      </c>
      <c r="N42" s="18" t="inlineStr">
        <is>
          <t>Instalaciones sanitarias (hidrosanitarias)</t>
        </is>
      </c>
      <c r="O42" s="18" t="inlineStr">
        <is>
          <t>Estimado DION · criterio de mercado Guayaquil 2026 (no verificado en tienda)</t>
        </is>
      </c>
      <c r="P42" s="18" t="inlineStr">
        <is>
          <t>oct-2026 (est.)</t>
        </is>
      </c>
      <c r="Q42" s="18" t="n">
        <v>3</v>
      </c>
    </row>
    <row r="43">
      <c r="A43" s="67" t="inlineStr">
        <is>
          <t>EQUIPOS</t>
        </is>
      </c>
      <c r="B43" s="143" t="n"/>
      <c r="C43" s="143" t="n"/>
      <c r="D43" s="143" t="n"/>
      <c r="E43" s="143" t="n"/>
      <c r="F43" s="143" t="n"/>
      <c r="G43" s="143" t="n"/>
      <c r="H43" s="143" t="n"/>
      <c r="I43" s="143" t="n"/>
      <c r="J43" s="143" t="n"/>
      <c r="K43" s="143" t="n"/>
      <c r="L43" s="143" t="n"/>
      <c r="M43" s="143" t="n"/>
      <c r="N43" s="143" t="n"/>
      <c r="O43" s="143" t="n"/>
      <c r="P43" s="143" t="n"/>
      <c r="Q43" s="144" t="n"/>
    </row>
    <row r="44">
      <c r="A44" s="68" t="inlineStr">
        <is>
          <t xml:space="preserve">  ► CATEGORÍA: BOMBAS ACHIQUE DE SUMIDERO PLUVIAL</t>
        </is>
      </c>
      <c r="B44" s="143" t="n"/>
      <c r="C44" s="143" t="n"/>
      <c r="D44" s="143" t="n"/>
      <c r="E44" s="143" t="n"/>
      <c r="F44" s="143" t="n"/>
      <c r="G44" s="143" t="n"/>
      <c r="H44" s="143" t="n"/>
      <c r="I44" s="143" t="n"/>
      <c r="J44" s="143" t="n"/>
      <c r="K44" s="143" t="n"/>
      <c r="L44" s="143" t="n"/>
      <c r="M44" s="143" t="n"/>
      <c r="N44" s="143" t="n"/>
      <c r="O44" s="143" t="n"/>
      <c r="P44" s="143" t="n"/>
      <c r="Q44" s="144" t="n"/>
    </row>
    <row r="45">
      <c r="A45" s="69" t="inlineStr">
        <is>
          <t xml:space="preserve">      • Subcategoría Especificada: Evacuación de Aguas Pluviales</t>
        </is>
      </c>
      <c r="B45" s="143" t="n"/>
      <c r="C45" s="143" t="n"/>
      <c r="D45" s="143" t="n"/>
      <c r="E45" s="143" t="n"/>
      <c r="F45" s="143" t="n"/>
      <c r="G45" s="143" t="n"/>
      <c r="H45" s="143" t="n"/>
      <c r="I45" s="143" t="n"/>
      <c r="J45" s="143" t="n"/>
      <c r="K45" s="143" t="n"/>
      <c r="L45" s="143" t="n"/>
      <c r="M45" s="143" t="n"/>
      <c r="N45" s="143" t="n"/>
      <c r="O45" s="143" t="n"/>
      <c r="P45" s="143" t="n"/>
      <c r="Q45" s="144" t="n"/>
    </row>
    <row r="46">
      <c r="A46" s="70" t="n">
        <v>30</v>
      </c>
      <c r="B46" s="71" t="inlineStr">
        <is>
          <t xml:space="preserve">        Bomba Sumergible para Aguas Lluvias / Achique 1 HP</t>
        </is>
      </c>
      <c r="C46" s="72" t="inlineStr">
        <is>
          <t>Residencial / Comercial</t>
        </is>
      </c>
      <c r="D46" s="70" t="inlineStr">
        <is>
          <t>Bombas Achique</t>
        </is>
      </c>
      <c r="E46" s="70" t="inlineStr">
        <is>
          <t>U</t>
        </is>
      </c>
      <c r="F46" s="73" t="n">
        <v>1</v>
      </c>
      <c r="G46" s="74" t="n">
        <v>185</v>
      </c>
      <c r="H46" s="74" t="n">
        <v>192</v>
      </c>
      <c r="I46" s="70" t="inlineStr">
        <is>
          <t>Megametales</t>
        </is>
      </c>
      <c r="J46" s="74" t="n">
        <v>205</v>
      </c>
      <c r="K46" s="70" t="inlineStr">
        <is>
          <t>Ferrisariato</t>
        </is>
      </c>
      <c r="L46" s="75">
        <f>F46*G46</f>
        <v/>
      </c>
      <c r="M46" s="153" t="inlineStr">
        <is>
          <t>IS-D20-BOM-SUM-1HP</t>
        </is>
      </c>
      <c r="N46" s="70" t="inlineStr">
        <is>
          <t>Instalaciones sanitarias (hidrosanitarias)</t>
        </is>
      </c>
      <c r="O46" s="70" t="inlineStr">
        <is>
          <t>Estimado · base original del usuario (sin cotización verificada)</t>
        </is>
      </c>
      <c r="P46" s="70" t="inlineStr">
        <is>
          <t>oct-2026 (est.)</t>
        </is>
      </c>
      <c r="Q46" s="70" t="n"/>
    </row>
    <row r="47">
      <c r="A47" s="69" t="inlineStr">
        <is>
          <t xml:space="preserve">      • Subcategoría Especificada: Bombas y Tanques de Retención</t>
        </is>
      </c>
      <c r="B47" s="143" t="n"/>
      <c r="C47" s="143" t="n"/>
      <c r="D47" s="143" t="n"/>
      <c r="E47" s="143" t="n"/>
      <c r="F47" s="143" t="n"/>
      <c r="G47" s="143" t="n"/>
      <c r="H47" s="143" t="n"/>
      <c r="I47" s="143" t="n"/>
      <c r="J47" s="143" t="n"/>
      <c r="K47" s="143" t="n"/>
      <c r="L47" s="143" t="n"/>
      <c r="M47" s="143" t="n"/>
      <c r="N47" s="143" t="n"/>
      <c r="O47" s="143" t="n"/>
      <c r="P47" s="143" t="n"/>
      <c r="Q47" s="144" t="n"/>
    </row>
    <row r="48">
      <c r="A48" s="18" t="n">
        <v>31</v>
      </c>
      <c r="B48" s="19" t="inlineStr">
        <is>
          <t xml:space="preserve">        Bomba Sumergible Aguas Lluvias 3 HP Trifásica</t>
        </is>
      </c>
      <c r="C48" s="20" t="inlineStr">
        <is>
          <t>Comercial / Industrial</t>
        </is>
      </c>
      <c r="D48" s="18" t="inlineStr">
        <is>
          <t>Bombas Achique</t>
        </is>
      </c>
      <c r="E48" s="18" t="inlineStr">
        <is>
          <t>U</t>
        </is>
      </c>
      <c r="F48" s="21" t="n">
        <v>0</v>
      </c>
      <c r="G48" s="22" t="n">
        <v>820</v>
      </c>
      <c r="H48" s="22" t="n">
        <v>844.6</v>
      </c>
      <c r="I48" s="18" t="inlineStr">
        <is>
          <t>Megametales</t>
        </is>
      </c>
      <c r="J48" s="22" t="n">
        <v>902</v>
      </c>
      <c r="K48" s="18" t="inlineStr">
        <is>
          <t>Ferrisariato</t>
        </is>
      </c>
      <c r="L48" s="8">
        <f>F48*G48</f>
        <v/>
      </c>
      <c r="M48" s="145" t="inlineStr">
        <is>
          <t>IS-D20-BOM-SUM-3HP</t>
        </is>
      </c>
      <c r="N48" s="18" t="inlineStr">
        <is>
          <t>Instalaciones sanitarias (hidrosanitarias)</t>
        </is>
      </c>
      <c r="O48" s="18" t="inlineStr">
        <is>
          <t>Estimado DION · criterio de mercado Guayaquil 2026 (no verificado en tienda)</t>
        </is>
      </c>
      <c r="P48" s="18" t="inlineStr">
        <is>
          <t>oct-2026 (est.)</t>
        </is>
      </c>
      <c r="Q48" s="18" t="n"/>
    </row>
    <row r="49">
      <c r="A49" s="70" t="n">
        <v>32</v>
      </c>
      <c r="B49" s="71" t="inlineStr">
        <is>
          <t xml:space="preserve">        Tanque Recolector Agua Lluvia 10 m³ (Cosecha Pluvial)</t>
        </is>
      </c>
      <c r="C49" s="72" t="inlineStr">
        <is>
          <t>Residencial / Comercial</t>
        </is>
      </c>
      <c r="D49" s="70" t="inlineStr">
        <is>
          <t>Tanques Pluviales</t>
        </is>
      </c>
      <c r="E49" s="70" t="inlineStr">
        <is>
          <t>U</t>
        </is>
      </c>
      <c r="F49" s="73" t="n">
        <v>0</v>
      </c>
      <c r="G49" s="74" t="n">
        <v>2400</v>
      </c>
      <c r="H49" s="74" t="n">
        <v>2448</v>
      </c>
      <c r="I49" s="70" t="inlineStr">
        <is>
          <t>Megametales</t>
        </is>
      </c>
      <c r="J49" s="74" t="n">
        <v>2664</v>
      </c>
      <c r="K49" s="70" t="inlineStr">
        <is>
          <t>Kywi / Megakywi</t>
        </is>
      </c>
      <c r="L49" s="75">
        <f>F49*G49</f>
        <v/>
      </c>
      <c r="M49" s="153" t="inlineStr">
        <is>
          <t>IS-D20-DRE-TAN-REC-10M3</t>
        </is>
      </c>
      <c r="N49" s="70" t="inlineStr">
        <is>
          <t>Instalaciones sanitarias (hidrosanitarias)</t>
        </is>
      </c>
      <c r="O49" s="70" t="inlineStr">
        <is>
          <t>Estimado DION · criterio de mercado Guayaquil 2026 (no verificado en tienda)</t>
        </is>
      </c>
      <c r="P49" s="70" t="inlineStr">
        <is>
          <t>oct-2026 (est.)</t>
        </is>
      </c>
      <c r="Q49" s="70" t="n"/>
    </row>
    <row r="50">
      <c r="A50" s="18" t="n">
        <v>33</v>
      </c>
      <c r="B50" s="19" t="inlineStr">
        <is>
          <t xml:space="preserve">        Tanque de Retención / Laminación Pluvial 50 m³ (H.A.)</t>
        </is>
      </c>
      <c r="C50" s="20" t="inlineStr">
        <is>
          <t>Comercial / Urbanización</t>
        </is>
      </c>
      <c r="D50" s="18" t="inlineStr">
        <is>
          <t>Tanques Retención</t>
        </is>
      </c>
      <c r="E50" s="18" t="inlineStr">
        <is>
          <t>U</t>
        </is>
      </c>
      <c r="F50" s="21" t="n">
        <v>0</v>
      </c>
      <c r="G50" s="22" t="n">
        <v>14500</v>
      </c>
      <c r="H50" s="22" t="n">
        <v>14935</v>
      </c>
      <c r="I50" s="18" t="inlineStr">
        <is>
          <t>Megametales</t>
        </is>
      </c>
      <c r="J50" s="22" t="n">
        <v>16095</v>
      </c>
      <c r="K50" s="18" t="inlineStr">
        <is>
          <t>Ferrisariato</t>
        </is>
      </c>
      <c r="L50" s="8">
        <f>F50*G50</f>
        <v/>
      </c>
      <c r="M50" s="145" t="inlineStr">
        <is>
          <t>IS-D20-DRE-TAN-RET-50M3</t>
        </is>
      </c>
      <c r="N50" s="18" t="inlineStr">
        <is>
          <t>Instalaciones sanitarias (hidrosanitarias)</t>
        </is>
      </c>
      <c r="O50" s="18" t="inlineStr">
        <is>
          <t>Estimado DION · criterio de mercado Guayaquil 2026 (no verificado en tienda)</t>
        </is>
      </c>
      <c r="P50" s="18" t="inlineStr">
        <is>
          <t>oct-2026 (est.)</t>
        </is>
      </c>
      <c r="Q50" s="18" t="n"/>
    </row>
    <row r="51">
      <c r="A51" s="67" t="inlineStr">
        <is>
          <t>CONEXIONES</t>
        </is>
      </c>
      <c r="B51" s="143" t="n"/>
      <c r="C51" s="143" t="n"/>
      <c r="D51" s="143" t="n"/>
      <c r="E51" s="143" t="n"/>
      <c r="F51" s="143" t="n"/>
      <c r="G51" s="143" t="n"/>
      <c r="H51" s="143" t="n"/>
      <c r="I51" s="143" t="n"/>
      <c r="J51" s="143" t="n"/>
      <c r="K51" s="143" t="n"/>
      <c r="L51" s="143" t="n"/>
      <c r="M51" s="143" t="n"/>
      <c r="N51" s="143" t="n"/>
      <c r="O51" s="143" t="n"/>
      <c r="P51" s="143" t="n"/>
      <c r="Q51" s="144" t="n"/>
    </row>
    <row r="52">
      <c r="A52" s="68" t="inlineStr">
        <is>
          <t xml:space="preserve">  ► CATEGORÍA: SUMIDEROS DE PATIO Y CANALES MONOLÍTICOS C250</t>
        </is>
      </c>
      <c r="B52" s="143" t="n"/>
      <c r="C52" s="143" t="n"/>
      <c r="D52" s="143" t="n"/>
      <c r="E52" s="143" t="n"/>
      <c r="F52" s="143" t="n"/>
      <c r="G52" s="143" t="n"/>
      <c r="H52" s="143" t="n"/>
      <c r="I52" s="143" t="n"/>
      <c r="J52" s="143" t="n"/>
      <c r="K52" s="143" t="n"/>
      <c r="L52" s="143" t="n"/>
      <c r="M52" s="143" t="n"/>
      <c r="N52" s="143" t="n"/>
      <c r="O52" s="143" t="n"/>
      <c r="P52" s="143" t="n"/>
      <c r="Q52" s="144" t="n"/>
    </row>
    <row r="53">
      <c r="A53" s="69" t="inlineStr">
        <is>
          <t xml:space="preserve">      • Subcategoría Especificada: Drenaje Superficial Patio/Parqueo</t>
        </is>
      </c>
      <c r="B53" s="143" t="n"/>
      <c r="C53" s="143" t="n"/>
      <c r="D53" s="143" t="n"/>
      <c r="E53" s="143" t="n"/>
      <c r="F53" s="143" t="n"/>
      <c r="G53" s="143" t="n"/>
      <c r="H53" s="143" t="n"/>
      <c r="I53" s="143" t="n"/>
      <c r="J53" s="143" t="n"/>
      <c r="K53" s="143" t="n"/>
      <c r="L53" s="143" t="n"/>
      <c r="M53" s="143" t="n"/>
      <c r="N53" s="143" t="n"/>
      <c r="O53" s="143" t="n"/>
      <c r="P53" s="143" t="n"/>
      <c r="Q53" s="144" t="n"/>
    </row>
    <row r="54">
      <c r="A54" s="70" t="n">
        <v>34</v>
      </c>
      <c r="B54" s="71" t="inlineStr">
        <is>
          <t xml:space="preserve">        Sumidero Pluvial Patio / Concreto 30x30cm</t>
        </is>
      </c>
      <c r="C54" s="72" t="inlineStr">
        <is>
          <t>Residencial / Comercial</t>
        </is>
      </c>
      <c r="D54" s="70" t="inlineStr">
        <is>
          <t>Sumideros Patio</t>
        </is>
      </c>
      <c r="E54" s="70" t="inlineStr">
        <is>
          <t>U</t>
        </is>
      </c>
      <c r="F54" s="73" t="n">
        <v>4</v>
      </c>
      <c r="G54" s="74" t="n">
        <v>28</v>
      </c>
      <c r="H54" s="74" t="n">
        <v>29.2</v>
      </c>
      <c r="I54" s="70" t="inlineStr">
        <is>
          <t>Megametales</t>
        </is>
      </c>
      <c r="J54" s="74" t="n">
        <v>31</v>
      </c>
      <c r="K54" s="70" t="inlineStr">
        <is>
          <t>Kywi / Megakywi</t>
        </is>
      </c>
      <c r="L54" s="75">
        <f>F54*G54</f>
        <v/>
      </c>
      <c r="M54" s="153" t="inlineStr">
        <is>
          <t>IS-D20-DRE-SUM-CAL-30X30</t>
        </is>
      </c>
      <c r="N54" s="70" t="inlineStr">
        <is>
          <t>Instalaciones sanitarias (hidrosanitarias)</t>
        </is>
      </c>
      <c r="O54" s="70" t="inlineStr">
        <is>
          <t>Estimado · base original del usuario (sin cotización verificada)</t>
        </is>
      </c>
      <c r="P54" s="70" t="inlineStr">
        <is>
          <t>oct-2026 (est.)</t>
        </is>
      </c>
      <c r="Q54" s="70" t="n"/>
    </row>
    <row r="55">
      <c r="A55" s="18" t="n">
        <v>35</v>
      </c>
      <c r="B55" s="19" t="inlineStr">
        <is>
          <t xml:space="preserve">        Canal Monolítico Hormigón Polímero C250 Tráfico</t>
        </is>
      </c>
      <c r="C55" s="20" t="inlineStr">
        <is>
          <t>Comercial / Industrial / Parqueos</t>
        </is>
      </c>
      <c r="D55" s="18" t="inlineStr">
        <is>
          <t>Canales Monolíticos</t>
        </is>
      </c>
      <c r="E55" s="18" t="inlineStr">
        <is>
          <t>m</t>
        </is>
      </c>
      <c r="F55" s="21" t="n">
        <v>6</v>
      </c>
      <c r="G55" s="22" t="n">
        <v>45</v>
      </c>
      <c r="H55" s="22" t="n">
        <v>46.8</v>
      </c>
      <c r="I55" s="18" t="inlineStr">
        <is>
          <t>Megametales</t>
        </is>
      </c>
      <c r="J55" s="22" t="n">
        <v>49.5</v>
      </c>
      <c r="K55" s="18" t="inlineStr">
        <is>
          <t>Kywi / Megakywi</t>
        </is>
      </c>
      <c r="L55" s="8">
        <f>F55*G55</f>
        <v/>
      </c>
      <c r="M55" s="145" t="inlineStr">
        <is>
          <t>IS-D20-DRE-CAN-010</t>
        </is>
      </c>
      <c r="N55" s="18" t="inlineStr">
        <is>
          <t>Instalaciones sanitarias (hidrosanitarias)</t>
        </is>
      </c>
      <c r="O55" s="18" t="inlineStr">
        <is>
          <t>Estimado · base original del usuario (sin cotización verificada)</t>
        </is>
      </c>
      <c r="P55" s="18" t="inlineStr">
        <is>
          <t>oct-2026 (est.)</t>
        </is>
      </c>
      <c r="Q55" s="18" t="n"/>
    </row>
    <row r="56">
      <c r="A56" s="69" t="inlineStr">
        <is>
          <t xml:space="preserve">      • Subcategoría Especificada: Accesorios, Sumideros y Canales por Ancho</t>
        </is>
      </c>
      <c r="B56" s="143" t="n"/>
      <c r="C56" s="143" t="n"/>
      <c r="D56" s="143" t="n"/>
      <c r="E56" s="143" t="n"/>
      <c r="F56" s="143" t="n"/>
      <c r="G56" s="143" t="n"/>
      <c r="H56" s="143" t="n"/>
      <c r="I56" s="143" t="n"/>
      <c r="J56" s="143" t="n"/>
      <c r="K56" s="143" t="n"/>
      <c r="L56" s="143" t="n"/>
      <c r="M56" s="143" t="n"/>
      <c r="N56" s="143" t="n"/>
      <c r="O56" s="143" t="n"/>
      <c r="P56" s="143" t="n"/>
      <c r="Q56" s="144" t="n"/>
    </row>
    <row r="57">
      <c r="A57" s="70" t="n">
        <v>36</v>
      </c>
      <c r="B57" s="71" t="inlineStr">
        <is>
          <t xml:space="preserve">        Codo 90° PVC Aguas Lluvias Ø75 mm</t>
        </is>
      </c>
      <c r="C57" s="72" t="inlineStr">
        <is>
          <t>Residencial / Comercial</t>
        </is>
      </c>
      <c r="D57" s="70" t="inlineStr">
        <is>
          <t>Codo 90° Pluviales</t>
        </is>
      </c>
      <c r="E57" s="70" t="inlineStr">
        <is>
          <t>U</t>
        </is>
      </c>
      <c r="F57" s="73" t="n">
        <v>4</v>
      </c>
      <c r="G57" s="74" t="n">
        <v>1.9</v>
      </c>
      <c r="H57" s="74" t="n">
        <v>1.98</v>
      </c>
      <c r="I57" s="70" t="inlineStr">
        <is>
          <t>Megametales</t>
        </is>
      </c>
      <c r="J57" s="74" t="n">
        <v>2.03</v>
      </c>
      <c r="K57" s="70" t="inlineStr">
        <is>
          <t>Kywi / Megakywi</t>
        </is>
      </c>
      <c r="L57" s="75">
        <f>F57*G57</f>
        <v/>
      </c>
      <c r="M57" s="153" t="inlineStr">
        <is>
          <t>IS-D20-ACL-PVC-C90-075</t>
        </is>
      </c>
      <c r="N57" s="70" t="inlineStr">
        <is>
          <t>Instalaciones sanitarias (hidrosanitarias)</t>
        </is>
      </c>
      <c r="O57" s="70" t="inlineStr">
        <is>
          <t>Estimado DION · criterio de mercado Guayaquil 2026 (no verificado en tienda)</t>
        </is>
      </c>
      <c r="P57" s="70" t="inlineStr">
        <is>
          <t>oct-2026 (est.)</t>
        </is>
      </c>
      <c r="Q57" s="70" t="n"/>
    </row>
    <row r="58">
      <c r="A58" s="18" t="n">
        <v>37</v>
      </c>
      <c r="B58" s="19" t="inlineStr">
        <is>
          <t xml:space="preserve">        Codo 45° PVC Aguas Lluvias Ø75 mm</t>
        </is>
      </c>
      <c r="C58" s="20" t="inlineStr">
        <is>
          <t>Residencial / Comercial</t>
        </is>
      </c>
      <c r="D58" s="18" t="inlineStr">
        <is>
          <t>Codo 45° Pluviales</t>
        </is>
      </c>
      <c r="E58" s="18" t="inlineStr">
        <is>
          <t>U</t>
        </is>
      </c>
      <c r="F58" s="21" t="n">
        <v>4</v>
      </c>
      <c r="G58" s="22" t="n">
        <v>1.8</v>
      </c>
      <c r="H58" s="22" t="n">
        <v>1.85</v>
      </c>
      <c r="I58" s="18" t="inlineStr">
        <is>
          <t>Megametales</t>
        </is>
      </c>
      <c r="J58" s="22" t="n">
        <v>1.93</v>
      </c>
      <c r="K58" s="18" t="inlineStr">
        <is>
          <t>Ferrisariato</t>
        </is>
      </c>
      <c r="L58" s="8">
        <f>F58*G58</f>
        <v/>
      </c>
      <c r="M58" s="145" t="inlineStr">
        <is>
          <t>IS-D20-ACL-PVC-C45-075</t>
        </is>
      </c>
      <c r="N58" s="18" t="inlineStr">
        <is>
          <t>Instalaciones sanitarias (hidrosanitarias)</t>
        </is>
      </c>
      <c r="O58" s="18" t="inlineStr">
        <is>
          <t>Estimado DION · criterio de mercado Guayaquil 2026 (no verificado en tienda)</t>
        </is>
      </c>
      <c r="P58" s="18" t="inlineStr">
        <is>
          <t>oct-2026 (est.)</t>
        </is>
      </c>
      <c r="Q58" s="18" t="n"/>
    </row>
    <row r="59">
      <c r="A59" s="70" t="n">
        <v>38</v>
      </c>
      <c r="B59" s="71" t="inlineStr">
        <is>
          <t xml:space="preserve">        Yee PVC Aguas Lluvias Ø75 mm</t>
        </is>
      </c>
      <c r="C59" s="72" t="inlineStr">
        <is>
          <t>Residencial / Comercial</t>
        </is>
      </c>
      <c r="D59" s="70" t="inlineStr">
        <is>
          <t>Yee Pluviales</t>
        </is>
      </c>
      <c r="E59" s="70" t="inlineStr">
        <is>
          <t>U</t>
        </is>
      </c>
      <c r="F59" s="73" t="n">
        <v>4</v>
      </c>
      <c r="G59" s="74" t="n">
        <v>3.2</v>
      </c>
      <c r="H59" s="74" t="n">
        <v>3.33</v>
      </c>
      <c r="I59" s="70" t="inlineStr">
        <is>
          <t>Megametales</t>
        </is>
      </c>
      <c r="J59" s="74" t="n">
        <v>3.55</v>
      </c>
      <c r="K59" s="70" t="inlineStr">
        <is>
          <t>Kywi / Megakywi</t>
        </is>
      </c>
      <c r="L59" s="75">
        <f>F59*G59</f>
        <v/>
      </c>
      <c r="M59" s="153" t="inlineStr">
        <is>
          <t>IS-D20-ACL-PVC-YEE-075</t>
        </is>
      </c>
      <c r="N59" s="70" t="inlineStr">
        <is>
          <t>Instalaciones sanitarias (hidrosanitarias)</t>
        </is>
      </c>
      <c r="O59" s="70" t="inlineStr">
        <is>
          <t>Estimado DION · criterio de mercado Guayaquil 2026 (no verificado en tienda)</t>
        </is>
      </c>
      <c r="P59" s="70" t="inlineStr">
        <is>
          <t>oct-2026 (est.)</t>
        </is>
      </c>
      <c r="Q59" s="70" t="n"/>
    </row>
    <row r="60">
      <c r="A60" s="18" t="n">
        <v>39</v>
      </c>
      <c r="B60" s="19" t="inlineStr">
        <is>
          <t xml:space="preserve">        Codo 90° PVC Aguas Lluvias Ø110 mm</t>
        </is>
      </c>
      <c r="C60" s="20" t="inlineStr">
        <is>
          <t>Residencial / Comercial</t>
        </is>
      </c>
      <c r="D60" s="18" t="inlineStr">
        <is>
          <t>Codo 90° Pluviales</t>
        </is>
      </c>
      <c r="E60" s="18" t="inlineStr">
        <is>
          <t>U</t>
        </is>
      </c>
      <c r="F60" s="21" t="n">
        <v>4</v>
      </c>
      <c r="G60" s="22" t="n">
        <v>3.25</v>
      </c>
      <c r="H60" s="22" t="n">
        <v>3.38</v>
      </c>
      <c r="I60" s="18" t="inlineStr">
        <is>
          <t>Megametales</t>
        </is>
      </c>
      <c r="J60" s="22" t="n">
        <v>3.48</v>
      </c>
      <c r="K60" s="18" t="inlineStr">
        <is>
          <t>Ferrisariato</t>
        </is>
      </c>
      <c r="L60" s="8">
        <f>F60*G60</f>
        <v/>
      </c>
      <c r="M60" s="145" t="inlineStr">
        <is>
          <t>IS-D20-ACL-PVC-C90-110</t>
        </is>
      </c>
      <c r="N60" s="18" t="inlineStr">
        <is>
          <t>Instalaciones sanitarias (hidrosanitarias)</t>
        </is>
      </c>
      <c r="O60" s="18" t="inlineStr">
        <is>
          <t>Estimado DION · criterio de mercado Guayaquil 2026 (no verificado en tienda)</t>
        </is>
      </c>
      <c r="P60" s="18" t="inlineStr">
        <is>
          <t>oct-2026 (est.)</t>
        </is>
      </c>
      <c r="Q60" s="18" t="n"/>
    </row>
    <row r="61">
      <c r="A61" s="70" t="n">
        <v>40</v>
      </c>
      <c r="B61" s="71" t="inlineStr">
        <is>
          <t xml:space="preserve">        Codo 45° PVC Aguas Lluvias Ø110 mm</t>
        </is>
      </c>
      <c r="C61" s="72" t="inlineStr">
        <is>
          <t>Residencial / Comercial</t>
        </is>
      </c>
      <c r="D61" s="70" t="inlineStr">
        <is>
          <t>Codo 45° Pluviales</t>
        </is>
      </c>
      <c r="E61" s="70" t="inlineStr">
        <is>
          <t>U</t>
        </is>
      </c>
      <c r="F61" s="73" t="n">
        <v>4</v>
      </c>
      <c r="G61" s="74" t="n">
        <v>3</v>
      </c>
      <c r="H61" s="74" t="n">
        <v>3.12</v>
      </c>
      <c r="I61" s="70" t="inlineStr">
        <is>
          <t>Megametales</t>
        </is>
      </c>
      <c r="J61" s="74" t="n">
        <v>3.33</v>
      </c>
      <c r="K61" s="70" t="inlineStr">
        <is>
          <t>Kywi / Megakywi</t>
        </is>
      </c>
      <c r="L61" s="75">
        <f>F61*G61</f>
        <v/>
      </c>
      <c r="M61" s="153" t="inlineStr">
        <is>
          <t>IS-D20-ACL-PVC-C45-110</t>
        </is>
      </c>
      <c r="N61" s="70" t="inlineStr">
        <is>
          <t>Instalaciones sanitarias (hidrosanitarias)</t>
        </is>
      </c>
      <c r="O61" s="70" t="inlineStr">
        <is>
          <t>Estimado DION · criterio de mercado Guayaquil 2026 (no verificado en tienda)</t>
        </is>
      </c>
      <c r="P61" s="70" t="inlineStr">
        <is>
          <t>oct-2026 (est.)</t>
        </is>
      </c>
      <c r="Q61" s="70" t="n"/>
    </row>
    <row r="62">
      <c r="A62" s="18" t="n">
        <v>41</v>
      </c>
      <c r="B62" s="19" t="inlineStr">
        <is>
          <t xml:space="preserve">        Yee PVC Aguas Lluvias Ø110 mm</t>
        </is>
      </c>
      <c r="C62" s="20" t="inlineStr">
        <is>
          <t>Residencial / Comercial</t>
        </is>
      </c>
      <c r="D62" s="18" t="inlineStr">
        <is>
          <t>Yee Pluviales</t>
        </is>
      </c>
      <c r="E62" s="18" t="inlineStr">
        <is>
          <t>U</t>
        </is>
      </c>
      <c r="F62" s="21" t="n">
        <v>4</v>
      </c>
      <c r="G62" s="22" t="n">
        <v>5.4</v>
      </c>
      <c r="H62" s="22" t="n">
        <v>5.51</v>
      </c>
      <c r="I62" s="18" t="inlineStr">
        <is>
          <t>Megametales</t>
        </is>
      </c>
      <c r="J62" s="22" t="n">
        <v>5.83</v>
      </c>
      <c r="K62" s="18" t="inlineStr">
        <is>
          <t>Ferrisariato</t>
        </is>
      </c>
      <c r="L62" s="8">
        <f>F62*G62</f>
        <v/>
      </c>
      <c r="M62" s="145" t="inlineStr">
        <is>
          <t>IS-D20-ACL-PVC-YEE-110</t>
        </is>
      </c>
      <c r="N62" s="18" t="inlineStr">
        <is>
          <t>Instalaciones sanitarias (hidrosanitarias)</t>
        </is>
      </c>
      <c r="O62" s="18" t="inlineStr">
        <is>
          <t>Estimado DION · criterio de mercado Guayaquil 2026 (no verificado en tienda)</t>
        </is>
      </c>
      <c r="P62" s="18" t="inlineStr">
        <is>
          <t>oct-2026 (est.)</t>
        </is>
      </c>
      <c r="Q62" s="18" t="n"/>
    </row>
    <row r="63">
      <c r="A63" s="70" t="n">
        <v>42</v>
      </c>
      <c r="B63" s="71" t="inlineStr">
        <is>
          <t xml:space="preserve">        Codo 90° PVC Aguas Lluvias Ø160 mm</t>
        </is>
      </c>
      <c r="C63" s="72" t="inlineStr">
        <is>
          <t>Residencial / Comercial</t>
        </is>
      </c>
      <c r="D63" s="70" t="inlineStr">
        <is>
          <t>Codo 90° Pluviales</t>
        </is>
      </c>
      <c r="E63" s="70" t="inlineStr">
        <is>
          <t>U</t>
        </is>
      </c>
      <c r="F63" s="73" t="n">
        <v>4</v>
      </c>
      <c r="G63" s="74" t="n">
        <v>11.5</v>
      </c>
      <c r="H63" s="74" t="n">
        <v>11.96</v>
      </c>
      <c r="I63" s="70" t="inlineStr">
        <is>
          <t>Megametales</t>
        </is>
      </c>
      <c r="J63" s="74" t="n">
        <v>12.65</v>
      </c>
      <c r="K63" s="70" t="inlineStr">
        <is>
          <t>Kywi / Megakywi</t>
        </is>
      </c>
      <c r="L63" s="75">
        <f>F63*G63</f>
        <v/>
      </c>
      <c r="M63" s="153" t="inlineStr">
        <is>
          <t>IS-D20-ACL-PVC-C90-160</t>
        </is>
      </c>
      <c r="N63" s="70" t="inlineStr">
        <is>
          <t>Instalaciones sanitarias (hidrosanitarias)</t>
        </is>
      </c>
      <c r="O63" s="70" t="inlineStr">
        <is>
          <t>Estimado DION · criterio de mercado Guayaquil 2026 (no verificado en tienda)</t>
        </is>
      </c>
      <c r="P63" s="70" t="inlineStr">
        <is>
          <t>oct-2026 (est.)</t>
        </is>
      </c>
      <c r="Q63" s="70" t="n"/>
    </row>
    <row r="64">
      <c r="A64" s="18" t="n">
        <v>43</v>
      </c>
      <c r="B64" s="19" t="inlineStr">
        <is>
          <t xml:space="preserve">        Codo 45° PVC Aguas Lluvias Ø160 mm</t>
        </is>
      </c>
      <c r="C64" s="20" t="inlineStr">
        <is>
          <t>Residencial / Comercial</t>
        </is>
      </c>
      <c r="D64" s="18" t="inlineStr">
        <is>
          <t>Codo 45° Pluviales</t>
        </is>
      </c>
      <c r="E64" s="18" t="inlineStr">
        <is>
          <t>U</t>
        </is>
      </c>
      <c r="F64" s="21" t="n">
        <v>4</v>
      </c>
      <c r="G64" s="22" t="n">
        <v>10.6</v>
      </c>
      <c r="H64" s="22" t="n">
        <v>11.02</v>
      </c>
      <c r="I64" s="18" t="inlineStr">
        <is>
          <t>Megametales</t>
        </is>
      </c>
      <c r="J64" s="22" t="n">
        <v>11.66</v>
      </c>
      <c r="K64" s="18" t="inlineStr">
        <is>
          <t>Ferrisariato</t>
        </is>
      </c>
      <c r="L64" s="8">
        <f>F64*G64</f>
        <v/>
      </c>
      <c r="M64" s="145" t="inlineStr">
        <is>
          <t>IS-D20-ACL-PVC-C45-160</t>
        </is>
      </c>
      <c r="N64" s="18" t="inlineStr">
        <is>
          <t>Instalaciones sanitarias (hidrosanitarias)</t>
        </is>
      </c>
      <c r="O64" s="18" t="inlineStr">
        <is>
          <t>Estimado DION · criterio de mercado Guayaquil 2026 (no verificado en tienda)</t>
        </is>
      </c>
      <c r="P64" s="18" t="inlineStr">
        <is>
          <t>oct-2026 (est.)</t>
        </is>
      </c>
      <c r="Q64" s="18" t="n"/>
    </row>
    <row r="65">
      <c r="A65" s="70" t="n">
        <v>44</v>
      </c>
      <c r="B65" s="71" t="inlineStr">
        <is>
          <t xml:space="preserve">        Yee PVC Aguas Lluvias Ø160 mm</t>
        </is>
      </c>
      <c r="C65" s="72" t="inlineStr">
        <is>
          <t>Residencial / Comercial</t>
        </is>
      </c>
      <c r="D65" s="70" t="inlineStr">
        <is>
          <t>Yee Pluviales</t>
        </is>
      </c>
      <c r="E65" s="70" t="inlineStr">
        <is>
          <t>U</t>
        </is>
      </c>
      <c r="F65" s="73" t="n">
        <v>4</v>
      </c>
      <c r="G65" s="74" t="n">
        <v>19</v>
      </c>
      <c r="H65" s="74" t="n">
        <v>19.57</v>
      </c>
      <c r="I65" s="70" t="inlineStr">
        <is>
          <t>Megametales</t>
        </is>
      </c>
      <c r="J65" s="74" t="n">
        <v>20.9</v>
      </c>
      <c r="K65" s="70" t="inlineStr">
        <is>
          <t>Kywi / Megakywi</t>
        </is>
      </c>
      <c r="L65" s="75">
        <f>F65*G65</f>
        <v/>
      </c>
      <c r="M65" s="153" t="inlineStr">
        <is>
          <t>IS-D20-ACL-PVC-YEE-160</t>
        </is>
      </c>
      <c r="N65" s="70" t="inlineStr">
        <is>
          <t>Instalaciones sanitarias (hidrosanitarias)</t>
        </is>
      </c>
      <c r="O65" s="70" t="inlineStr">
        <is>
          <t>Estimado DION · criterio de mercado Guayaquil 2026 (no verificado en tienda)</t>
        </is>
      </c>
      <c r="P65" s="70" t="inlineStr">
        <is>
          <t>oct-2026 (est.)</t>
        </is>
      </c>
      <c r="Q65" s="70" t="n"/>
    </row>
    <row r="66">
      <c r="A66" s="18" t="n">
        <v>45</v>
      </c>
      <c r="B66" s="19" t="inlineStr">
        <is>
          <t xml:space="preserve">        Sumidero de Calzada con Rejilla HF 40x40 cm</t>
        </is>
      </c>
      <c r="C66" s="20" t="inlineStr">
        <is>
          <t>Urbanización / Parqueos</t>
        </is>
      </c>
      <c r="D66" s="18" t="inlineStr">
        <is>
          <t>Sumideros Calzada</t>
        </is>
      </c>
      <c r="E66" s="18" t="inlineStr">
        <is>
          <t>U</t>
        </is>
      </c>
      <c r="F66" s="21" t="n">
        <v>2</v>
      </c>
      <c r="G66" s="22" t="n">
        <v>145</v>
      </c>
      <c r="H66" s="22" t="n">
        <v>152.25</v>
      </c>
      <c r="I66" s="18" t="inlineStr">
        <is>
          <t>Megametales</t>
        </is>
      </c>
      <c r="J66" s="22" t="n">
        <v>160.95</v>
      </c>
      <c r="K66" s="18" t="inlineStr">
        <is>
          <t>Ferrisariato</t>
        </is>
      </c>
      <c r="L66" s="8">
        <f>F66*G66</f>
        <v/>
      </c>
      <c r="M66" s="145" t="inlineStr">
        <is>
          <t>IS-D20-DRE-SUM-CAL-40X40</t>
        </is>
      </c>
      <c r="N66" s="18" t="inlineStr">
        <is>
          <t>Instalaciones sanitarias (hidrosanitarias)</t>
        </is>
      </c>
      <c r="O66" s="18" t="inlineStr">
        <is>
          <t>Estimado DION · criterio de mercado Guayaquil 2026 (no verificado en tienda)</t>
        </is>
      </c>
      <c r="P66" s="18" t="inlineStr">
        <is>
          <t>oct-2026 (est.)</t>
        </is>
      </c>
      <c r="Q66" s="18" t="n"/>
    </row>
    <row r="67">
      <c r="A67" s="70" t="n">
        <v>46</v>
      </c>
      <c r="B67" s="71" t="inlineStr">
        <is>
          <t xml:space="preserve">        Sumidero de Calzada con Rejilla HF 60x60 cm</t>
        </is>
      </c>
      <c r="C67" s="72" t="inlineStr">
        <is>
          <t>Urbanización / Parqueos</t>
        </is>
      </c>
      <c r="D67" s="70" t="inlineStr">
        <is>
          <t>Sumideros Calzada</t>
        </is>
      </c>
      <c r="E67" s="70" t="inlineStr">
        <is>
          <t>U</t>
        </is>
      </c>
      <c r="F67" s="73" t="n">
        <v>1</v>
      </c>
      <c r="G67" s="74" t="n">
        <v>235</v>
      </c>
      <c r="H67" s="74" t="n">
        <v>246.75</v>
      </c>
      <c r="I67" s="70" t="inlineStr">
        <is>
          <t>Megametales</t>
        </is>
      </c>
      <c r="J67" s="74" t="n">
        <v>253.8</v>
      </c>
      <c r="K67" s="70" t="inlineStr">
        <is>
          <t>Kywi / Megakywi</t>
        </is>
      </c>
      <c r="L67" s="75">
        <f>F67*G67</f>
        <v/>
      </c>
      <c r="M67" s="153" t="inlineStr">
        <is>
          <t>IS-D20-DRE-SUM-CAL-60X60</t>
        </is>
      </c>
      <c r="N67" s="70" t="inlineStr">
        <is>
          <t>Instalaciones sanitarias (hidrosanitarias)</t>
        </is>
      </c>
      <c r="O67" s="70" t="inlineStr">
        <is>
          <t>Estimado DION · criterio de mercado Guayaquil 2026 (no verificado en tienda)</t>
        </is>
      </c>
      <c r="P67" s="70" t="inlineStr">
        <is>
          <t>oct-2026 (est.)</t>
        </is>
      </c>
      <c r="Q67" s="70" t="n"/>
    </row>
    <row r="68">
      <c r="A68" s="18" t="n">
        <v>47</v>
      </c>
      <c r="B68" s="19" t="inlineStr">
        <is>
          <t xml:space="preserve">        Caja de Aguas Lluvias H.A. 60x60 cm con Rejilla</t>
        </is>
      </c>
      <c r="C68" s="20" t="inlineStr">
        <is>
          <t>Residencial / Comercial</t>
        </is>
      </c>
      <c r="D68" s="18" t="inlineStr">
        <is>
          <t>Cajas Pluviales</t>
        </is>
      </c>
      <c r="E68" s="18" t="inlineStr">
        <is>
          <t>U</t>
        </is>
      </c>
      <c r="F68" s="21" t="n">
        <v>2</v>
      </c>
      <c r="G68" s="22" t="n">
        <v>110</v>
      </c>
      <c r="H68" s="22" t="n">
        <v>115.5</v>
      </c>
      <c r="I68" s="18" t="inlineStr">
        <is>
          <t>Megametales</t>
        </is>
      </c>
      <c r="J68" s="22" t="n">
        <v>122.1</v>
      </c>
      <c r="K68" s="18" t="inlineStr">
        <is>
          <t>Ferrisariato</t>
        </is>
      </c>
      <c r="L68" s="8">
        <f>F68*G68</f>
        <v/>
      </c>
      <c r="M68" s="145" t="inlineStr">
        <is>
          <t>IS-D20-DRE-CAJ-AALL-60X60</t>
        </is>
      </c>
      <c r="N68" s="18" t="inlineStr">
        <is>
          <t>Instalaciones sanitarias (hidrosanitarias)</t>
        </is>
      </c>
      <c r="O68" s="18" t="inlineStr">
        <is>
          <t>Estimado DION · criterio de mercado Guayaquil 2026 (no verificado en tienda)</t>
        </is>
      </c>
      <c r="P68" s="18" t="inlineStr">
        <is>
          <t>oct-2026 (est.)</t>
        </is>
      </c>
      <c r="Q68" s="18" t="n"/>
    </row>
    <row r="69">
      <c r="A69" s="70" t="n">
        <v>48</v>
      </c>
      <c r="B69" s="71" t="inlineStr">
        <is>
          <t xml:space="preserve">        Canal de Drenaje Polímero Rejilla Galvanizada Ancho 15 cm (m)</t>
        </is>
      </c>
      <c r="C69" s="72" t="inlineStr">
        <is>
          <t>Comercial / Industrial</t>
        </is>
      </c>
      <c r="D69" s="70" t="inlineStr">
        <is>
          <t>Canales Monolíticos</t>
        </is>
      </c>
      <c r="E69" s="70" t="inlineStr">
        <is>
          <t>m</t>
        </is>
      </c>
      <c r="F69" s="73" t="n">
        <v>6</v>
      </c>
      <c r="G69" s="74" t="n">
        <v>62</v>
      </c>
      <c r="H69" s="74" t="n">
        <v>64.48</v>
      </c>
      <c r="I69" s="70" t="inlineStr">
        <is>
          <t>Megametales</t>
        </is>
      </c>
      <c r="J69" s="74" t="n">
        <v>66.34</v>
      </c>
      <c r="K69" s="70" t="inlineStr">
        <is>
          <t>Kywi / Megakywi</t>
        </is>
      </c>
      <c r="L69" s="75">
        <f>F69*G69</f>
        <v/>
      </c>
      <c r="M69" s="153" t="inlineStr">
        <is>
          <t>IS-D20-DRE-CAN-015</t>
        </is>
      </c>
      <c r="N69" s="70" t="inlineStr">
        <is>
          <t>Instalaciones sanitarias (hidrosanitarias)</t>
        </is>
      </c>
      <c r="O69" s="70" t="inlineStr">
        <is>
          <t>Estimado DION · criterio de mercado Guayaquil 2026 (no verificado en tienda)</t>
        </is>
      </c>
      <c r="P69" s="70" t="inlineStr">
        <is>
          <t>oct-2026 (est.)</t>
        </is>
      </c>
      <c r="Q69" s="70" t="n">
        <v>3</v>
      </c>
    </row>
    <row r="70">
      <c r="A70" s="18" t="n">
        <v>49</v>
      </c>
      <c r="B70" s="19" t="inlineStr">
        <is>
          <t xml:space="preserve">        Canal de Drenaje Polímero Rejilla Galvanizada Ancho 20 cm (m)</t>
        </is>
      </c>
      <c r="C70" s="20" t="inlineStr">
        <is>
          <t>Comercial / Industrial</t>
        </is>
      </c>
      <c r="D70" s="18" t="inlineStr">
        <is>
          <t>Canales Monolíticos</t>
        </is>
      </c>
      <c r="E70" s="18" t="inlineStr">
        <is>
          <t>m</t>
        </is>
      </c>
      <c r="F70" s="21" t="n">
        <v>6</v>
      </c>
      <c r="G70" s="22" t="n">
        <v>85</v>
      </c>
      <c r="H70" s="22" t="n">
        <v>86.7</v>
      </c>
      <c r="I70" s="18" t="inlineStr">
        <is>
          <t>Megametales</t>
        </is>
      </c>
      <c r="J70" s="22" t="n">
        <v>94.34999999999999</v>
      </c>
      <c r="K70" s="18" t="inlineStr">
        <is>
          <t>Ferrisariato</t>
        </is>
      </c>
      <c r="L70" s="8">
        <f>F70*G70</f>
        <v/>
      </c>
      <c r="M70" s="145" t="inlineStr">
        <is>
          <t>IS-D20-DRE-CAN-020</t>
        </is>
      </c>
      <c r="N70" s="18" t="inlineStr">
        <is>
          <t>Instalaciones sanitarias (hidrosanitarias)</t>
        </is>
      </c>
      <c r="O70" s="18" t="inlineStr">
        <is>
          <t>Estimado DION · criterio de mercado Guayaquil 2026 (no verificado en tienda)</t>
        </is>
      </c>
      <c r="P70" s="18" t="inlineStr">
        <is>
          <t>oct-2026 (est.)</t>
        </is>
      </c>
      <c r="Q70" s="18" t="n">
        <v>3</v>
      </c>
    </row>
    <row r="71">
      <c r="A71" s="70" t="n">
        <v>50</v>
      </c>
      <c r="B71" s="71" t="inlineStr">
        <is>
          <t xml:space="preserve">        Canal de Drenaje Polímero Rejilla Galvanizada Ancho 30 cm (m)</t>
        </is>
      </c>
      <c r="C71" s="72" t="inlineStr">
        <is>
          <t>Comercial / Industrial</t>
        </is>
      </c>
      <c r="D71" s="70" t="inlineStr">
        <is>
          <t>Canales Monolíticos</t>
        </is>
      </c>
      <c r="E71" s="70" t="inlineStr">
        <is>
          <t>m</t>
        </is>
      </c>
      <c r="F71" s="73" t="n">
        <v>6</v>
      </c>
      <c r="G71" s="74" t="n">
        <v>128</v>
      </c>
      <c r="H71" s="74" t="n">
        <v>133.12</v>
      </c>
      <c r="I71" s="70" t="inlineStr">
        <is>
          <t>Megametales</t>
        </is>
      </c>
      <c r="J71" s="74" t="n">
        <v>139.52</v>
      </c>
      <c r="K71" s="70" t="inlineStr">
        <is>
          <t>Kywi / Megakywi</t>
        </is>
      </c>
      <c r="L71" s="75">
        <f>F71*G71</f>
        <v/>
      </c>
      <c r="M71" s="153" t="inlineStr">
        <is>
          <t>IS-D20-DRE-CAN-030</t>
        </is>
      </c>
      <c r="N71" s="70" t="inlineStr">
        <is>
          <t>Instalaciones sanitarias (hidrosanitarias)</t>
        </is>
      </c>
      <c r="O71" s="70" t="inlineStr">
        <is>
          <t>Estimado DION · criterio de mercado Guayaquil 2026 (no verificado en tienda)</t>
        </is>
      </c>
      <c r="P71" s="70" t="inlineStr">
        <is>
          <t>oct-2026 (est.)</t>
        </is>
      </c>
      <c r="Q71" s="70" t="n">
        <v>3</v>
      </c>
    </row>
    <row r="72">
      <c r="A72" s="67" t="inlineStr">
        <is>
          <t>EQUIPOS ESPECIALIZADOS</t>
        </is>
      </c>
      <c r="B72" s="143" t="n"/>
      <c r="C72" s="143" t="n"/>
      <c r="D72" s="143" t="n"/>
      <c r="E72" s="143" t="n"/>
      <c r="F72" s="143" t="n"/>
      <c r="G72" s="143" t="n"/>
      <c r="H72" s="143" t="n"/>
      <c r="I72" s="143" t="n"/>
      <c r="J72" s="143" t="n"/>
      <c r="K72" s="143" t="n"/>
      <c r="L72" s="143" t="n"/>
      <c r="M72" s="143" t="n"/>
      <c r="N72" s="143" t="n"/>
      <c r="O72" s="143" t="n"/>
      <c r="P72" s="143" t="n"/>
      <c r="Q72" s="144" t="n"/>
    </row>
    <row r="73">
      <c r="A73" s="68" t="inlineStr">
        <is>
          <t xml:space="preserve">  ► CATEGORÍA: FILTROS SEPARADORES FIRST FLUSH</t>
        </is>
      </c>
      <c r="B73" s="143" t="n"/>
      <c r="C73" s="143" t="n"/>
      <c r="D73" s="143" t="n"/>
      <c r="E73" s="143" t="n"/>
      <c r="F73" s="143" t="n"/>
      <c r="G73" s="143" t="n"/>
      <c r="H73" s="143" t="n"/>
      <c r="I73" s="143" t="n"/>
      <c r="J73" s="143" t="n"/>
      <c r="K73" s="143" t="n"/>
      <c r="L73" s="143" t="n"/>
      <c r="M73" s="143" t="n"/>
      <c r="N73" s="143" t="n"/>
      <c r="O73" s="143" t="n"/>
      <c r="P73" s="143" t="n"/>
      <c r="Q73" s="144" t="n"/>
    </row>
    <row r="74">
      <c r="A74" s="69" t="inlineStr">
        <is>
          <t xml:space="preserve">      • Subcategoría Especificada: Aprovechamiento Pluvial</t>
        </is>
      </c>
      <c r="B74" s="143" t="n"/>
      <c r="C74" s="143" t="n"/>
      <c r="D74" s="143" t="n"/>
      <c r="E74" s="143" t="n"/>
      <c r="F74" s="143" t="n"/>
      <c r="G74" s="143" t="n"/>
      <c r="H74" s="143" t="n"/>
      <c r="I74" s="143" t="n"/>
      <c r="J74" s="143" t="n"/>
      <c r="K74" s="143" t="n"/>
      <c r="L74" s="143" t="n"/>
      <c r="M74" s="143" t="n"/>
      <c r="N74" s="143" t="n"/>
      <c r="O74" s="143" t="n"/>
      <c r="P74" s="143" t="n"/>
      <c r="Q74" s="144" t="n"/>
    </row>
    <row r="75">
      <c r="A75" s="18" t="n">
        <v>51</v>
      </c>
      <c r="B75" s="19" t="inlineStr">
        <is>
          <t xml:space="preserve">        Filtro Separador de Primeras Lluvias First Flush 110mm</t>
        </is>
      </c>
      <c r="C75" s="20" t="inlineStr">
        <is>
          <t>Residencial / Comercial</t>
        </is>
      </c>
      <c r="D75" s="18" t="inlineStr">
        <is>
          <t>Filtros Pluviales</t>
        </is>
      </c>
      <c r="E75" s="18" t="inlineStr">
        <is>
          <t>U</t>
        </is>
      </c>
      <c r="F75" s="21" t="n">
        <v>1</v>
      </c>
      <c r="G75" s="22" t="n">
        <v>85</v>
      </c>
      <c r="H75" s="22" t="n">
        <v>88</v>
      </c>
      <c r="I75" s="18" t="inlineStr">
        <is>
          <t>Megametales</t>
        </is>
      </c>
      <c r="J75" s="22" t="n">
        <v>94</v>
      </c>
      <c r="K75" s="18" t="inlineStr">
        <is>
          <t>Kywi / Megakywi</t>
        </is>
      </c>
      <c r="L75" s="8">
        <f>F75*G75</f>
        <v/>
      </c>
      <c r="M75" s="145" t="inlineStr">
        <is>
          <t>IS-D20-DRE-FFL-110</t>
        </is>
      </c>
      <c r="N75" s="18" t="inlineStr">
        <is>
          <t>Instalaciones sanitarias (hidrosanitarias)</t>
        </is>
      </c>
      <c r="O75" s="18" t="inlineStr">
        <is>
          <t>Estimado · base original del usuario (sin cotización verificada)</t>
        </is>
      </c>
      <c r="P75" s="18" t="inlineStr">
        <is>
          <t>oct-2026 (est.)</t>
        </is>
      </c>
      <c r="Q75" s="18" t="n"/>
    </row>
    <row r="76">
      <c r="A76" s="10" t="n"/>
      <c r="B76" s="147" t="inlineStr">
        <is>
          <t>TOTAL BASE DE DATOS AGUAS LLUVIAS Y PLUVIAL (ESTIMADO)</t>
        </is>
      </c>
      <c r="C76" s="148" t="n"/>
      <c r="D76" s="148" t="n"/>
      <c r="E76" s="148" t="n"/>
      <c r="F76" s="148" t="n"/>
      <c r="G76" s="148" t="n"/>
      <c r="H76" s="148" t="n"/>
      <c r="I76" s="148" t="n"/>
      <c r="J76" s="148" t="n"/>
      <c r="K76" s="148" t="n"/>
      <c r="L76" s="30">
        <f>SUM(L6:L75)</f>
        <v/>
      </c>
      <c r="M76" s="30" t="n"/>
      <c r="N76" s="30" t="n"/>
      <c r="O76" s="30" t="n"/>
      <c r="P76" s="30" t="n"/>
      <c r="Q76" s="30" t="n"/>
    </row>
  </sheetData>
  <mergeCells count="20">
    <mergeCell ref="A44:Q44"/>
    <mergeCell ref="A73:Q73"/>
    <mergeCell ref="A51:Q51"/>
    <mergeCell ref="A45:Q45"/>
    <mergeCell ref="B76:K76"/>
    <mergeCell ref="A6:Q6"/>
    <mergeCell ref="A7:Q7"/>
    <mergeCell ref="A25:Q25"/>
    <mergeCell ref="A74:Q74"/>
    <mergeCell ref="A56:Q56"/>
    <mergeCell ref="A21:Q21"/>
    <mergeCell ref="A47:Q47"/>
    <mergeCell ref="A8:Q8"/>
    <mergeCell ref="A53:Q53"/>
    <mergeCell ref="A20:Q20"/>
    <mergeCell ref="A43:Q43"/>
    <mergeCell ref="A72:Q72"/>
    <mergeCell ref="A52:Q52"/>
    <mergeCell ref="A10:Q10"/>
    <mergeCell ref="A19:Q19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1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8" customWidth="1" min="2" max="2"/>
    <col width="30" customWidth="1" min="3" max="3"/>
    <col width="32" customWidth="1" min="4" max="4"/>
    <col width="8" customWidth="1" min="5" max="5"/>
    <col width="10" customWidth="1" min="6" max="6"/>
    <col width="15" customWidth="1" min="7" max="7"/>
    <col width="16" customWidth="1" min="8" max="8"/>
    <col width="22" customWidth="1" min="9" max="9"/>
    <col width="16" customWidth="1" min="10" max="10"/>
    <col width="20" customWidth="1" min="11" max="11"/>
    <col width="16" customWidth="1" min="12" max="12"/>
    <col width="27" customWidth="1" min="13" max="13"/>
    <col width="30" customWidth="1" min="14" max="14"/>
    <col width="44" customWidth="1" min="15" max="15"/>
    <col width="15" customWidth="1" min="16" max="16"/>
    <col width="14" customWidth="1" min="17" max="17"/>
  </cols>
  <sheetData>
    <row r="1">
      <c r="A1" s="1" t="inlineStr">
        <is>
          <t>BASE DE DATOS COMPLETA DE CATALOGACIÓN: AGUAS RESIDUALES (PTAR)</t>
        </is>
      </c>
    </row>
    <row r="2">
      <c r="A2" s="2" t="inlineStr">
        <is>
          <t>Estructura Jerárquica Homogénea: Accesorios &gt; Tuberías &gt; Equipos &gt; Conexiones &gt; Equipos Especializados | Degradé por Niveles (Ecuador - USD)</t>
        </is>
      </c>
    </row>
    <row r="3">
      <c r="A3" s="13" t="inlineStr">
        <is>
          <t>« Volver al Índice General</t>
        </is>
      </c>
    </row>
    <row r="5" ht="30" customHeight="1">
      <c r="A5" s="4" t="inlineStr">
        <is>
          <t>Item</t>
        </is>
      </c>
      <c r="B5" s="4" t="inlineStr">
        <is>
          <t>Descripción de Accesorio / Ítem Especificado</t>
        </is>
      </c>
      <c r="C5" s="4" t="inlineStr">
        <is>
          <t>Clasificación / Ámbito de Uso
(Residencial/Comercial/Industrial)</t>
        </is>
      </c>
      <c r="D5" s="4" t="inlineStr">
        <is>
          <t>Tipo / Familia</t>
        </is>
      </c>
      <c r="E5" s="4" t="inlineStr">
        <is>
          <t>Unidad</t>
        </is>
      </c>
      <c r="F5" s="4" t="inlineStr">
        <is>
          <t>Cant.</t>
        </is>
      </c>
      <c r="G5" s="4" t="inlineStr">
        <is>
          <t>P. Ref. Est. ($)</t>
        </is>
      </c>
      <c r="H5" s="4" t="inlineStr">
        <is>
          <t>P. Unit. Local A ($)
(Megametales)</t>
        </is>
      </c>
      <c r="I5" s="4" t="inlineStr">
        <is>
          <t>Local A
Especificado</t>
        </is>
      </c>
      <c r="J5" s="4" t="inlineStr">
        <is>
          <t>P. Unit. Local B ($)
(Kywi/Ferrisariato)</t>
        </is>
      </c>
      <c r="K5" s="4" t="inlineStr">
        <is>
          <t>Local B
Especificado</t>
        </is>
      </c>
      <c r="L5" s="4" t="inlineStr">
        <is>
          <t>Subtotal Est. ($)</t>
        </is>
      </c>
      <c r="M5" s="4" t="inlineStr">
        <is>
          <t>Código DION</t>
        </is>
      </c>
      <c r="N5" s="4" t="inlineStr">
        <is>
          <t>Disciplina</t>
        </is>
      </c>
      <c r="O5" s="4" t="inlineStr">
        <is>
          <t>Fuente del precio</t>
        </is>
      </c>
      <c r="P5" s="4" t="inlineStr">
        <is>
          <t>Fecha precio</t>
        </is>
      </c>
      <c r="Q5" s="4" t="inlineStr">
        <is>
          <t>Rendimiento /
desperdicio %</t>
        </is>
      </c>
    </row>
    <row r="6">
      <c r="A6" s="76" t="inlineStr">
        <is>
          <t>ACCESORIOS</t>
        </is>
      </c>
      <c r="B6" s="143" t="n"/>
      <c r="C6" s="143" t="n"/>
      <c r="D6" s="143" t="n"/>
      <c r="E6" s="143" t="n"/>
      <c r="F6" s="143" t="n"/>
      <c r="G6" s="143" t="n"/>
      <c r="H6" s="143" t="n"/>
      <c r="I6" s="143" t="n"/>
      <c r="J6" s="143" t="n"/>
      <c r="K6" s="143" t="n"/>
      <c r="L6" s="143" t="n"/>
      <c r="M6" s="143" t="n"/>
      <c r="N6" s="143" t="n"/>
      <c r="O6" s="143" t="n"/>
      <c r="P6" s="143" t="n"/>
      <c r="Q6" s="144" t="n"/>
    </row>
    <row r="7">
      <c r="A7" s="77" t="inlineStr">
        <is>
          <t xml:space="preserve">  ► CATEGORÍA: CAJAS DE INSPECCIÓN</t>
        </is>
      </c>
      <c r="B7" s="143" t="n"/>
      <c r="C7" s="143" t="n"/>
      <c r="D7" s="143" t="n"/>
      <c r="E7" s="143" t="n"/>
      <c r="F7" s="143" t="n"/>
      <c r="G7" s="143" t="n"/>
      <c r="H7" s="143" t="n"/>
      <c r="I7" s="143" t="n"/>
      <c r="J7" s="143" t="n"/>
      <c r="K7" s="143" t="n"/>
      <c r="L7" s="143" t="n"/>
      <c r="M7" s="143" t="n"/>
      <c r="N7" s="143" t="n"/>
      <c r="O7" s="143" t="n"/>
      <c r="P7" s="143" t="n"/>
      <c r="Q7" s="144" t="n"/>
    </row>
    <row r="8">
      <c r="A8" s="78" t="inlineStr">
        <is>
          <t xml:space="preserve">      • Subcategoría Especificada: Componentes de Inspección</t>
        </is>
      </c>
      <c r="B8" s="143" t="n"/>
      <c r="C8" s="143" t="n"/>
      <c r="D8" s="143" t="n"/>
      <c r="E8" s="143" t="n"/>
      <c r="F8" s="143" t="n"/>
      <c r="G8" s="143" t="n"/>
      <c r="H8" s="143" t="n"/>
      <c r="I8" s="143" t="n"/>
      <c r="J8" s="143" t="n"/>
      <c r="K8" s="143" t="n"/>
      <c r="L8" s="143" t="n"/>
      <c r="M8" s="143" t="n"/>
      <c r="N8" s="143" t="n"/>
      <c r="O8" s="143" t="n"/>
      <c r="P8" s="143" t="n"/>
      <c r="Q8" s="144" t="n"/>
    </row>
    <row r="9">
      <c r="A9" s="18" t="n">
        <v>1</v>
      </c>
      <c r="B9" s="19" t="inlineStr">
        <is>
          <t xml:space="preserve">        Caja de Revisión Domiciliaria PVC/Concreto 40x40cm</t>
        </is>
      </c>
      <c r="C9" s="20" t="inlineStr">
        <is>
          <t>Residencial / Comercial</t>
        </is>
      </c>
      <c r="D9" s="18" t="inlineStr">
        <is>
          <t>Cajas Revisión</t>
        </is>
      </c>
      <c r="E9" s="18" t="inlineStr">
        <is>
          <t>U</t>
        </is>
      </c>
      <c r="F9" s="21" t="n">
        <v>4</v>
      </c>
      <c r="G9" s="22" t="n">
        <v>35</v>
      </c>
      <c r="H9" s="22" t="n">
        <v>36.2</v>
      </c>
      <c r="I9" s="18" t="inlineStr">
        <is>
          <t>Megametales</t>
        </is>
      </c>
      <c r="J9" s="22" t="n">
        <v>38.5</v>
      </c>
      <c r="K9" s="18" t="inlineStr">
        <is>
          <t>Kywi / Megakywi</t>
        </is>
      </c>
      <c r="L9" s="8">
        <f>F9*G9</f>
        <v/>
      </c>
      <c r="M9" s="145" t="inlineStr">
        <is>
          <t>IS-D20-CRV-CAJ-DOM</t>
        </is>
      </c>
      <c r="N9" s="18" t="inlineStr">
        <is>
          <t>Instalaciones sanitarias (hidrosanitarias)</t>
        </is>
      </c>
      <c r="O9" s="18" t="inlineStr">
        <is>
          <t>Estimado · base original del usuario (sin cotización verificada)</t>
        </is>
      </c>
      <c r="P9" s="18" t="inlineStr">
        <is>
          <t>oct-2026 (est.)</t>
        </is>
      </c>
      <c r="Q9" s="18" t="n"/>
    </row>
    <row r="10">
      <c r="A10" s="78" t="inlineStr">
        <is>
          <t xml:space="preserve">      • Subcategoría Especificada: Cajas, Pozos y Tapas</t>
        </is>
      </c>
      <c r="B10" s="143" t="n"/>
      <c r="C10" s="143" t="n"/>
      <c r="D10" s="143" t="n"/>
      <c r="E10" s="143" t="n"/>
      <c r="F10" s="143" t="n"/>
      <c r="G10" s="143" t="n"/>
      <c r="H10" s="143" t="n"/>
      <c r="I10" s="143" t="n"/>
      <c r="J10" s="143" t="n"/>
      <c r="K10" s="143" t="n"/>
      <c r="L10" s="143" t="n"/>
      <c r="M10" s="143" t="n"/>
      <c r="N10" s="143" t="n"/>
      <c r="O10" s="143" t="n"/>
      <c r="P10" s="143" t="n"/>
      <c r="Q10" s="144" t="n"/>
    </row>
    <row r="11">
      <c r="A11" s="79" t="n">
        <v>2</v>
      </c>
      <c r="B11" s="80" t="inlineStr">
        <is>
          <t xml:space="preserve">        Caja de Revisión H.A. 120x120 cm con Tapa</t>
        </is>
      </c>
      <c r="C11" s="81" t="inlineStr">
        <is>
          <t>Industrial / Urbanización</t>
        </is>
      </c>
      <c r="D11" s="79" t="inlineStr">
        <is>
          <t>Cajas Revisión</t>
        </is>
      </c>
      <c r="E11" s="79" t="inlineStr">
        <is>
          <t>U</t>
        </is>
      </c>
      <c r="F11" s="82" t="n">
        <v>1</v>
      </c>
      <c r="G11" s="83" t="n">
        <v>340</v>
      </c>
      <c r="H11" s="83" t="n">
        <v>357</v>
      </c>
      <c r="I11" s="79" t="inlineStr">
        <is>
          <t>Megametales</t>
        </is>
      </c>
      <c r="J11" s="83" t="n">
        <v>374</v>
      </c>
      <c r="K11" s="79" t="inlineStr">
        <is>
          <t>Kywi / Megakywi</t>
        </is>
      </c>
      <c r="L11" s="84">
        <f>F11*G11</f>
        <v/>
      </c>
      <c r="M11" s="154" t="inlineStr">
        <is>
          <t>IS-D20-CRV-FND-120X120</t>
        </is>
      </c>
      <c r="N11" s="79" t="inlineStr">
        <is>
          <t>Instalaciones sanitarias (hidrosanitarias)</t>
        </is>
      </c>
      <c r="O11" s="79" t="inlineStr">
        <is>
          <t>Estimado DION · criterio de mercado Guayaquil 2026 (no verificado en tienda)</t>
        </is>
      </c>
      <c r="P11" s="79" t="inlineStr">
        <is>
          <t>oct-2026 (est.)</t>
        </is>
      </c>
      <c r="Q11" s="79" t="n"/>
    </row>
    <row r="12">
      <c r="A12" s="18" t="n">
        <v>3</v>
      </c>
      <c r="B12" s="19" t="inlineStr">
        <is>
          <t xml:space="preserve">        Pozo de Revisión H.A. Ø1.20 m h≤3 m</t>
        </is>
      </c>
      <c r="C12" s="20" t="inlineStr">
        <is>
          <t>Urbanización</t>
        </is>
      </c>
      <c r="D12" s="18" t="inlineStr">
        <is>
          <t>Pozos</t>
        </is>
      </c>
      <c r="E12" s="18" t="inlineStr">
        <is>
          <t>U</t>
        </is>
      </c>
      <c r="F12" s="21" t="n">
        <v>0</v>
      </c>
      <c r="G12" s="22" t="n">
        <v>1150</v>
      </c>
      <c r="H12" s="22" t="n">
        <v>1207.5</v>
      </c>
      <c r="I12" s="18" t="inlineStr">
        <is>
          <t>Megametales</t>
        </is>
      </c>
      <c r="J12" s="22" t="n">
        <v>1230.5</v>
      </c>
      <c r="K12" s="18" t="inlineStr">
        <is>
          <t>Ferrisariato</t>
        </is>
      </c>
      <c r="L12" s="8">
        <f>F12*G12</f>
        <v/>
      </c>
      <c r="M12" s="145" t="inlineStr">
        <is>
          <t>IS-D20-CRV-POZ-D120</t>
        </is>
      </c>
      <c r="N12" s="18" t="inlineStr">
        <is>
          <t>Instalaciones sanitarias (hidrosanitarias)</t>
        </is>
      </c>
      <c r="O12" s="18" t="inlineStr">
        <is>
          <t>Estimado DION · criterio de mercado Guayaquil 2026 (no verificado en tienda)</t>
        </is>
      </c>
      <c r="P12" s="18" t="inlineStr">
        <is>
          <t>oct-2026 (est.)</t>
        </is>
      </c>
      <c r="Q12" s="18" t="n"/>
    </row>
    <row r="13">
      <c r="A13" s="79" t="n">
        <v>4</v>
      </c>
      <c r="B13" s="80" t="inlineStr">
        <is>
          <t xml:space="preserve">        Escalón de Pozo Polipropileno con Alma de Acero</t>
        </is>
      </c>
      <c r="C13" s="81" t="inlineStr">
        <is>
          <t>Urbanización</t>
        </is>
      </c>
      <c r="D13" s="79" t="inlineStr">
        <is>
          <t>Escalones Pozo</t>
        </is>
      </c>
      <c r="E13" s="79" t="inlineStr">
        <is>
          <t>U</t>
        </is>
      </c>
      <c r="F13" s="82" t="n">
        <v>6</v>
      </c>
      <c r="G13" s="83" t="n">
        <v>9.5</v>
      </c>
      <c r="H13" s="83" t="n">
        <v>9.789999999999999</v>
      </c>
      <c r="I13" s="79" t="inlineStr">
        <is>
          <t>Megametales</t>
        </is>
      </c>
      <c r="J13" s="83" t="n">
        <v>10.45</v>
      </c>
      <c r="K13" s="79" t="inlineStr">
        <is>
          <t>Kywi / Megakywi</t>
        </is>
      </c>
      <c r="L13" s="84">
        <f>F13*G13</f>
        <v/>
      </c>
      <c r="M13" s="154" t="inlineStr">
        <is>
          <t>IS-D20-CRV-ESC-PP</t>
        </is>
      </c>
      <c r="N13" s="79" t="inlineStr">
        <is>
          <t>Instalaciones sanitarias (hidrosanitarias)</t>
        </is>
      </c>
      <c r="O13" s="79" t="inlineStr">
        <is>
          <t>Estimado DION · criterio de mercado Guayaquil 2026 (no verificado en tienda)</t>
        </is>
      </c>
      <c r="P13" s="79" t="inlineStr">
        <is>
          <t>oct-2026 (est.)</t>
        </is>
      </c>
      <c r="Q13" s="79" t="n"/>
    </row>
    <row r="14">
      <c r="A14" s="76" t="inlineStr">
        <is>
          <t>TUBERÍAS</t>
        </is>
      </c>
      <c r="B14" s="143" t="n"/>
      <c r="C14" s="143" t="n"/>
      <c r="D14" s="143" t="n"/>
      <c r="E14" s="143" t="n"/>
      <c r="F14" s="143" t="n"/>
      <c r="G14" s="143" t="n"/>
      <c r="H14" s="143" t="n"/>
      <c r="I14" s="143" t="n"/>
      <c r="J14" s="143" t="n"/>
      <c r="K14" s="143" t="n"/>
      <c r="L14" s="143" t="n"/>
      <c r="M14" s="143" t="n"/>
      <c r="N14" s="143" t="n"/>
      <c r="O14" s="143" t="n"/>
      <c r="P14" s="143" t="n"/>
      <c r="Q14" s="144" t="n"/>
    </row>
    <row r="15">
      <c r="A15" s="77" t="inlineStr">
        <is>
          <t xml:space="preserve">  ► CATEGORÍA: TUBERÍAS PVC SANITARIA COLECTORA 200MM - 250MM</t>
        </is>
      </c>
      <c r="B15" s="143" t="n"/>
      <c r="C15" s="143" t="n"/>
      <c r="D15" s="143" t="n"/>
      <c r="E15" s="143" t="n"/>
      <c r="F15" s="143" t="n"/>
      <c r="G15" s="143" t="n"/>
      <c r="H15" s="143" t="n"/>
      <c r="I15" s="143" t="n"/>
      <c r="J15" s="143" t="n"/>
      <c r="K15" s="143" t="n"/>
      <c r="L15" s="143" t="n"/>
      <c r="M15" s="143" t="n"/>
      <c r="N15" s="143" t="n"/>
      <c r="O15" s="143" t="n"/>
      <c r="P15" s="143" t="n"/>
      <c r="Q15" s="144" t="n"/>
    </row>
    <row r="16">
      <c r="A16" s="78" t="inlineStr">
        <is>
          <t xml:space="preserve">      • Subcategoría Especificada: Redes de Alcantarillado</t>
        </is>
      </c>
      <c r="B16" s="143" t="n"/>
      <c r="C16" s="143" t="n"/>
      <c r="D16" s="143" t="n"/>
      <c r="E16" s="143" t="n"/>
      <c r="F16" s="143" t="n"/>
      <c r="G16" s="143" t="n"/>
      <c r="H16" s="143" t="n"/>
      <c r="I16" s="143" t="n"/>
      <c r="J16" s="143" t="n"/>
      <c r="K16" s="143" t="n"/>
      <c r="L16" s="143" t="n"/>
      <c r="M16" s="143" t="n"/>
      <c r="N16" s="143" t="n"/>
      <c r="O16" s="143" t="n"/>
      <c r="P16" s="143" t="n"/>
      <c r="Q16" s="144" t="n"/>
    </row>
    <row r="17">
      <c r="A17" s="18" t="n">
        <v>5</v>
      </c>
      <c r="B17" s="19" t="inlineStr">
        <is>
          <t xml:space="preserve">        Tubo PVC Sanitario Colector 200mm / 8" (6m)</t>
        </is>
      </c>
      <c r="C17" s="20" t="inlineStr">
        <is>
          <t>Industrial / Alcantarillado</t>
        </is>
      </c>
      <c r="D17" s="18" t="inlineStr">
        <is>
          <t>Tubería Colectora</t>
        </is>
      </c>
      <c r="E17" s="18" t="inlineStr">
        <is>
          <t>U</t>
        </is>
      </c>
      <c r="F17" s="21" t="n">
        <v>3</v>
      </c>
      <c r="G17" s="22" t="n">
        <v>68</v>
      </c>
      <c r="H17" s="22" t="n">
        <v>71</v>
      </c>
      <c r="I17" s="18" t="inlineStr">
        <is>
          <t>Megametales</t>
        </is>
      </c>
      <c r="J17" s="22" t="n">
        <v>75</v>
      </c>
      <c r="K17" s="18" t="inlineStr">
        <is>
          <t>Kywi / Megakywi</t>
        </is>
      </c>
      <c r="L17" s="8">
        <f>F17*G17</f>
        <v/>
      </c>
      <c r="M17" s="145" t="inlineStr">
        <is>
          <t>IS-D20-TDS-PVC-200</t>
        </is>
      </c>
      <c r="N17" s="18" t="inlineStr">
        <is>
          <t>Instalaciones sanitarias (hidrosanitarias)</t>
        </is>
      </c>
      <c r="O17" s="18" t="inlineStr">
        <is>
          <t>Estimado · base original del usuario (sin cotización verificada)</t>
        </is>
      </c>
      <c r="P17" s="18" t="inlineStr">
        <is>
          <t>oct-2026 (est.)</t>
        </is>
      </c>
      <c r="Q17" s="18" t="n">
        <v>5</v>
      </c>
    </row>
    <row r="18">
      <c r="A18" s="78" t="inlineStr">
        <is>
          <t xml:space="preserve">      • Subcategoría Especificada: Colectores Lisos y Corrugados</t>
        </is>
      </c>
      <c r="B18" s="143" t="n"/>
      <c r="C18" s="143" t="n"/>
      <c r="D18" s="143" t="n"/>
      <c r="E18" s="143" t="n"/>
      <c r="F18" s="143" t="n"/>
      <c r="G18" s="143" t="n"/>
      <c r="H18" s="143" t="n"/>
      <c r="I18" s="143" t="n"/>
      <c r="J18" s="143" t="n"/>
      <c r="K18" s="143" t="n"/>
      <c r="L18" s="143" t="n"/>
      <c r="M18" s="143" t="n"/>
      <c r="N18" s="143" t="n"/>
      <c r="O18" s="143" t="n"/>
      <c r="P18" s="143" t="n"/>
      <c r="Q18" s="144" t="n"/>
    </row>
    <row r="19">
      <c r="A19" s="79" t="n">
        <v>6</v>
      </c>
      <c r="B19" s="80" t="inlineStr">
        <is>
          <t xml:space="preserve">        Tubo PVC Sanitario Colector 250 mm (3 m)</t>
        </is>
      </c>
      <c r="C19" s="81" t="inlineStr">
        <is>
          <t>Industrial / Alcantarillado</t>
        </is>
      </c>
      <c r="D19" s="79" t="inlineStr">
        <is>
          <t>Tubería Colectora</t>
        </is>
      </c>
      <c r="E19" s="79" t="inlineStr">
        <is>
          <t>U</t>
        </is>
      </c>
      <c r="F19" s="82" t="n">
        <v>2</v>
      </c>
      <c r="G19" s="83" t="n">
        <v>59</v>
      </c>
      <c r="H19" s="83" t="n">
        <v>60.77</v>
      </c>
      <c r="I19" s="79" t="inlineStr">
        <is>
          <t>Megametales</t>
        </is>
      </c>
      <c r="J19" s="83" t="n">
        <v>63.13</v>
      </c>
      <c r="K19" s="79" t="inlineStr">
        <is>
          <t>Kywi / Megakywi</t>
        </is>
      </c>
      <c r="L19" s="84">
        <f>F19*G19</f>
        <v/>
      </c>
      <c r="M19" s="154" t="inlineStr">
        <is>
          <t>IS-D20-TDS-PVC-250</t>
        </is>
      </c>
      <c r="N19" s="79" t="inlineStr">
        <is>
          <t>Instalaciones sanitarias (hidrosanitarias)</t>
        </is>
      </c>
      <c r="O19" s="79" t="inlineStr">
        <is>
          <t>Estimado DION · criterio de mercado Guayaquil 2026 (no verificado en tienda)</t>
        </is>
      </c>
      <c r="P19" s="79" t="inlineStr">
        <is>
          <t>oct-2026 (est.)</t>
        </is>
      </c>
      <c r="Q19" s="79" t="n">
        <v>5</v>
      </c>
    </row>
    <row r="20">
      <c r="A20" s="18" t="n">
        <v>7</v>
      </c>
      <c r="B20" s="19" t="inlineStr">
        <is>
          <t xml:space="preserve">        Tubo PVC Corrugado Alcantarillado Sanitario Ø110 mm (6 m)</t>
        </is>
      </c>
      <c r="C20" s="20" t="inlineStr">
        <is>
          <t>Urbanización / Industrial</t>
        </is>
      </c>
      <c r="D20" s="18" t="inlineStr">
        <is>
          <t>Corrugados Sanitarios</t>
        </is>
      </c>
      <c r="E20" s="18" t="inlineStr">
        <is>
          <t>U</t>
        </is>
      </c>
      <c r="F20" s="21" t="n">
        <v>2</v>
      </c>
      <c r="G20" s="22" t="n">
        <v>31</v>
      </c>
      <c r="H20" s="22" t="n">
        <v>31.93</v>
      </c>
      <c r="I20" s="18" t="inlineStr">
        <is>
          <t>Megametales</t>
        </is>
      </c>
      <c r="J20" s="22" t="n">
        <v>34.1</v>
      </c>
      <c r="K20" s="18" t="inlineStr">
        <is>
          <t>Ferrisariato</t>
        </is>
      </c>
      <c r="L20" s="8">
        <f>F20*G20</f>
        <v/>
      </c>
      <c r="M20" s="145" t="inlineStr">
        <is>
          <t>IS-D20-TDS-COR-110</t>
        </is>
      </c>
      <c r="N20" s="18" t="inlineStr">
        <is>
          <t>Instalaciones sanitarias (hidrosanitarias)</t>
        </is>
      </c>
      <c r="O20" s="18" t="inlineStr">
        <is>
          <t>Estimado DION · criterio de mercado Guayaquil 2026 (no verificado en tienda)</t>
        </is>
      </c>
      <c r="P20" s="18" t="inlineStr">
        <is>
          <t>oct-2026 (est.)</t>
        </is>
      </c>
      <c r="Q20" s="18" t="n">
        <v>3</v>
      </c>
    </row>
    <row r="21">
      <c r="A21" s="79" t="n">
        <v>8</v>
      </c>
      <c r="B21" s="80" t="inlineStr">
        <is>
          <t xml:space="preserve">        Tubo PVC Corrugado Alcantarillado Sanitario Ø160 mm (6 m)</t>
        </is>
      </c>
      <c r="C21" s="81" t="inlineStr">
        <is>
          <t>Urbanización / Industrial</t>
        </is>
      </c>
      <c r="D21" s="79" t="inlineStr">
        <is>
          <t>Corrugados Sanitarios</t>
        </is>
      </c>
      <c r="E21" s="79" t="inlineStr">
        <is>
          <t>U</t>
        </is>
      </c>
      <c r="F21" s="82" t="n">
        <v>2</v>
      </c>
      <c r="G21" s="83" t="n">
        <v>53</v>
      </c>
      <c r="H21" s="83" t="n">
        <v>54.06</v>
      </c>
      <c r="I21" s="79" t="inlineStr">
        <is>
          <t>Megametales</t>
        </is>
      </c>
      <c r="J21" s="83" t="n">
        <v>57.77</v>
      </c>
      <c r="K21" s="79" t="inlineStr">
        <is>
          <t>Kywi / Megakywi</t>
        </is>
      </c>
      <c r="L21" s="84">
        <f>F21*G21</f>
        <v/>
      </c>
      <c r="M21" s="154" t="inlineStr">
        <is>
          <t>IS-D20-TDS-COR-160</t>
        </is>
      </c>
      <c r="N21" s="79" t="inlineStr">
        <is>
          <t>Instalaciones sanitarias (hidrosanitarias)</t>
        </is>
      </c>
      <c r="O21" s="79" t="inlineStr">
        <is>
          <t>Estimado DION · criterio de mercado Guayaquil 2026 (no verificado en tienda)</t>
        </is>
      </c>
      <c r="P21" s="79" t="inlineStr">
        <is>
          <t>oct-2026 (est.)</t>
        </is>
      </c>
      <c r="Q21" s="79" t="n">
        <v>3</v>
      </c>
    </row>
    <row r="22">
      <c r="A22" s="18" t="n">
        <v>9</v>
      </c>
      <c r="B22" s="19" t="inlineStr">
        <is>
          <t xml:space="preserve">        Tubo PVC Corrugado Alcantarillado Sanitario Ø200 mm (6 m)</t>
        </is>
      </c>
      <c r="C22" s="20" t="inlineStr">
        <is>
          <t>Urbanización / Industrial</t>
        </is>
      </c>
      <c r="D22" s="18" t="inlineStr">
        <is>
          <t>Corrugados Sanitarios</t>
        </is>
      </c>
      <c r="E22" s="18" t="inlineStr">
        <is>
          <t>U</t>
        </is>
      </c>
      <c r="F22" s="21" t="n">
        <v>2</v>
      </c>
      <c r="G22" s="22" t="n">
        <v>76</v>
      </c>
      <c r="H22" s="22" t="n">
        <v>79.8</v>
      </c>
      <c r="I22" s="18" t="inlineStr">
        <is>
          <t>Megametales</t>
        </is>
      </c>
      <c r="J22" s="22" t="n">
        <v>82.08</v>
      </c>
      <c r="K22" s="18" t="inlineStr">
        <is>
          <t>Ferrisariato</t>
        </is>
      </c>
      <c r="L22" s="8">
        <f>F22*G22</f>
        <v/>
      </c>
      <c r="M22" s="145" t="inlineStr">
        <is>
          <t>IS-D20-TDS-COR-200</t>
        </is>
      </c>
      <c r="N22" s="18" t="inlineStr">
        <is>
          <t>Instalaciones sanitarias (hidrosanitarias)</t>
        </is>
      </c>
      <c r="O22" s="18" t="inlineStr">
        <is>
          <t>Estimado DION · criterio de mercado Guayaquil 2026 (no verificado en tienda)</t>
        </is>
      </c>
      <c r="P22" s="18" t="inlineStr">
        <is>
          <t>oct-2026 (est.)</t>
        </is>
      </c>
      <c r="Q22" s="18" t="n">
        <v>3</v>
      </c>
    </row>
    <row r="23">
      <c r="A23" s="79" t="n">
        <v>10</v>
      </c>
      <c r="B23" s="80" t="inlineStr">
        <is>
          <t xml:space="preserve">        Tubo PVC Corrugado Alcantarillado Sanitario Ø250 mm (6 m)</t>
        </is>
      </c>
      <c r="C23" s="81" t="inlineStr">
        <is>
          <t>Urbanización / Industrial</t>
        </is>
      </c>
      <c r="D23" s="79" t="inlineStr">
        <is>
          <t>Corrugados Sanitarios</t>
        </is>
      </c>
      <c r="E23" s="79" t="inlineStr">
        <is>
          <t>U</t>
        </is>
      </c>
      <c r="F23" s="82" t="n">
        <v>2</v>
      </c>
      <c r="G23" s="83" t="n">
        <v>116</v>
      </c>
      <c r="H23" s="83" t="n">
        <v>118.32</v>
      </c>
      <c r="I23" s="79" t="inlineStr">
        <is>
          <t>Megametales</t>
        </is>
      </c>
      <c r="J23" s="83" t="n">
        <v>124.12</v>
      </c>
      <c r="K23" s="79" t="inlineStr">
        <is>
          <t>Kywi / Megakywi</t>
        </is>
      </c>
      <c r="L23" s="84">
        <f>F23*G23</f>
        <v/>
      </c>
      <c r="M23" s="154" t="inlineStr">
        <is>
          <t>IS-D20-TDS-COR-250</t>
        </is>
      </c>
      <c r="N23" s="79" t="inlineStr">
        <is>
          <t>Instalaciones sanitarias (hidrosanitarias)</t>
        </is>
      </c>
      <c r="O23" s="79" t="inlineStr">
        <is>
          <t>Estimado DION · criterio de mercado Guayaquil 2026 (no verificado en tienda)</t>
        </is>
      </c>
      <c r="P23" s="79" t="inlineStr">
        <is>
          <t>oct-2026 (est.)</t>
        </is>
      </c>
      <c r="Q23" s="79" t="n">
        <v>3</v>
      </c>
    </row>
    <row r="24">
      <c r="A24" s="18" t="n">
        <v>11</v>
      </c>
      <c r="B24" s="19" t="inlineStr">
        <is>
          <t xml:space="preserve">        Tubo PVC Corrugado Alcantarillado Sanitario Ø315 mm (6 m)</t>
        </is>
      </c>
      <c r="C24" s="20" t="inlineStr">
        <is>
          <t>Urbanización / Industrial</t>
        </is>
      </c>
      <c r="D24" s="18" t="inlineStr">
        <is>
          <t>Corrugados Sanitarios</t>
        </is>
      </c>
      <c r="E24" s="18" t="inlineStr">
        <is>
          <t>U</t>
        </is>
      </c>
      <c r="F24" s="21" t="n">
        <v>2</v>
      </c>
      <c r="G24" s="22" t="n">
        <v>178</v>
      </c>
      <c r="H24" s="22" t="n">
        <v>181.56</v>
      </c>
      <c r="I24" s="18" t="inlineStr">
        <is>
          <t>Megametales</t>
        </is>
      </c>
      <c r="J24" s="22" t="n">
        <v>197.58</v>
      </c>
      <c r="K24" s="18" t="inlineStr">
        <is>
          <t>Ferrisariato</t>
        </is>
      </c>
      <c r="L24" s="8">
        <f>F24*G24</f>
        <v/>
      </c>
      <c r="M24" s="145" t="inlineStr">
        <is>
          <t>IS-D20-TDS-COR-315</t>
        </is>
      </c>
      <c r="N24" s="18" t="inlineStr">
        <is>
          <t>Instalaciones sanitarias (hidrosanitarias)</t>
        </is>
      </c>
      <c r="O24" s="18" t="inlineStr">
        <is>
          <t>Estimado DION · criterio de mercado Guayaquil 2026 (no verificado en tienda)</t>
        </is>
      </c>
      <c r="P24" s="18" t="inlineStr">
        <is>
          <t>oct-2026 (est.)</t>
        </is>
      </c>
      <c r="Q24" s="18" t="n">
        <v>3</v>
      </c>
    </row>
    <row r="25">
      <c r="A25" s="79" t="n">
        <v>12</v>
      </c>
      <c r="B25" s="80" t="inlineStr">
        <is>
          <t xml:space="preserve">        Tubo PVC Corrugado Alcantarillado Sanitario Ø400 mm (6 m)</t>
        </is>
      </c>
      <c r="C25" s="81" t="inlineStr">
        <is>
          <t>Urbanización / Industrial</t>
        </is>
      </c>
      <c r="D25" s="79" t="inlineStr">
        <is>
          <t>Corrugados Sanitarios</t>
        </is>
      </c>
      <c r="E25" s="79" t="inlineStr">
        <is>
          <t>U</t>
        </is>
      </c>
      <c r="F25" s="82" t="n">
        <v>2</v>
      </c>
      <c r="G25" s="83" t="n">
        <v>295</v>
      </c>
      <c r="H25" s="83" t="n">
        <v>300.9</v>
      </c>
      <c r="I25" s="79" t="inlineStr">
        <is>
          <t>Megametales</t>
        </is>
      </c>
      <c r="J25" s="83" t="n">
        <v>321.55</v>
      </c>
      <c r="K25" s="79" t="inlineStr">
        <is>
          <t>Kywi / Megakywi</t>
        </is>
      </c>
      <c r="L25" s="84">
        <f>F25*G25</f>
        <v/>
      </c>
      <c r="M25" s="154" t="inlineStr">
        <is>
          <t>IS-D20-TDS-COR-400</t>
        </is>
      </c>
      <c r="N25" s="79" t="inlineStr">
        <is>
          <t>Instalaciones sanitarias (hidrosanitarias)</t>
        </is>
      </c>
      <c r="O25" s="79" t="inlineStr">
        <is>
          <t>Estimado DION · criterio de mercado Guayaquil 2026 (no verificado en tienda)</t>
        </is>
      </c>
      <c r="P25" s="79" t="inlineStr">
        <is>
          <t>oct-2026 (est.)</t>
        </is>
      </c>
      <c r="Q25" s="79" t="n">
        <v>3</v>
      </c>
    </row>
    <row r="26">
      <c r="A26" s="76" t="inlineStr">
        <is>
          <t>EQUIPOS</t>
        </is>
      </c>
      <c r="B26" s="143" t="n"/>
      <c r="C26" s="143" t="n"/>
      <c r="D26" s="143" t="n"/>
      <c r="E26" s="143" t="n"/>
      <c r="F26" s="143" t="n"/>
      <c r="G26" s="143" t="n"/>
      <c r="H26" s="143" t="n"/>
      <c r="I26" s="143" t="n"/>
      <c r="J26" s="143" t="n"/>
      <c r="K26" s="143" t="n"/>
      <c r="L26" s="143" t="n"/>
      <c r="M26" s="143" t="n"/>
      <c r="N26" s="143" t="n"/>
      <c r="O26" s="143" t="n"/>
      <c r="P26" s="143" t="n"/>
      <c r="Q26" s="144" t="n"/>
    </row>
    <row r="27">
      <c r="A27" s="77" t="inlineStr">
        <is>
          <t xml:space="preserve">  ► CATEGORÍA: PLANTAS COMPACTAS PTAR Y BIODIGESTORES</t>
        </is>
      </c>
      <c r="B27" s="143" t="n"/>
      <c r="C27" s="143" t="n"/>
      <c r="D27" s="143" t="n"/>
      <c r="E27" s="143" t="n"/>
      <c r="F27" s="143" t="n"/>
      <c r="G27" s="143" t="n"/>
      <c r="H27" s="143" t="n"/>
      <c r="I27" s="143" t="n"/>
      <c r="J27" s="143" t="n"/>
      <c r="K27" s="143" t="n"/>
      <c r="L27" s="143" t="n"/>
      <c r="M27" s="143" t="n"/>
      <c r="N27" s="143" t="n"/>
      <c r="O27" s="143" t="n"/>
      <c r="P27" s="143" t="n"/>
      <c r="Q27" s="144" t="n"/>
    </row>
    <row r="28">
      <c r="A28" s="78" t="inlineStr">
        <is>
          <t xml:space="preserve">      • Subcategoría Especificada: Tratamiento Biológico y Separación</t>
        </is>
      </c>
      <c r="B28" s="143" t="n"/>
      <c r="C28" s="143" t="n"/>
      <c r="D28" s="143" t="n"/>
      <c r="E28" s="143" t="n"/>
      <c r="F28" s="143" t="n"/>
      <c r="G28" s="143" t="n"/>
      <c r="H28" s="143" t="n"/>
      <c r="I28" s="143" t="n"/>
      <c r="J28" s="143" t="n"/>
      <c r="K28" s="143" t="n"/>
      <c r="L28" s="143" t="n"/>
      <c r="M28" s="143" t="n"/>
      <c r="N28" s="143" t="n"/>
      <c r="O28" s="143" t="n"/>
      <c r="P28" s="143" t="n"/>
      <c r="Q28" s="144" t="n"/>
    </row>
    <row r="29">
      <c r="A29" s="18" t="n">
        <v>13</v>
      </c>
      <c r="B29" s="19" t="inlineStr">
        <is>
          <t xml:space="preserve">        Biodigestor Autolimpiable Plástico 1300L (10p)</t>
        </is>
      </c>
      <c r="C29" s="20" t="inlineStr">
        <is>
          <t>Residencial / Comercial</t>
        </is>
      </c>
      <c r="D29" s="18" t="inlineStr">
        <is>
          <t>Biodigestores</t>
        </is>
      </c>
      <c r="E29" s="18" t="inlineStr">
        <is>
          <t>U</t>
        </is>
      </c>
      <c r="F29" s="21" t="n">
        <v>1</v>
      </c>
      <c r="G29" s="22" t="n">
        <v>620</v>
      </c>
      <c r="H29" s="22" t="n">
        <v>645</v>
      </c>
      <c r="I29" s="18" t="inlineStr">
        <is>
          <t>Megametales</t>
        </is>
      </c>
      <c r="J29" s="22" t="n">
        <v>680</v>
      </c>
      <c r="K29" s="18" t="inlineStr">
        <is>
          <t>Kywi / Megakywi</t>
        </is>
      </c>
      <c r="L29" s="8">
        <f>F29*G29</f>
        <v/>
      </c>
      <c r="M29" s="145" t="inlineStr">
        <is>
          <t>IS-D20-PTA-BIO-DIG</t>
        </is>
      </c>
      <c r="N29" s="18" t="inlineStr">
        <is>
          <t>Instalaciones sanitarias (hidrosanitarias)</t>
        </is>
      </c>
      <c r="O29" s="18" t="inlineStr">
        <is>
          <t>Estimado · base original del usuario (sin cotización verificada)</t>
        </is>
      </c>
      <c r="P29" s="18" t="inlineStr">
        <is>
          <t>oct-2026 (est.)</t>
        </is>
      </c>
      <c r="Q29" s="18" t="n"/>
    </row>
    <row r="30">
      <c r="A30" s="79" t="n">
        <v>14</v>
      </c>
      <c r="B30" s="80" t="inlineStr">
        <is>
          <t xml:space="preserve">        Planta Tratamiento Compacta PTAR 5m3/día Lodos Activados</t>
        </is>
      </c>
      <c r="C30" s="81" t="inlineStr">
        <is>
          <t>Comercial / Industrial / Urbanización</t>
        </is>
      </c>
      <c r="D30" s="79" t="inlineStr">
        <is>
          <t>Plantas PTAR</t>
        </is>
      </c>
      <c r="E30" s="79" t="inlineStr">
        <is>
          <t>U</t>
        </is>
      </c>
      <c r="F30" s="82" t="n">
        <v>1</v>
      </c>
      <c r="G30" s="83" t="n">
        <v>4800</v>
      </c>
      <c r="H30" s="83" t="n">
        <v>4950</v>
      </c>
      <c r="I30" s="79" t="inlineStr">
        <is>
          <t>Megametales</t>
        </is>
      </c>
      <c r="J30" s="83" t="n">
        <v>5200</v>
      </c>
      <c r="K30" s="79" t="inlineStr">
        <is>
          <t>Kywi / Megakywi</t>
        </is>
      </c>
      <c r="L30" s="84">
        <f>F30*G30</f>
        <v/>
      </c>
      <c r="M30" s="154" t="inlineStr">
        <is>
          <t>IS-D20-PTA-PTAR-005M3D</t>
        </is>
      </c>
      <c r="N30" s="79" t="inlineStr">
        <is>
          <t>Instalaciones sanitarias (hidrosanitarias)</t>
        </is>
      </c>
      <c r="O30" s="79" t="inlineStr">
        <is>
          <t>Estimado · base original del usuario (sin cotización verificada)</t>
        </is>
      </c>
      <c r="P30" s="79" t="inlineStr">
        <is>
          <t>oct-2026 (est.)</t>
        </is>
      </c>
      <c r="Q30" s="79" t="n"/>
    </row>
    <row r="31">
      <c r="A31" s="18" t="n">
        <v>15</v>
      </c>
      <c r="B31" s="19" t="inlineStr">
        <is>
          <t xml:space="preserve">        Separador Hidrocarburos y Aceites Industrial 10 L/s</t>
        </is>
      </c>
      <c r="C31" s="20" t="inlineStr">
        <is>
          <t>Gasolineras / Industria / Talleres</t>
        </is>
      </c>
      <c r="D31" s="18" t="inlineStr">
        <is>
          <t>Separadores Aceite</t>
        </is>
      </c>
      <c r="E31" s="18" t="inlineStr">
        <is>
          <t>U</t>
        </is>
      </c>
      <c r="F31" s="21" t="n">
        <v>1</v>
      </c>
      <c r="G31" s="22" t="n">
        <v>1850</v>
      </c>
      <c r="H31" s="22" t="n">
        <v>1920</v>
      </c>
      <c r="I31" s="18" t="inlineStr">
        <is>
          <t>Megametales</t>
        </is>
      </c>
      <c r="J31" s="22" t="n">
        <v>2050</v>
      </c>
      <c r="K31" s="18" t="inlineStr">
        <is>
          <t>Ferrisariato</t>
        </is>
      </c>
      <c r="L31" s="8">
        <f>F31*G31</f>
        <v/>
      </c>
      <c r="M31" s="145" t="inlineStr">
        <is>
          <t>IS-D20-TGR-SEP-HID</t>
        </is>
      </c>
      <c r="N31" s="18" t="inlineStr">
        <is>
          <t>Instalaciones sanitarias (hidrosanitarias)</t>
        </is>
      </c>
      <c r="O31" s="18" t="inlineStr">
        <is>
          <t>Estimado · base original del usuario (sin cotización verificada)</t>
        </is>
      </c>
      <c r="P31" s="18" t="inlineStr">
        <is>
          <t>oct-2026 (est.)</t>
        </is>
      </c>
      <c r="Q31" s="18" t="n"/>
    </row>
    <row r="32">
      <c r="A32" s="78" t="inlineStr">
        <is>
          <t xml:space="preserve">      • Subcategoría Especificada: PTAR por Caudal, Fosas y Pozos</t>
        </is>
      </c>
      <c r="B32" s="143" t="n"/>
      <c r="C32" s="143" t="n"/>
      <c r="D32" s="143" t="n"/>
      <c r="E32" s="143" t="n"/>
      <c r="F32" s="143" t="n"/>
      <c r="G32" s="143" t="n"/>
      <c r="H32" s="143" t="n"/>
      <c r="I32" s="143" t="n"/>
      <c r="J32" s="143" t="n"/>
      <c r="K32" s="143" t="n"/>
      <c r="L32" s="143" t="n"/>
      <c r="M32" s="143" t="n"/>
      <c r="N32" s="143" t="n"/>
      <c r="O32" s="143" t="n"/>
      <c r="P32" s="143" t="n"/>
      <c r="Q32" s="144" t="n"/>
    </row>
    <row r="33">
      <c r="A33" s="79" t="n">
        <v>16</v>
      </c>
      <c r="B33" s="80" t="inlineStr">
        <is>
          <t xml:space="preserve">        Planta Compacta PTAR Lodos Activados 10 m³/día</t>
        </is>
      </c>
      <c r="C33" s="81" t="inlineStr">
        <is>
          <t>Comercial / Industrial / Urbanización</t>
        </is>
      </c>
      <c r="D33" s="79" t="inlineStr">
        <is>
          <t>Plantas PTAR</t>
        </is>
      </c>
      <c r="E33" s="79" t="inlineStr">
        <is>
          <t>U</t>
        </is>
      </c>
      <c r="F33" s="82" t="n">
        <v>0</v>
      </c>
      <c r="G33" s="83" t="n">
        <v>8600</v>
      </c>
      <c r="H33" s="83" t="n">
        <v>8858</v>
      </c>
      <c r="I33" s="79" t="inlineStr">
        <is>
          <t>Megametales</t>
        </is>
      </c>
      <c r="J33" s="83" t="n">
        <v>9374</v>
      </c>
      <c r="K33" s="79" t="inlineStr">
        <is>
          <t>Kywi / Megakywi</t>
        </is>
      </c>
      <c r="L33" s="84">
        <f>F33*G33</f>
        <v/>
      </c>
      <c r="M33" s="154" t="inlineStr">
        <is>
          <t>IS-D20-PTA-PTAR-010M3D</t>
        </is>
      </c>
      <c r="N33" s="79" t="inlineStr">
        <is>
          <t>Instalaciones sanitarias (hidrosanitarias)</t>
        </is>
      </c>
      <c r="O33" s="79" t="inlineStr">
        <is>
          <t>Estimado DION · criterio de mercado Guayaquil 2026 (no verificado en tienda)</t>
        </is>
      </c>
      <c r="P33" s="79" t="inlineStr">
        <is>
          <t>oct-2026 (est.)</t>
        </is>
      </c>
      <c r="Q33" s="79" t="n"/>
    </row>
    <row r="34">
      <c r="A34" s="18" t="n">
        <v>17</v>
      </c>
      <c r="B34" s="19" t="inlineStr">
        <is>
          <t xml:space="preserve">        Planta Compacta PTAR Lodos Activados 25 m³/día</t>
        </is>
      </c>
      <c r="C34" s="20" t="inlineStr">
        <is>
          <t>Comercial / Industrial / Urbanización</t>
        </is>
      </c>
      <c r="D34" s="18" t="inlineStr">
        <is>
          <t>Plantas PTAR</t>
        </is>
      </c>
      <c r="E34" s="18" t="inlineStr">
        <is>
          <t>U</t>
        </is>
      </c>
      <c r="F34" s="21" t="n">
        <v>0</v>
      </c>
      <c r="G34" s="22" t="n">
        <v>17500</v>
      </c>
      <c r="H34" s="22" t="n">
        <v>18375</v>
      </c>
      <c r="I34" s="18" t="inlineStr">
        <is>
          <t>Megametales</t>
        </is>
      </c>
      <c r="J34" s="22" t="n">
        <v>19425</v>
      </c>
      <c r="K34" s="18" t="inlineStr">
        <is>
          <t>Ferrisariato</t>
        </is>
      </c>
      <c r="L34" s="8">
        <f>F34*G34</f>
        <v/>
      </c>
      <c r="M34" s="145" t="inlineStr">
        <is>
          <t>IS-D20-PTA-PTAR-025M3D</t>
        </is>
      </c>
      <c r="N34" s="18" t="inlineStr">
        <is>
          <t>Instalaciones sanitarias (hidrosanitarias)</t>
        </is>
      </c>
      <c r="O34" s="18" t="inlineStr">
        <is>
          <t>Estimado DION · criterio de mercado Guayaquil 2026 (no verificado en tienda)</t>
        </is>
      </c>
      <c r="P34" s="18" t="inlineStr">
        <is>
          <t>oct-2026 (est.)</t>
        </is>
      </c>
      <c r="Q34" s="18" t="n"/>
    </row>
    <row r="35">
      <c r="A35" s="79" t="n">
        <v>18</v>
      </c>
      <c r="B35" s="80" t="inlineStr">
        <is>
          <t xml:space="preserve">        Planta Compacta PTAR Lodos Activados 50 m³/día</t>
        </is>
      </c>
      <c r="C35" s="81" t="inlineStr">
        <is>
          <t>Comercial / Industrial / Urbanización</t>
        </is>
      </c>
      <c r="D35" s="79" t="inlineStr">
        <is>
          <t>Plantas PTAR</t>
        </is>
      </c>
      <c r="E35" s="79" t="inlineStr">
        <is>
          <t>U</t>
        </is>
      </c>
      <c r="F35" s="82" t="n">
        <v>0</v>
      </c>
      <c r="G35" s="83" t="n">
        <v>29500</v>
      </c>
      <c r="H35" s="83" t="n">
        <v>30680</v>
      </c>
      <c r="I35" s="79" t="inlineStr">
        <is>
          <t>Megametales</t>
        </is>
      </c>
      <c r="J35" s="83" t="n">
        <v>32450</v>
      </c>
      <c r="K35" s="79" t="inlineStr">
        <is>
          <t>Kywi / Megakywi</t>
        </is>
      </c>
      <c r="L35" s="84">
        <f>F35*G35</f>
        <v/>
      </c>
      <c r="M35" s="154" t="inlineStr">
        <is>
          <t>IS-D20-PTA-PTAR-050M3D</t>
        </is>
      </c>
      <c r="N35" s="79" t="inlineStr">
        <is>
          <t>Instalaciones sanitarias (hidrosanitarias)</t>
        </is>
      </c>
      <c r="O35" s="79" t="inlineStr">
        <is>
          <t>Estimado DION · criterio de mercado Guayaquil 2026 (no verificado en tienda)</t>
        </is>
      </c>
      <c r="P35" s="79" t="inlineStr">
        <is>
          <t>oct-2026 (est.)</t>
        </is>
      </c>
      <c r="Q35" s="79" t="n"/>
    </row>
    <row r="36">
      <c r="A36" s="18" t="n">
        <v>19</v>
      </c>
      <c r="B36" s="19" t="inlineStr">
        <is>
          <t xml:space="preserve">        Planta Compacta PTAR Lodos Activados 100 m³/día</t>
        </is>
      </c>
      <c r="C36" s="20" t="inlineStr">
        <is>
          <t>Comercial / Industrial / Urbanización</t>
        </is>
      </c>
      <c r="D36" s="18" t="inlineStr">
        <is>
          <t>Plantas PTAR</t>
        </is>
      </c>
      <c r="E36" s="18" t="inlineStr">
        <is>
          <t>U</t>
        </is>
      </c>
      <c r="F36" s="21" t="n">
        <v>0</v>
      </c>
      <c r="G36" s="22" t="n">
        <v>52000</v>
      </c>
      <c r="H36" s="22" t="n">
        <v>53040</v>
      </c>
      <c r="I36" s="18" t="inlineStr">
        <is>
          <t>Megametales</t>
        </is>
      </c>
      <c r="J36" s="22" t="n">
        <v>55640</v>
      </c>
      <c r="K36" s="18" t="inlineStr">
        <is>
          <t>Ferrisariato</t>
        </is>
      </c>
      <c r="L36" s="8">
        <f>F36*G36</f>
        <v/>
      </c>
      <c r="M36" s="145" t="inlineStr">
        <is>
          <t>IS-D20-PTA-PTAR-100M3D</t>
        </is>
      </c>
      <c r="N36" s="18" t="inlineStr">
        <is>
          <t>Instalaciones sanitarias (hidrosanitarias)</t>
        </is>
      </c>
      <c r="O36" s="18" t="inlineStr">
        <is>
          <t>Estimado DION · criterio de mercado Guayaquil 2026 (no verificado en tienda)</t>
        </is>
      </c>
      <c r="P36" s="18" t="inlineStr">
        <is>
          <t>oct-2026 (est.)</t>
        </is>
      </c>
      <c r="Q36" s="18" t="n"/>
    </row>
    <row r="37">
      <c r="A37" s="79" t="n">
        <v>20</v>
      </c>
      <c r="B37" s="80" t="inlineStr">
        <is>
          <t xml:space="preserve">        Planta Compacta PTAR Lodos Activados 200 m³/día</t>
        </is>
      </c>
      <c r="C37" s="81" t="inlineStr">
        <is>
          <t>Comercial / Industrial / Urbanización</t>
        </is>
      </c>
      <c r="D37" s="79" t="inlineStr">
        <is>
          <t>Plantas PTAR</t>
        </is>
      </c>
      <c r="E37" s="79" t="inlineStr">
        <is>
          <t>U</t>
        </is>
      </c>
      <c r="F37" s="82" t="n">
        <v>0</v>
      </c>
      <c r="G37" s="83" t="n">
        <v>92000</v>
      </c>
      <c r="H37" s="83" t="n">
        <v>93840</v>
      </c>
      <c r="I37" s="79" t="inlineStr">
        <is>
          <t>Megametales</t>
        </is>
      </c>
      <c r="J37" s="83" t="n">
        <v>99360</v>
      </c>
      <c r="K37" s="79" t="inlineStr">
        <is>
          <t>Kywi / Megakywi</t>
        </is>
      </c>
      <c r="L37" s="84">
        <f>F37*G37</f>
        <v/>
      </c>
      <c r="M37" s="154" t="inlineStr">
        <is>
          <t>IS-D20-PTA-PTAR-200M3D</t>
        </is>
      </c>
      <c r="N37" s="79" t="inlineStr">
        <is>
          <t>Instalaciones sanitarias (hidrosanitarias)</t>
        </is>
      </c>
      <c r="O37" s="79" t="inlineStr">
        <is>
          <t>Estimado DION · criterio de mercado Guayaquil 2026 (no verificado en tienda)</t>
        </is>
      </c>
      <c r="P37" s="79" t="inlineStr">
        <is>
          <t>oct-2026 (est.)</t>
        </is>
      </c>
      <c r="Q37" s="79" t="n"/>
    </row>
    <row r="38">
      <c r="A38" s="18" t="n">
        <v>21</v>
      </c>
      <c r="B38" s="19" t="inlineStr">
        <is>
          <t xml:space="preserve">        Fosa Séptica Prefabricada 2 m³</t>
        </is>
      </c>
      <c r="C38" s="20" t="inlineStr">
        <is>
          <t>Residencial / Comercial</t>
        </is>
      </c>
      <c r="D38" s="18" t="inlineStr">
        <is>
          <t>Fosas Sépticas</t>
        </is>
      </c>
      <c r="E38" s="18" t="inlineStr">
        <is>
          <t>U</t>
        </is>
      </c>
      <c r="F38" s="21" t="n">
        <v>0</v>
      </c>
      <c r="G38" s="22" t="n">
        <v>780</v>
      </c>
      <c r="H38" s="22" t="n">
        <v>819</v>
      </c>
      <c r="I38" s="18" t="inlineStr">
        <is>
          <t>Megametales</t>
        </is>
      </c>
      <c r="J38" s="22" t="n">
        <v>858</v>
      </c>
      <c r="K38" s="18" t="inlineStr">
        <is>
          <t>Ferrisariato</t>
        </is>
      </c>
      <c r="L38" s="8">
        <f>F38*G38</f>
        <v/>
      </c>
      <c r="M38" s="145" t="inlineStr">
        <is>
          <t>IS-D20-PTA-FOS-02M3</t>
        </is>
      </c>
      <c r="N38" s="18" t="inlineStr">
        <is>
          <t>Instalaciones sanitarias (hidrosanitarias)</t>
        </is>
      </c>
      <c r="O38" s="18" t="inlineStr">
        <is>
          <t>Estimado DION · criterio de mercado Guayaquil 2026 (no verificado en tienda)</t>
        </is>
      </c>
      <c r="P38" s="18" t="inlineStr">
        <is>
          <t>oct-2026 (est.)</t>
        </is>
      </c>
      <c r="Q38" s="18" t="n"/>
    </row>
    <row r="39">
      <c r="A39" s="79" t="n">
        <v>22</v>
      </c>
      <c r="B39" s="80" t="inlineStr">
        <is>
          <t xml:space="preserve">        Fosa Séptica Prefabricada 5 m³</t>
        </is>
      </c>
      <c r="C39" s="81" t="inlineStr">
        <is>
          <t>Residencial / Comercial</t>
        </is>
      </c>
      <c r="D39" s="79" t="inlineStr">
        <is>
          <t>Fosas Sépticas</t>
        </is>
      </c>
      <c r="E39" s="79" t="inlineStr">
        <is>
          <t>U</t>
        </is>
      </c>
      <c r="F39" s="82" t="n">
        <v>0</v>
      </c>
      <c r="G39" s="83" t="n">
        <v>1650</v>
      </c>
      <c r="H39" s="83" t="n">
        <v>1683</v>
      </c>
      <c r="I39" s="79" t="inlineStr">
        <is>
          <t>Megametales</t>
        </is>
      </c>
      <c r="J39" s="83" t="n">
        <v>1831.5</v>
      </c>
      <c r="K39" s="79" t="inlineStr">
        <is>
          <t>Kywi / Megakywi</t>
        </is>
      </c>
      <c r="L39" s="84">
        <f>F39*G39</f>
        <v/>
      </c>
      <c r="M39" s="154" t="inlineStr">
        <is>
          <t>IS-D20-PTA-FOS-05M3</t>
        </is>
      </c>
      <c r="N39" s="79" t="inlineStr">
        <is>
          <t>Instalaciones sanitarias (hidrosanitarias)</t>
        </is>
      </c>
      <c r="O39" s="79" t="inlineStr">
        <is>
          <t>Estimado DION · criterio de mercado Guayaquil 2026 (no verificado en tienda)</t>
        </is>
      </c>
      <c r="P39" s="79" t="inlineStr">
        <is>
          <t>oct-2026 (est.)</t>
        </is>
      </c>
      <c r="Q39" s="79" t="n"/>
    </row>
    <row r="40">
      <c r="A40" s="18" t="n">
        <v>23</v>
      </c>
      <c r="B40" s="19" t="inlineStr">
        <is>
          <t xml:space="preserve">        Fosa Séptica Prefabricada 10 m³</t>
        </is>
      </c>
      <c r="C40" s="20" t="inlineStr">
        <is>
          <t>Residencial / Comercial</t>
        </is>
      </c>
      <c r="D40" s="18" t="inlineStr">
        <is>
          <t>Fosas Sépticas</t>
        </is>
      </c>
      <c r="E40" s="18" t="inlineStr">
        <is>
          <t>U</t>
        </is>
      </c>
      <c r="F40" s="21" t="n">
        <v>0</v>
      </c>
      <c r="G40" s="22" t="n">
        <v>3100</v>
      </c>
      <c r="H40" s="22" t="n">
        <v>3162</v>
      </c>
      <c r="I40" s="18" t="inlineStr">
        <is>
          <t>Megametales</t>
        </is>
      </c>
      <c r="J40" s="22" t="n">
        <v>3348</v>
      </c>
      <c r="K40" s="18" t="inlineStr">
        <is>
          <t>Ferrisariato</t>
        </is>
      </c>
      <c r="L40" s="8">
        <f>F40*G40</f>
        <v/>
      </c>
      <c r="M40" s="145" t="inlineStr">
        <is>
          <t>IS-D20-PTA-FOS-10M3</t>
        </is>
      </c>
      <c r="N40" s="18" t="inlineStr">
        <is>
          <t>Instalaciones sanitarias (hidrosanitarias)</t>
        </is>
      </c>
      <c r="O40" s="18" t="inlineStr">
        <is>
          <t>Estimado DION · criterio de mercado Guayaquil 2026 (no verificado en tienda)</t>
        </is>
      </c>
      <c r="P40" s="18" t="inlineStr">
        <is>
          <t>oct-2026 (est.)</t>
        </is>
      </c>
      <c r="Q40" s="18" t="n"/>
    </row>
    <row r="41">
      <c r="A41" s="79" t="n">
        <v>24</v>
      </c>
      <c r="B41" s="80" t="inlineStr">
        <is>
          <t xml:space="preserve">        Pozo de Absorción / Infiltración (Construido)</t>
        </is>
      </c>
      <c r="C41" s="81" t="inlineStr">
        <is>
          <t>Residencial / Comercial</t>
        </is>
      </c>
      <c r="D41" s="79" t="inlineStr">
        <is>
          <t>Pozos Absorción</t>
        </is>
      </c>
      <c r="E41" s="79" t="inlineStr">
        <is>
          <t>U</t>
        </is>
      </c>
      <c r="F41" s="82" t="n">
        <v>0</v>
      </c>
      <c r="G41" s="83" t="n">
        <v>850</v>
      </c>
      <c r="H41" s="83" t="n">
        <v>892.5</v>
      </c>
      <c r="I41" s="79" t="inlineStr">
        <is>
          <t>Megametales</t>
        </is>
      </c>
      <c r="J41" s="83" t="n">
        <v>918</v>
      </c>
      <c r="K41" s="79" t="inlineStr">
        <is>
          <t>Kywi / Megakywi</t>
        </is>
      </c>
      <c r="L41" s="84">
        <f>F41*G41</f>
        <v/>
      </c>
      <c r="M41" s="154" t="inlineStr">
        <is>
          <t>IS-D20-PTA-POZ-ABS</t>
        </is>
      </c>
      <c r="N41" s="79" t="inlineStr">
        <is>
          <t>Instalaciones sanitarias (hidrosanitarias)</t>
        </is>
      </c>
      <c r="O41" s="79" t="inlineStr">
        <is>
          <t>Estimado DION · criterio de mercado Guayaquil 2026 (no verificado en tienda)</t>
        </is>
      </c>
      <c r="P41" s="79" t="inlineStr">
        <is>
          <t>oct-2026 (est.)</t>
        </is>
      </c>
      <c r="Q41" s="79" t="n"/>
    </row>
    <row r="42">
      <c r="A42" s="18" t="n">
        <v>25</v>
      </c>
      <c r="B42" s="19" t="inlineStr">
        <is>
          <t xml:space="preserve">        Tanque de Neutralización Químico (Laboratorios)</t>
        </is>
      </c>
      <c r="C42" s="20" t="inlineStr">
        <is>
          <t>Hospitalario / Industrial</t>
        </is>
      </c>
      <c r="D42" s="18" t="inlineStr">
        <is>
          <t>Neutralización</t>
        </is>
      </c>
      <c r="E42" s="18" t="inlineStr">
        <is>
          <t>U</t>
        </is>
      </c>
      <c r="F42" s="21" t="n">
        <v>0</v>
      </c>
      <c r="G42" s="22" t="n">
        <v>2600</v>
      </c>
      <c r="H42" s="22" t="n">
        <v>2730</v>
      </c>
      <c r="I42" s="18" t="inlineStr">
        <is>
          <t>Megametales</t>
        </is>
      </c>
      <c r="J42" s="22" t="n">
        <v>2860</v>
      </c>
      <c r="K42" s="18" t="inlineStr">
        <is>
          <t>Ferrisariato</t>
        </is>
      </c>
      <c r="L42" s="8">
        <f>F42*G42</f>
        <v/>
      </c>
      <c r="M42" s="145" t="inlineStr">
        <is>
          <t>IS-D20-PTA-TAN-NEU</t>
        </is>
      </c>
      <c r="N42" s="18" t="inlineStr">
        <is>
          <t>Instalaciones sanitarias (hidrosanitarias)</t>
        </is>
      </c>
      <c r="O42" s="18" t="inlineStr">
        <is>
          <t>Estimado DION · criterio de mercado Guayaquil 2026 (no verificado en tienda)</t>
        </is>
      </c>
      <c r="P42" s="18" t="inlineStr">
        <is>
          <t>oct-2026 (est.)</t>
        </is>
      </c>
      <c r="Q42" s="18" t="n"/>
    </row>
    <row r="43">
      <c r="A43" s="79" t="n">
        <v>26</v>
      </c>
      <c r="B43" s="80" t="inlineStr">
        <is>
          <t xml:space="preserve">        Trampa de Yeso (Consultorio Ortopedia/Odontología)</t>
        </is>
      </c>
      <c r="C43" s="81" t="inlineStr">
        <is>
          <t>Hospitalario</t>
        </is>
      </c>
      <c r="D43" s="79" t="inlineStr">
        <is>
          <t>Trampas Yeso</t>
        </is>
      </c>
      <c r="E43" s="79" t="inlineStr">
        <is>
          <t>U</t>
        </is>
      </c>
      <c r="F43" s="82" t="n">
        <v>1</v>
      </c>
      <c r="G43" s="83" t="n">
        <v>420</v>
      </c>
      <c r="H43" s="83" t="n">
        <v>441</v>
      </c>
      <c r="I43" s="79" t="inlineStr">
        <is>
          <t>Megametales</t>
        </is>
      </c>
      <c r="J43" s="83" t="n">
        <v>462</v>
      </c>
      <c r="K43" s="79" t="inlineStr">
        <is>
          <t>Kywi / Megakywi</t>
        </is>
      </c>
      <c r="L43" s="84">
        <f>F43*G43</f>
        <v/>
      </c>
      <c r="M43" s="154" t="inlineStr">
        <is>
          <t>IS-D20-TGR-TRA-YES</t>
        </is>
      </c>
      <c r="N43" s="79" t="inlineStr">
        <is>
          <t>Instalaciones sanitarias (hidrosanitarias)</t>
        </is>
      </c>
      <c r="O43" s="79" t="inlineStr">
        <is>
          <t>Estimado DION · criterio de mercado Guayaquil 2026 (no verificado en tienda)</t>
        </is>
      </c>
      <c r="P43" s="79" t="inlineStr">
        <is>
          <t>oct-2026 (est.)</t>
        </is>
      </c>
      <c r="Q43" s="79" t="n"/>
    </row>
    <row r="44">
      <c r="A44" s="76" t="inlineStr">
        <is>
          <t>CONEXIONES</t>
        </is>
      </c>
      <c r="B44" s="143" t="n"/>
      <c r="C44" s="143" t="n"/>
      <c r="D44" s="143" t="n"/>
      <c r="E44" s="143" t="n"/>
      <c r="F44" s="143" t="n"/>
      <c r="G44" s="143" t="n"/>
      <c r="H44" s="143" t="n"/>
      <c r="I44" s="143" t="n"/>
      <c r="J44" s="143" t="n"/>
      <c r="K44" s="143" t="n"/>
      <c r="L44" s="143" t="n"/>
      <c r="M44" s="143" t="n"/>
      <c r="N44" s="143" t="n"/>
      <c r="O44" s="143" t="n"/>
      <c r="P44" s="143" t="n"/>
      <c r="Q44" s="144" t="n"/>
    </row>
    <row r="45">
      <c r="A45" s="77" t="inlineStr">
        <is>
          <t xml:space="preserve">  ► CATEGORÍA: CODOS Y YEES COLECTORAS DE ALCANTARILLADO</t>
        </is>
      </c>
      <c r="B45" s="143" t="n"/>
      <c r="C45" s="143" t="n"/>
      <c r="D45" s="143" t="n"/>
      <c r="E45" s="143" t="n"/>
      <c r="F45" s="143" t="n"/>
      <c r="G45" s="143" t="n"/>
      <c r="H45" s="143" t="n"/>
      <c r="I45" s="143" t="n"/>
      <c r="J45" s="143" t="n"/>
      <c r="K45" s="143" t="n"/>
      <c r="L45" s="143" t="n"/>
      <c r="M45" s="143" t="n"/>
      <c r="N45" s="143" t="n"/>
      <c r="O45" s="143" t="n"/>
      <c r="P45" s="143" t="n"/>
      <c r="Q45" s="144" t="n"/>
    </row>
    <row r="46">
      <c r="A46" s="78" t="inlineStr">
        <is>
          <t xml:space="preserve">      • Subcategoría Especificada: Conexiones de Red Principal</t>
        </is>
      </c>
      <c r="B46" s="143" t="n"/>
      <c r="C46" s="143" t="n"/>
      <c r="D46" s="143" t="n"/>
      <c r="E46" s="143" t="n"/>
      <c r="F46" s="143" t="n"/>
      <c r="G46" s="143" t="n"/>
      <c r="H46" s="143" t="n"/>
      <c r="I46" s="143" t="n"/>
      <c r="J46" s="143" t="n"/>
      <c r="K46" s="143" t="n"/>
      <c r="L46" s="143" t="n"/>
      <c r="M46" s="143" t="n"/>
      <c r="N46" s="143" t="n"/>
      <c r="O46" s="143" t="n"/>
      <c r="P46" s="143" t="n"/>
      <c r="Q46" s="144" t="n"/>
    </row>
    <row r="47">
      <c r="A47" s="18" t="n">
        <v>27</v>
      </c>
      <c r="B47" s="19" t="inlineStr">
        <is>
          <t xml:space="preserve">        Codo PVC Sanitario Colector 200mm x 90° / 45°</t>
        </is>
      </c>
      <c r="C47" s="20" t="inlineStr">
        <is>
          <t>Industrial / Alcantarillado</t>
        </is>
      </c>
      <c r="D47" s="18" t="inlineStr">
        <is>
          <t>Codos Colectores</t>
        </is>
      </c>
      <c r="E47" s="18" t="inlineStr">
        <is>
          <t>U</t>
        </is>
      </c>
      <c r="F47" s="21" t="n">
        <v>4</v>
      </c>
      <c r="G47" s="22" t="n">
        <v>18.5</v>
      </c>
      <c r="H47" s="22" t="n">
        <v>19.2</v>
      </c>
      <c r="I47" s="18" t="inlineStr">
        <is>
          <t>Megametales</t>
        </is>
      </c>
      <c r="J47" s="22" t="n">
        <v>20.5</v>
      </c>
      <c r="K47" s="18" t="inlineStr">
        <is>
          <t>Ferrisariato</t>
        </is>
      </c>
      <c r="L47" s="8">
        <f>F47*G47</f>
        <v/>
      </c>
      <c r="M47" s="145" t="inlineStr">
        <is>
          <t>IS-D20-ACD-PVC-C90-200</t>
        </is>
      </c>
      <c r="N47" s="18" t="inlineStr">
        <is>
          <t>Instalaciones sanitarias (hidrosanitarias)</t>
        </is>
      </c>
      <c r="O47" s="18" t="inlineStr">
        <is>
          <t>Estimado · base original del usuario (sin cotización verificada)</t>
        </is>
      </c>
      <c r="P47" s="18" t="inlineStr">
        <is>
          <t>oct-2026 (est.)</t>
        </is>
      </c>
      <c r="Q47" s="18" t="n"/>
    </row>
    <row r="48">
      <c r="A48" s="78" t="inlineStr">
        <is>
          <t xml:space="preserve">      • Subcategoría Especificada: Accesorios 160–250 mm</t>
        </is>
      </c>
      <c r="B48" s="143" t="n"/>
      <c r="C48" s="143" t="n"/>
      <c r="D48" s="143" t="n"/>
      <c r="E48" s="143" t="n"/>
      <c r="F48" s="143" t="n"/>
      <c r="G48" s="143" t="n"/>
      <c r="H48" s="143" t="n"/>
      <c r="I48" s="143" t="n"/>
      <c r="J48" s="143" t="n"/>
      <c r="K48" s="143" t="n"/>
      <c r="L48" s="143" t="n"/>
      <c r="M48" s="143" t="n"/>
      <c r="N48" s="143" t="n"/>
      <c r="O48" s="143" t="n"/>
      <c r="P48" s="143" t="n"/>
      <c r="Q48" s="144" t="n"/>
    </row>
    <row r="49">
      <c r="A49" s="79" t="n">
        <v>28</v>
      </c>
      <c r="B49" s="80" t="inlineStr">
        <is>
          <t xml:space="preserve">        Yee PVC Sanitaria 200 mm</t>
        </is>
      </c>
      <c r="C49" s="81" t="inlineStr">
        <is>
          <t>Industrial / Alcantarillado</t>
        </is>
      </c>
      <c r="D49" s="79" t="inlineStr">
        <is>
          <t>Yees Colectoras</t>
        </is>
      </c>
      <c r="E49" s="79" t="inlineStr">
        <is>
          <t>U</t>
        </is>
      </c>
      <c r="F49" s="82" t="n">
        <v>1</v>
      </c>
      <c r="G49" s="83" t="n">
        <v>42</v>
      </c>
      <c r="H49" s="83" t="n">
        <v>42.84</v>
      </c>
      <c r="I49" s="79" t="inlineStr">
        <is>
          <t>Megametales</t>
        </is>
      </c>
      <c r="J49" s="83" t="n">
        <v>45.78</v>
      </c>
      <c r="K49" s="79" t="inlineStr">
        <is>
          <t>Kywi / Megakywi</t>
        </is>
      </c>
      <c r="L49" s="84">
        <f>F49*G49</f>
        <v/>
      </c>
      <c r="M49" s="154" t="inlineStr">
        <is>
          <t>IS-D20-ACD-PVC-YEE-200</t>
        </is>
      </c>
      <c r="N49" s="79" t="inlineStr">
        <is>
          <t>Instalaciones sanitarias (hidrosanitarias)</t>
        </is>
      </c>
      <c r="O49" s="79" t="inlineStr">
        <is>
          <t>Estimado DION · criterio de mercado Guayaquil 2026 (no verificado en tienda)</t>
        </is>
      </c>
      <c r="P49" s="79" t="inlineStr">
        <is>
          <t>oct-2026 (est.)</t>
        </is>
      </c>
      <c r="Q49" s="79" t="n"/>
    </row>
    <row r="50">
      <c r="A50" s="18" t="n">
        <v>29</v>
      </c>
      <c r="B50" s="19" t="inlineStr">
        <is>
          <t xml:space="preserve">        Silla Yee Corrugado 200x160 mm (Acometida Domiciliaria)</t>
        </is>
      </c>
      <c r="C50" s="20" t="inlineStr">
        <is>
          <t>Urbanización</t>
        </is>
      </c>
      <c r="D50" s="18" t="inlineStr">
        <is>
          <t>Sillas</t>
        </is>
      </c>
      <c r="E50" s="18" t="inlineStr">
        <is>
          <t>U</t>
        </is>
      </c>
      <c r="F50" s="21" t="n">
        <v>2</v>
      </c>
      <c r="G50" s="22" t="n">
        <v>28</v>
      </c>
      <c r="H50" s="22" t="n">
        <v>28.84</v>
      </c>
      <c r="I50" s="18" t="inlineStr">
        <is>
          <t>Megametales</t>
        </is>
      </c>
      <c r="J50" s="22" t="n">
        <v>31.08</v>
      </c>
      <c r="K50" s="18" t="inlineStr">
        <is>
          <t>Ferrisariato</t>
        </is>
      </c>
      <c r="L50" s="8">
        <f>F50*G50</f>
        <v/>
      </c>
      <c r="M50" s="145" t="inlineStr">
        <is>
          <t>IS-D20-ACD-PVC-SIL-200X160</t>
        </is>
      </c>
      <c r="N50" s="18" t="inlineStr">
        <is>
          <t>Instalaciones sanitarias (hidrosanitarias)</t>
        </is>
      </c>
      <c r="O50" s="18" t="inlineStr">
        <is>
          <t>Estimado DION · criterio de mercado Guayaquil 2026 (no verificado en tienda)</t>
        </is>
      </c>
      <c r="P50" s="18" t="inlineStr">
        <is>
          <t>oct-2026 (est.)</t>
        </is>
      </c>
      <c r="Q50" s="18" t="n"/>
    </row>
    <row r="51">
      <c r="A51" s="79" t="n">
        <v>30</v>
      </c>
      <c r="B51" s="80" t="inlineStr">
        <is>
          <t xml:space="preserve">        Empalme / Junta Elastomérica Corrugado 200 mm</t>
        </is>
      </c>
      <c r="C51" s="81" t="inlineStr">
        <is>
          <t>Urbanización</t>
        </is>
      </c>
      <c r="D51" s="79" t="inlineStr">
        <is>
          <t>Empaques</t>
        </is>
      </c>
      <c r="E51" s="79" t="inlineStr">
        <is>
          <t>U</t>
        </is>
      </c>
      <c r="F51" s="82" t="n">
        <v>4</v>
      </c>
      <c r="G51" s="83" t="n">
        <v>6.5</v>
      </c>
      <c r="H51" s="83" t="n">
        <v>6.63</v>
      </c>
      <c r="I51" s="79" t="inlineStr">
        <is>
          <t>Megametales</t>
        </is>
      </c>
      <c r="J51" s="83" t="n">
        <v>7.22</v>
      </c>
      <c r="K51" s="79" t="inlineStr">
        <is>
          <t>Kywi / Megakywi</t>
        </is>
      </c>
      <c r="L51" s="84">
        <f>F51*G51</f>
        <v/>
      </c>
      <c r="M51" s="154" t="inlineStr">
        <is>
          <t>IS-D20-ACD-PVC-EMP-200</t>
        </is>
      </c>
      <c r="N51" s="79" t="inlineStr">
        <is>
          <t>Instalaciones sanitarias (hidrosanitarias)</t>
        </is>
      </c>
      <c r="O51" s="79" t="inlineStr">
        <is>
          <t>Estimado DION · criterio de mercado Guayaquil 2026 (no verificado en tienda)</t>
        </is>
      </c>
      <c r="P51" s="79" t="inlineStr">
        <is>
          <t>oct-2026 (est.)</t>
        </is>
      </c>
      <c r="Q51" s="79" t="n"/>
    </row>
    <row r="52">
      <c r="A52" s="76" t="inlineStr">
        <is>
          <t>EQUIPOS ESPECIALIZADOS</t>
        </is>
      </c>
      <c r="B52" s="143" t="n"/>
      <c r="C52" s="143" t="n"/>
      <c r="D52" s="143" t="n"/>
      <c r="E52" s="143" t="n"/>
      <c r="F52" s="143" t="n"/>
      <c r="G52" s="143" t="n"/>
      <c r="H52" s="143" t="n"/>
      <c r="I52" s="143" t="n"/>
      <c r="J52" s="143" t="n"/>
      <c r="K52" s="143" t="n"/>
      <c r="L52" s="143" t="n"/>
      <c r="M52" s="143" t="n"/>
      <c r="N52" s="143" t="n"/>
      <c r="O52" s="143" t="n"/>
      <c r="P52" s="143" t="n"/>
      <c r="Q52" s="144" t="n"/>
    </row>
    <row r="53">
      <c r="A53" s="77" t="inlineStr">
        <is>
          <t xml:space="preserve">  ► CATEGORÍA: BOMBAS SUMERGIBLES TRITURADORAS RESIDUALES</t>
        </is>
      </c>
      <c r="B53" s="143" t="n"/>
      <c r="C53" s="143" t="n"/>
      <c r="D53" s="143" t="n"/>
      <c r="E53" s="143" t="n"/>
      <c r="F53" s="143" t="n"/>
      <c r="G53" s="143" t="n"/>
      <c r="H53" s="143" t="n"/>
      <c r="I53" s="143" t="n"/>
      <c r="J53" s="143" t="n"/>
      <c r="K53" s="143" t="n"/>
      <c r="L53" s="143" t="n"/>
      <c r="M53" s="143" t="n"/>
      <c r="N53" s="143" t="n"/>
      <c r="O53" s="143" t="n"/>
      <c r="P53" s="143" t="n"/>
      <c r="Q53" s="144" t="n"/>
    </row>
    <row r="54">
      <c r="A54" s="78" t="inlineStr">
        <is>
          <t xml:space="preserve">      • Subcategoría Especificada: Achique Triturador de Aguas Servidas</t>
        </is>
      </c>
      <c r="B54" s="143" t="n"/>
      <c r="C54" s="143" t="n"/>
      <c r="D54" s="143" t="n"/>
      <c r="E54" s="143" t="n"/>
      <c r="F54" s="143" t="n"/>
      <c r="G54" s="143" t="n"/>
      <c r="H54" s="143" t="n"/>
      <c r="I54" s="143" t="n"/>
      <c r="J54" s="143" t="n"/>
      <c r="K54" s="143" t="n"/>
      <c r="L54" s="143" t="n"/>
      <c r="M54" s="143" t="n"/>
      <c r="N54" s="143" t="n"/>
      <c r="O54" s="143" t="n"/>
      <c r="P54" s="143" t="n"/>
      <c r="Q54" s="144" t="n"/>
    </row>
    <row r="55">
      <c r="A55" s="18" t="n">
        <v>31</v>
      </c>
      <c r="B55" s="19" t="inlineStr">
        <is>
          <t xml:space="preserve">        Bomba Sumergible Trituradora Achique Aguas Servidas 2 HP</t>
        </is>
      </c>
      <c r="C55" s="20" t="inlineStr">
        <is>
          <t>Comercial / Industrial</t>
        </is>
      </c>
      <c r="D55" s="18" t="inlineStr">
        <is>
          <t>Bombas Trituradoras</t>
        </is>
      </c>
      <c r="E55" s="18" t="inlineStr">
        <is>
          <t>U</t>
        </is>
      </c>
      <c r="F55" s="21" t="n">
        <v>1</v>
      </c>
      <c r="G55" s="22" t="n">
        <v>450</v>
      </c>
      <c r="H55" s="22" t="n">
        <v>468</v>
      </c>
      <c r="I55" s="18" t="inlineStr">
        <is>
          <t>Megametales</t>
        </is>
      </c>
      <c r="J55" s="22" t="n">
        <v>495</v>
      </c>
      <c r="K55" s="18" t="inlineStr">
        <is>
          <t>Ferrisariato</t>
        </is>
      </c>
      <c r="L55" s="8">
        <f>F55*G55</f>
        <v/>
      </c>
      <c r="M55" s="145" t="inlineStr">
        <is>
          <t>IS-D20-BOM-TRI-2HP</t>
        </is>
      </c>
      <c r="N55" s="18" t="inlineStr">
        <is>
          <t>Instalaciones sanitarias (hidrosanitarias)</t>
        </is>
      </c>
      <c r="O55" s="18" t="inlineStr">
        <is>
          <t>Estimado · base original del usuario (sin cotización verificada)</t>
        </is>
      </c>
      <c r="P55" s="18" t="inlineStr">
        <is>
          <t>oct-2026 (est.)</t>
        </is>
      </c>
      <c r="Q55" s="18" t="n"/>
    </row>
    <row r="56">
      <c r="A56" s="78" t="inlineStr">
        <is>
          <t xml:space="preserve">      • Subcategoría Especificada: Equipos Electromecánicos PTAR</t>
        </is>
      </c>
      <c r="B56" s="143" t="n"/>
      <c r="C56" s="143" t="n"/>
      <c r="D56" s="143" t="n"/>
      <c r="E56" s="143" t="n"/>
      <c r="F56" s="143" t="n"/>
      <c r="G56" s="143" t="n"/>
      <c r="H56" s="143" t="n"/>
      <c r="I56" s="143" t="n"/>
      <c r="J56" s="143" t="n"/>
      <c r="K56" s="143" t="n"/>
      <c r="L56" s="143" t="n"/>
      <c r="M56" s="143" t="n"/>
      <c r="N56" s="143" t="n"/>
      <c r="O56" s="143" t="n"/>
      <c r="P56" s="143" t="n"/>
      <c r="Q56" s="144" t="n"/>
    </row>
    <row r="57">
      <c r="A57" s="79" t="n">
        <v>32</v>
      </c>
      <c r="B57" s="80" t="inlineStr">
        <is>
          <t xml:space="preserve">        Soplador / Blower Regenerativo 2 HP Aireación PTAR</t>
        </is>
      </c>
      <c r="C57" s="81" t="inlineStr">
        <is>
          <t>Comercial / Industrial</t>
        </is>
      </c>
      <c r="D57" s="79" t="inlineStr">
        <is>
          <t>Sopladores</t>
        </is>
      </c>
      <c r="E57" s="79" t="inlineStr">
        <is>
          <t>U</t>
        </is>
      </c>
      <c r="F57" s="82" t="n">
        <v>0</v>
      </c>
      <c r="G57" s="83" t="n">
        <v>980</v>
      </c>
      <c r="H57" s="83" t="n">
        <v>1029</v>
      </c>
      <c r="I57" s="79" t="inlineStr">
        <is>
          <t>Megametales</t>
        </is>
      </c>
      <c r="J57" s="83" t="n">
        <v>1078</v>
      </c>
      <c r="K57" s="79" t="inlineStr">
        <is>
          <t>Kywi / Megakywi</t>
        </is>
      </c>
      <c r="L57" s="84">
        <f>F57*G57</f>
        <v/>
      </c>
      <c r="M57" s="154" t="inlineStr">
        <is>
          <t>IS-D20-PTA-BLO-2HP</t>
        </is>
      </c>
      <c r="N57" s="79" t="inlineStr">
        <is>
          <t>Instalaciones sanitarias (hidrosanitarias)</t>
        </is>
      </c>
      <c r="O57" s="79" t="inlineStr">
        <is>
          <t>Estimado DION · criterio de mercado Guayaquil 2026 (no verificado en tienda)</t>
        </is>
      </c>
      <c r="P57" s="79" t="inlineStr">
        <is>
          <t>oct-2026 (est.)</t>
        </is>
      </c>
      <c r="Q57" s="79" t="n"/>
    </row>
    <row r="58">
      <c r="A58" s="18" t="n">
        <v>33</v>
      </c>
      <c r="B58" s="19" t="inlineStr">
        <is>
          <t xml:space="preserve">        Difusor de Burbuja Fina 9" EPDM</t>
        </is>
      </c>
      <c r="C58" s="20" t="inlineStr">
        <is>
          <t>Comercial / Industrial</t>
        </is>
      </c>
      <c r="D58" s="18" t="inlineStr">
        <is>
          <t>Difusores</t>
        </is>
      </c>
      <c r="E58" s="18" t="inlineStr">
        <is>
          <t>U</t>
        </is>
      </c>
      <c r="F58" s="21" t="n">
        <v>8</v>
      </c>
      <c r="G58" s="22" t="n">
        <v>28</v>
      </c>
      <c r="H58" s="22" t="n">
        <v>28.84</v>
      </c>
      <c r="I58" s="18" t="inlineStr">
        <is>
          <t>Megametales</t>
        </is>
      </c>
      <c r="J58" s="22" t="n">
        <v>29.96</v>
      </c>
      <c r="K58" s="18" t="inlineStr">
        <is>
          <t>Ferrisariato</t>
        </is>
      </c>
      <c r="L58" s="8">
        <f>F58*G58</f>
        <v/>
      </c>
      <c r="M58" s="145" t="inlineStr">
        <is>
          <t>IS-D20-PTA-DIF-09</t>
        </is>
      </c>
      <c r="N58" s="18" t="inlineStr">
        <is>
          <t>Instalaciones sanitarias (hidrosanitarias)</t>
        </is>
      </c>
      <c r="O58" s="18" t="inlineStr">
        <is>
          <t>Estimado DION · criterio de mercado Guayaquil 2026 (no verificado en tienda)</t>
        </is>
      </c>
      <c r="P58" s="18" t="inlineStr">
        <is>
          <t>oct-2026 (est.)</t>
        </is>
      </c>
      <c r="Q58" s="18" t="n"/>
    </row>
    <row r="59">
      <c r="A59" s="79" t="n">
        <v>34</v>
      </c>
      <c r="B59" s="80" t="inlineStr">
        <is>
          <t xml:space="preserve">        Clorador por Tabletas en Línea (Desinfección Efluente)</t>
        </is>
      </c>
      <c r="C59" s="81" t="inlineStr">
        <is>
          <t>Comercial / Industrial</t>
        </is>
      </c>
      <c r="D59" s="79" t="inlineStr">
        <is>
          <t>Desinfección</t>
        </is>
      </c>
      <c r="E59" s="79" t="inlineStr">
        <is>
          <t>U</t>
        </is>
      </c>
      <c r="F59" s="82" t="n">
        <v>1</v>
      </c>
      <c r="G59" s="83" t="n">
        <v>380</v>
      </c>
      <c r="H59" s="83" t="n">
        <v>395.2</v>
      </c>
      <c r="I59" s="79" t="inlineStr">
        <is>
          <t>Megametales</t>
        </is>
      </c>
      <c r="J59" s="83" t="n">
        <v>421.8</v>
      </c>
      <c r="K59" s="79" t="inlineStr">
        <is>
          <t>Kywi / Megakywi</t>
        </is>
      </c>
      <c r="L59" s="84">
        <f>F59*G59</f>
        <v/>
      </c>
      <c r="M59" s="154" t="inlineStr">
        <is>
          <t>IS-D20-PTA-CLO-TAB</t>
        </is>
      </c>
      <c r="N59" s="79" t="inlineStr">
        <is>
          <t>Instalaciones sanitarias (hidrosanitarias)</t>
        </is>
      </c>
      <c r="O59" s="79" t="inlineStr">
        <is>
          <t>Estimado DION · criterio de mercado Guayaquil 2026 (no verificado en tienda)</t>
        </is>
      </c>
      <c r="P59" s="79" t="inlineStr">
        <is>
          <t>oct-2026 (est.)</t>
        </is>
      </c>
      <c r="Q59" s="79" t="n"/>
    </row>
    <row r="60">
      <c r="A60" s="18" t="n">
        <v>35</v>
      </c>
      <c r="B60" s="19" t="inlineStr">
        <is>
          <t xml:space="preserve">        Bomba Trituradora Sumergible 3 HP Trifásica</t>
        </is>
      </c>
      <c r="C60" s="20" t="inlineStr">
        <is>
          <t>Comercial / Industrial</t>
        </is>
      </c>
      <c r="D60" s="18" t="inlineStr">
        <is>
          <t>Bombas Trituradoras</t>
        </is>
      </c>
      <c r="E60" s="18" t="inlineStr">
        <is>
          <t>U</t>
        </is>
      </c>
      <c r="F60" s="21" t="n">
        <v>0</v>
      </c>
      <c r="G60" s="22" t="n">
        <v>780</v>
      </c>
      <c r="H60" s="22" t="n">
        <v>803.4</v>
      </c>
      <c r="I60" s="18" t="inlineStr">
        <is>
          <t>Megametales</t>
        </is>
      </c>
      <c r="J60" s="22" t="n">
        <v>865.8</v>
      </c>
      <c r="K60" s="18" t="inlineStr">
        <is>
          <t>Ferrisariato</t>
        </is>
      </c>
      <c r="L60" s="8">
        <f>F60*G60</f>
        <v/>
      </c>
      <c r="M60" s="145" t="inlineStr">
        <is>
          <t>IS-D20-BOM-TRI-3HP</t>
        </is>
      </c>
      <c r="N60" s="18" t="inlineStr">
        <is>
          <t>Instalaciones sanitarias (hidrosanitarias)</t>
        </is>
      </c>
      <c r="O60" s="18" t="inlineStr">
        <is>
          <t>Estimado DION · criterio de mercado Guayaquil 2026 (no verificado en tienda)</t>
        </is>
      </c>
      <c r="P60" s="18" t="inlineStr">
        <is>
          <t>oct-2026 (est.)</t>
        </is>
      </c>
      <c r="Q60" s="18" t="n"/>
    </row>
    <row r="61">
      <c r="A61" s="10" t="n"/>
      <c r="B61" s="147" t="inlineStr">
        <is>
          <t>TOTAL BASE DE DATOS AGUAS RESIDUALES (PTAR) (ESTIMADO)</t>
        </is>
      </c>
      <c r="C61" s="148" t="n"/>
      <c r="D61" s="148" t="n"/>
      <c r="E61" s="148" t="n"/>
      <c r="F61" s="148" t="n"/>
      <c r="G61" s="148" t="n"/>
      <c r="H61" s="148" t="n"/>
      <c r="I61" s="148" t="n"/>
      <c r="J61" s="148" t="n"/>
      <c r="K61" s="148" t="n"/>
      <c r="L61" s="30">
        <f>SUM(L6:L60)</f>
        <v/>
      </c>
      <c r="M61" s="30" t="n"/>
      <c r="N61" s="30" t="n"/>
      <c r="O61" s="30" t="n"/>
      <c r="P61" s="30" t="n"/>
      <c r="Q61" s="30" t="n"/>
    </row>
  </sheetData>
  <mergeCells count="21">
    <mergeCell ref="A44:Q44"/>
    <mergeCell ref="A18:Q18"/>
    <mergeCell ref="A27:Q27"/>
    <mergeCell ref="A56:Q56"/>
    <mergeCell ref="A48:Q48"/>
    <mergeCell ref="A26:Q26"/>
    <mergeCell ref="A15:Q15"/>
    <mergeCell ref="A45:Q45"/>
    <mergeCell ref="A32:Q32"/>
    <mergeCell ref="A14:Q14"/>
    <mergeCell ref="A8:Q8"/>
    <mergeCell ref="A6:Q6"/>
    <mergeCell ref="B61:K61"/>
    <mergeCell ref="A53:Q53"/>
    <mergeCell ref="A7:Q7"/>
    <mergeCell ref="A16:Q16"/>
    <mergeCell ref="A54:Q54"/>
    <mergeCell ref="A52:Q52"/>
    <mergeCell ref="A10:Q10"/>
    <mergeCell ref="A28:Q28"/>
    <mergeCell ref="A46:Q46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77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8" customWidth="1" min="2" max="2"/>
    <col width="30" customWidth="1" min="3" max="3"/>
    <col width="32" customWidth="1" min="4" max="4"/>
    <col width="8" customWidth="1" min="5" max="5"/>
    <col width="10" customWidth="1" min="6" max="6"/>
    <col width="15" customWidth="1" min="7" max="7"/>
    <col width="16" customWidth="1" min="8" max="8"/>
    <col width="22" customWidth="1" min="9" max="9"/>
    <col width="16" customWidth="1" min="10" max="10"/>
    <col width="20" customWidth="1" min="11" max="11"/>
    <col width="16" customWidth="1" min="12" max="12"/>
    <col width="27" customWidth="1" min="13" max="13"/>
    <col width="30" customWidth="1" min="14" max="14"/>
    <col width="44" customWidth="1" min="15" max="15"/>
    <col width="15" customWidth="1" min="16" max="16"/>
    <col width="14" customWidth="1" min="17" max="17"/>
  </cols>
  <sheetData>
    <row r="1">
      <c r="A1" s="1" t="inlineStr">
        <is>
          <t>BASE DE DATOS COMPLETA DE CATALOGACIÓN: INSTALACIONES DE PISCINA</t>
        </is>
      </c>
    </row>
    <row r="2">
      <c r="A2" s="2" t="inlineStr">
        <is>
          <t>Estructura Jerárquica Homogénea: Accesorios &gt; Tuberías &gt; Equipos &gt; Conexiones &gt; Equipos Especializados | Degradé por Niveles (Ecuador - USD)</t>
        </is>
      </c>
    </row>
    <row r="3">
      <c r="A3" s="13" t="inlineStr">
        <is>
          <t>« Volver al Índice General</t>
        </is>
      </c>
    </row>
    <row r="5" ht="30" customHeight="1">
      <c r="A5" s="4" t="inlineStr">
        <is>
          <t>Item</t>
        </is>
      </c>
      <c r="B5" s="4" t="inlineStr">
        <is>
          <t>Descripción de Accesorio / Ítem Especificado</t>
        </is>
      </c>
      <c r="C5" s="4" t="inlineStr">
        <is>
          <t>Clasificación / Ámbito de Uso
(Residencial/Comercial/Industrial)</t>
        </is>
      </c>
      <c r="D5" s="4" t="inlineStr">
        <is>
          <t>Tipo / Familia</t>
        </is>
      </c>
      <c r="E5" s="4" t="inlineStr">
        <is>
          <t>Unidad</t>
        </is>
      </c>
      <c r="F5" s="4" t="inlineStr">
        <is>
          <t>Cant.</t>
        </is>
      </c>
      <c r="G5" s="4" t="inlineStr">
        <is>
          <t>P. Ref. Est. ($)</t>
        </is>
      </c>
      <c r="H5" s="4" t="inlineStr">
        <is>
          <t>P. Unit. Local A ($)
(Megametales)</t>
        </is>
      </c>
      <c r="I5" s="4" t="inlineStr">
        <is>
          <t>Local A
Especificado</t>
        </is>
      </c>
      <c r="J5" s="4" t="inlineStr">
        <is>
          <t>P. Unit. Local B ($)
(Kywi/Ferrisariato)</t>
        </is>
      </c>
      <c r="K5" s="4" t="inlineStr">
        <is>
          <t>Local B
Especificado</t>
        </is>
      </c>
      <c r="L5" s="4" t="inlineStr">
        <is>
          <t>Subtotal Est. ($)</t>
        </is>
      </c>
      <c r="M5" s="4" t="inlineStr">
        <is>
          <t>Código DION</t>
        </is>
      </c>
      <c r="N5" s="4" t="inlineStr">
        <is>
          <t>Disciplina</t>
        </is>
      </c>
      <c r="O5" s="4" t="inlineStr">
        <is>
          <t>Fuente del precio</t>
        </is>
      </c>
      <c r="P5" s="4" t="inlineStr">
        <is>
          <t>Fecha precio</t>
        </is>
      </c>
      <c r="Q5" s="4" t="inlineStr">
        <is>
          <t>Rendimiento /
desperdicio %</t>
        </is>
      </c>
    </row>
    <row r="6">
      <c r="A6" s="85" t="inlineStr">
        <is>
          <t>ACCESORIOS</t>
        </is>
      </c>
      <c r="B6" s="143" t="n"/>
      <c r="C6" s="143" t="n"/>
      <c r="D6" s="143" t="n"/>
      <c r="E6" s="143" t="n"/>
      <c r="F6" s="143" t="n"/>
      <c r="G6" s="143" t="n"/>
      <c r="H6" s="143" t="n"/>
      <c r="I6" s="143" t="n"/>
      <c r="J6" s="143" t="n"/>
      <c r="K6" s="143" t="n"/>
      <c r="L6" s="143" t="n"/>
      <c r="M6" s="143" t="n"/>
      <c r="N6" s="143" t="n"/>
      <c r="O6" s="143" t="n"/>
      <c r="P6" s="143" t="n"/>
      <c r="Q6" s="144" t="n"/>
    </row>
    <row r="7">
      <c r="A7" s="86" t="inlineStr">
        <is>
          <t xml:space="preserve">  ► CATEGORÍA: EMPOTRADOS EN VASO DE PISCINA Y JACUZZI</t>
        </is>
      </c>
      <c r="B7" s="143" t="n"/>
      <c r="C7" s="143" t="n"/>
      <c r="D7" s="143" t="n"/>
      <c r="E7" s="143" t="n"/>
      <c r="F7" s="143" t="n"/>
      <c r="G7" s="143" t="n"/>
      <c r="H7" s="143" t="n"/>
      <c r="I7" s="143" t="n"/>
      <c r="J7" s="143" t="n"/>
      <c r="K7" s="143" t="n"/>
      <c r="L7" s="143" t="n"/>
      <c r="M7" s="143" t="n"/>
      <c r="N7" s="143" t="n"/>
      <c r="O7" s="143" t="n"/>
      <c r="P7" s="143" t="n"/>
      <c r="Q7" s="144" t="n"/>
    </row>
    <row r="8">
      <c r="A8" s="87" t="inlineStr">
        <is>
          <t xml:space="preserve">      • Subcategoría Especificada: Skimmers, Sumideros, Boquillas, Jets y Pulsadores</t>
        </is>
      </c>
      <c r="B8" s="143" t="n"/>
      <c r="C8" s="143" t="n"/>
      <c r="D8" s="143" t="n"/>
      <c r="E8" s="143" t="n"/>
      <c r="F8" s="143" t="n"/>
      <c r="G8" s="143" t="n"/>
      <c r="H8" s="143" t="n"/>
      <c r="I8" s="143" t="n"/>
      <c r="J8" s="143" t="n"/>
      <c r="K8" s="143" t="n"/>
      <c r="L8" s="143" t="n"/>
      <c r="M8" s="143" t="n"/>
      <c r="N8" s="143" t="n"/>
      <c r="O8" s="143" t="n"/>
      <c r="P8" s="143" t="n"/>
      <c r="Q8" s="144" t="n"/>
    </row>
    <row r="9">
      <c r="A9" s="18" t="n">
        <v>1</v>
      </c>
      <c r="B9" s="19" t="inlineStr">
        <is>
          <t xml:space="preserve">        Skimmer BOCA ANCHA PVC Heavy Duty (Piscina)</t>
        </is>
      </c>
      <c r="C9" s="20" t="inlineStr">
        <is>
          <t>Residencial / Comercial</t>
        </is>
      </c>
      <c r="D9" s="18" t="inlineStr">
        <is>
          <t>Skimmers</t>
        </is>
      </c>
      <c r="E9" s="18" t="inlineStr">
        <is>
          <t>U</t>
        </is>
      </c>
      <c r="F9" s="21" t="n">
        <v>2</v>
      </c>
      <c r="G9" s="22" t="n">
        <v>68</v>
      </c>
      <c r="H9" s="22" t="n">
        <v>69.5</v>
      </c>
      <c r="I9" s="18" t="inlineStr">
        <is>
          <t>Megametales / HidroEcuador</t>
        </is>
      </c>
      <c r="J9" s="22" t="n">
        <v>74</v>
      </c>
      <c r="K9" s="18" t="inlineStr">
        <is>
          <t>Kywi / Megakywi</t>
        </is>
      </c>
      <c r="L9" s="8">
        <f>F9*G9</f>
        <v/>
      </c>
      <c r="M9" s="145" t="inlineStr">
        <is>
          <t>IS-F10-PEM-SKI-BAN</t>
        </is>
      </c>
      <c r="N9" s="18" t="inlineStr">
        <is>
          <t>Instalaciones sanitarias (hidrosanitarias)</t>
        </is>
      </c>
      <c r="O9" s="18" t="inlineStr">
        <is>
          <t>Estimado · base original del usuario (sin cotización verificada)</t>
        </is>
      </c>
      <c r="P9" s="18" t="inlineStr">
        <is>
          <t>oct-2026 (est.)</t>
        </is>
      </c>
      <c r="Q9" s="18" t="n"/>
    </row>
    <row r="10">
      <c r="A10" s="70" t="n">
        <v>2</v>
      </c>
      <c r="B10" s="71" t="inlineStr">
        <is>
          <t xml:space="preserve">        Sumidero de Fondo Antiatrapamiento Rejilla 2" (Piscina)</t>
        </is>
      </c>
      <c r="C10" s="72" t="inlineStr">
        <is>
          <t>Residencial / Comercial</t>
        </is>
      </c>
      <c r="D10" s="70" t="inlineStr">
        <is>
          <t>Sumideros Fondo</t>
        </is>
      </c>
      <c r="E10" s="70" t="inlineStr">
        <is>
          <t>U</t>
        </is>
      </c>
      <c r="F10" s="73" t="n">
        <v>2</v>
      </c>
      <c r="G10" s="74" t="n">
        <v>28</v>
      </c>
      <c r="H10" s="74" t="n">
        <v>28.9</v>
      </c>
      <c r="I10" s="70" t="inlineStr">
        <is>
          <t>Megametales / HidroEcuador</t>
        </is>
      </c>
      <c r="J10" s="74" t="n">
        <v>31</v>
      </c>
      <c r="K10" s="70" t="inlineStr">
        <is>
          <t>Ferrisariato</t>
        </is>
      </c>
      <c r="L10" s="75">
        <f>F10*G10</f>
        <v/>
      </c>
      <c r="M10" s="153" t="inlineStr">
        <is>
          <t>IS-F10-PEM-SUM-DN50</t>
        </is>
      </c>
      <c r="N10" s="70" t="inlineStr">
        <is>
          <t>Instalaciones sanitarias (hidrosanitarias)</t>
        </is>
      </c>
      <c r="O10" s="70" t="inlineStr">
        <is>
          <t>Estimado · base original del usuario (sin cotización verificada)</t>
        </is>
      </c>
      <c r="P10" s="70" t="inlineStr">
        <is>
          <t>oct-2026 (est.)</t>
        </is>
      </c>
      <c r="Q10" s="70" t="n"/>
    </row>
    <row r="11">
      <c r="A11" s="18" t="n">
        <v>3</v>
      </c>
      <c r="B11" s="19" t="inlineStr">
        <is>
          <t xml:space="preserve">        Boquilla de Impulsión / Retorno Regulable 1.5"</t>
        </is>
      </c>
      <c r="C11" s="20" t="inlineStr">
        <is>
          <t>Residencial / Comercial</t>
        </is>
      </c>
      <c r="D11" s="18" t="inlineStr">
        <is>
          <t>Boquillas Impulsión</t>
        </is>
      </c>
      <c r="E11" s="18" t="inlineStr">
        <is>
          <t>U</t>
        </is>
      </c>
      <c r="F11" s="21" t="n">
        <v>6</v>
      </c>
      <c r="G11" s="22" t="n">
        <v>8.5</v>
      </c>
      <c r="H11" s="22" t="n">
        <v>8.800000000000001</v>
      </c>
      <c r="I11" s="18" t="inlineStr">
        <is>
          <t>Megametales / HidroEcuador</t>
        </is>
      </c>
      <c r="J11" s="22" t="n">
        <v>9.5</v>
      </c>
      <c r="K11" s="18" t="inlineStr">
        <is>
          <t>Ferrisariato</t>
        </is>
      </c>
      <c r="L11" s="8">
        <f>F11*G11</f>
        <v/>
      </c>
      <c r="M11" s="145" t="inlineStr">
        <is>
          <t>IS-F10-PEM-BOQ-DN40</t>
        </is>
      </c>
      <c r="N11" s="18" t="inlineStr">
        <is>
          <t>Instalaciones sanitarias (hidrosanitarias)</t>
        </is>
      </c>
      <c r="O11" s="18" t="inlineStr">
        <is>
          <t>Estimado · base original del usuario (sin cotización verificada)</t>
        </is>
      </c>
      <c r="P11" s="18" t="inlineStr">
        <is>
          <t>oct-2026 (est.)</t>
        </is>
      </c>
      <c r="Q11" s="18" t="n"/>
    </row>
    <row r="12">
      <c r="A12" s="70" t="n">
        <v>4</v>
      </c>
      <c r="B12" s="71" t="inlineStr">
        <is>
          <t xml:space="preserve">        Jets de Hidromasaje Venturi (Agua + Aire) Regulables</t>
        </is>
      </c>
      <c r="C12" s="72" t="inlineStr">
        <is>
          <t>Residencial / Spa</t>
        </is>
      </c>
      <c r="D12" s="70" t="inlineStr">
        <is>
          <t>Jets Hidromasaje</t>
        </is>
      </c>
      <c r="E12" s="70" t="inlineStr">
        <is>
          <t>U</t>
        </is>
      </c>
      <c r="F12" s="73" t="n">
        <v>8</v>
      </c>
      <c r="G12" s="74" t="n">
        <v>24.5</v>
      </c>
      <c r="H12" s="74" t="n">
        <v>25.2</v>
      </c>
      <c r="I12" s="70" t="inlineStr">
        <is>
          <t>Megametales / HidroEcuador</t>
        </is>
      </c>
      <c r="J12" s="74" t="n">
        <v>27</v>
      </c>
      <c r="K12" s="70" t="inlineStr">
        <is>
          <t>Ferrisariato</t>
        </is>
      </c>
      <c r="L12" s="75">
        <f>F12*G12</f>
        <v/>
      </c>
      <c r="M12" s="153" t="inlineStr">
        <is>
          <t>IS-F10-PEM-JET-VEN</t>
        </is>
      </c>
      <c r="N12" s="70" t="inlineStr">
        <is>
          <t>Instalaciones sanitarias (hidrosanitarias)</t>
        </is>
      </c>
      <c r="O12" s="70" t="inlineStr">
        <is>
          <t>Estimado · base original del usuario (sin cotización verificada)</t>
        </is>
      </c>
      <c r="P12" s="70" t="inlineStr">
        <is>
          <t>oct-2026 (est.)</t>
        </is>
      </c>
      <c r="Q12" s="70" t="n"/>
    </row>
    <row r="13">
      <c r="A13" s="18" t="n">
        <v>5</v>
      </c>
      <c r="B13" s="19" t="inlineStr">
        <is>
          <t xml:space="preserve">        Pulsador Piezoeléctrico / Neumático Encendido Jacuzzi</t>
        </is>
      </c>
      <c r="C13" s="20" t="inlineStr">
        <is>
          <t>Residencial / Comercial</t>
        </is>
      </c>
      <c r="D13" s="18" t="inlineStr">
        <is>
          <t>Pulsadores Mando</t>
        </is>
      </c>
      <c r="E13" s="18" t="inlineStr">
        <is>
          <t>U</t>
        </is>
      </c>
      <c r="F13" s="21" t="n">
        <v>2</v>
      </c>
      <c r="G13" s="22" t="n">
        <v>35</v>
      </c>
      <c r="H13" s="22" t="n">
        <v>36</v>
      </c>
      <c r="I13" s="18" t="inlineStr">
        <is>
          <t>Megametales / HidroEcuador</t>
        </is>
      </c>
      <c r="J13" s="22" t="n">
        <v>38.5</v>
      </c>
      <c r="K13" s="18" t="inlineStr">
        <is>
          <t>Kywi / Megakywi</t>
        </is>
      </c>
      <c r="L13" s="8">
        <f>F13*G13</f>
        <v/>
      </c>
      <c r="M13" s="145" t="inlineStr">
        <is>
          <t>IS-F10-PEM-PUL-NEU</t>
        </is>
      </c>
      <c r="N13" s="18" t="inlineStr">
        <is>
          <t>Instalaciones sanitarias (hidrosanitarias)</t>
        </is>
      </c>
      <c r="O13" s="18" t="inlineStr">
        <is>
          <t>Estimado · base original del usuario (sin cotización verificada)</t>
        </is>
      </c>
      <c r="P13" s="18" t="inlineStr">
        <is>
          <t>oct-2026 (est.)</t>
        </is>
      </c>
      <c r="Q13" s="18" t="n"/>
    </row>
    <row r="14">
      <c r="A14" s="87" t="inlineStr">
        <is>
          <t xml:space="preserve">      • Subcategoría Especificada: Accesorios Complementarios</t>
        </is>
      </c>
      <c r="B14" s="143" t="n"/>
      <c r="C14" s="143" t="n"/>
      <c r="D14" s="143" t="n"/>
      <c r="E14" s="143" t="n"/>
      <c r="F14" s="143" t="n"/>
      <c r="G14" s="143" t="n"/>
      <c r="H14" s="143" t="n"/>
      <c r="I14" s="143" t="n"/>
      <c r="J14" s="143" t="n"/>
      <c r="K14" s="143" t="n"/>
      <c r="L14" s="143" t="n"/>
      <c r="M14" s="143" t="n"/>
      <c r="N14" s="143" t="n"/>
      <c r="O14" s="143" t="n"/>
      <c r="P14" s="143" t="n"/>
      <c r="Q14" s="144" t="n"/>
    </row>
    <row r="15">
      <c r="A15" s="70" t="n">
        <v>6</v>
      </c>
      <c r="B15" s="71" t="inlineStr">
        <is>
          <t xml:space="preserve">        Toma de Limpiafondos / Aspiración 1½"</t>
        </is>
      </c>
      <c r="C15" s="72" t="inlineStr">
        <is>
          <t>Residencial / Comercial</t>
        </is>
      </c>
      <c r="D15" s="70" t="inlineStr">
        <is>
          <t>Tomas Aspiración</t>
        </is>
      </c>
      <c r="E15" s="70" t="inlineStr">
        <is>
          <t>U</t>
        </is>
      </c>
      <c r="F15" s="73" t="n">
        <v>2</v>
      </c>
      <c r="G15" s="74" t="n">
        <v>9.5</v>
      </c>
      <c r="H15" s="74" t="n">
        <v>9.69</v>
      </c>
      <c r="I15" s="70" t="inlineStr">
        <is>
          <t>Megametales</t>
        </is>
      </c>
      <c r="J15" s="74" t="n">
        <v>10.55</v>
      </c>
      <c r="K15" s="70" t="inlineStr">
        <is>
          <t>Kywi / Megakywi</t>
        </is>
      </c>
      <c r="L15" s="75">
        <f>F15*G15</f>
        <v/>
      </c>
      <c r="M15" s="153" t="inlineStr">
        <is>
          <t>IS-F10-PEM-ASP-DN40</t>
        </is>
      </c>
      <c r="N15" s="70" t="inlineStr">
        <is>
          <t>Instalaciones sanitarias (hidrosanitarias)</t>
        </is>
      </c>
      <c r="O15" s="70" t="inlineStr">
        <is>
          <t>Estimado DION · criterio de mercado Guayaquil 2026 (no verificado en tienda)</t>
        </is>
      </c>
      <c r="P15" s="70" t="inlineStr">
        <is>
          <t>oct-2026 (est.)</t>
        </is>
      </c>
      <c r="Q15" s="70" t="n"/>
    </row>
    <row r="16">
      <c r="A16" s="18" t="n">
        <v>7</v>
      </c>
      <c r="B16" s="19" t="inlineStr">
        <is>
          <t xml:space="preserve">        Rebosadero / Rejilla Perimetral PVC (m)</t>
        </is>
      </c>
      <c r="C16" s="20" t="inlineStr">
        <is>
          <t>Comercial / Clubes</t>
        </is>
      </c>
      <c r="D16" s="18" t="inlineStr">
        <is>
          <t>Rejillas Rebose</t>
        </is>
      </c>
      <c r="E16" s="18" t="inlineStr">
        <is>
          <t>m</t>
        </is>
      </c>
      <c r="F16" s="21" t="n">
        <v>20</v>
      </c>
      <c r="G16" s="22" t="n">
        <v>18</v>
      </c>
      <c r="H16" s="22" t="n">
        <v>18.54</v>
      </c>
      <c r="I16" s="18" t="inlineStr">
        <is>
          <t>Megametales</t>
        </is>
      </c>
      <c r="J16" s="22" t="n">
        <v>19.98</v>
      </c>
      <c r="K16" s="18" t="inlineStr">
        <is>
          <t>Ferrisariato</t>
        </is>
      </c>
      <c r="L16" s="8">
        <f>F16*G16</f>
        <v/>
      </c>
      <c r="M16" s="145" t="inlineStr">
        <is>
          <t>IS-F10-PEM-REB-REJ</t>
        </is>
      </c>
      <c r="N16" s="18" t="inlineStr">
        <is>
          <t>Instalaciones sanitarias (hidrosanitarias)</t>
        </is>
      </c>
      <c r="O16" s="18" t="inlineStr">
        <is>
          <t>Estimado DION · criterio de mercado Guayaquil 2026 (no verificado en tienda)</t>
        </is>
      </c>
      <c r="P16" s="18" t="inlineStr">
        <is>
          <t>oct-2026 (est.)</t>
        </is>
      </c>
      <c r="Q16" s="18" t="n">
        <v>3</v>
      </c>
    </row>
    <row r="17">
      <c r="A17" s="70" t="n">
        <v>8</v>
      </c>
      <c r="B17" s="71" t="inlineStr">
        <is>
          <t xml:space="preserve">        Escalera Acero Inox 4 Peldaños</t>
        </is>
      </c>
      <c r="C17" s="72" t="inlineStr">
        <is>
          <t>Residencial / Comercial</t>
        </is>
      </c>
      <c r="D17" s="70" t="inlineStr">
        <is>
          <t>Escaleras</t>
        </is>
      </c>
      <c r="E17" s="70" t="inlineStr">
        <is>
          <t>U</t>
        </is>
      </c>
      <c r="F17" s="73" t="n">
        <v>1</v>
      </c>
      <c r="G17" s="74" t="n">
        <v>320</v>
      </c>
      <c r="H17" s="74" t="n">
        <v>329.6</v>
      </c>
      <c r="I17" s="70" t="inlineStr">
        <is>
          <t>Megametales</t>
        </is>
      </c>
      <c r="J17" s="74" t="n">
        <v>355.2</v>
      </c>
      <c r="K17" s="70" t="inlineStr">
        <is>
          <t>Kywi / Megakywi</t>
        </is>
      </c>
      <c r="L17" s="75">
        <f>F17*G17</f>
        <v/>
      </c>
      <c r="M17" s="153" t="inlineStr">
        <is>
          <t>IS-F10-PEM-ESC-4P</t>
        </is>
      </c>
      <c r="N17" s="70" t="inlineStr">
        <is>
          <t>Instalaciones sanitarias (hidrosanitarias)</t>
        </is>
      </c>
      <c r="O17" s="70" t="inlineStr">
        <is>
          <t>Estimado DION · criterio de mercado Guayaquil 2026 (no verificado en tienda)</t>
        </is>
      </c>
      <c r="P17" s="70" t="inlineStr">
        <is>
          <t>oct-2026 (est.)</t>
        </is>
      </c>
      <c r="Q17" s="70" t="n"/>
    </row>
    <row r="18">
      <c r="A18" s="18" t="n">
        <v>9</v>
      </c>
      <c r="B18" s="19" t="inlineStr">
        <is>
          <t xml:space="preserve">        Pasamano Acero Inox de Ingreso</t>
        </is>
      </c>
      <c r="C18" s="20" t="inlineStr">
        <is>
          <t>Residencial / Comercial</t>
        </is>
      </c>
      <c r="D18" s="18" t="inlineStr">
        <is>
          <t>Pasamanos</t>
        </is>
      </c>
      <c r="E18" s="18" t="inlineStr">
        <is>
          <t>U</t>
        </is>
      </c>
      <c r="F18" s="21" t="n">
        <v>1</v>
      </c>
      <c r="G18" s="22" t="n">
        <v>165</v>
      </c>
      <c r="H18" s="22" t="n">
        <v>173.25</v>
      </c>
      <c r="I18" s="18" t="inlineStr">
        <is>
          <t>Megametales</t>
        </is>
      </c>
      <c r="J18" s="22" t="n">
        <v>178.2</v>
      </c>
      <c r="K18" s="18" t="inlineStr">
        <is>
          <t>Ferrisariato</t>
        </is>
      </c>
      <c r="L18" s="8">
        <f>F18*G18</f>
        <v/>
      </c>
      <c r="M18" s="145" t="inlineStr">
        <is>
          <t>IS-F10-PEM-PAS-INX</t>
        </is>
      </c>
      <c r="N18" s="18" t="inlineStr">
        <is>
          <t>Instalaciones sanitarias (hidrosanitarias)</t>
        </is>
      </c>
      <c r="O18" s="18" t="inlineStr">
        <is>
          <t>Estimado DION · criterio de mercado Guayaquil 2026 (no verificado en tienda)</t>
        </is>
      </c>
      <c r="P18" s="18" t="inlineStr">
        <is>
          <t>oct-2026 (est.)</t>
        </is>
      </c>
      <c r="Q18" s="18" t="n"/>
    </row>
    <row r="19">
      <c r="A19" s="70" t="n">
        <v>10</v>
      </c>
      <c r="B19" s="71" t="inlineStr">
        <is>
          <t xml:space="preserve">        Nicho para Foco Subacuático</t>
        </is>
      </c>
      <c r="C19" s="72" t="inlineStr">
        <is>
          <t>Residencial / Comercial</t>
        </is>
      </c>
      <c r="D19" s="70" t="inlineStr">
        <is>
          <t>Nichos</t>
        </is>
      </c>
      <c r="E19" s="70" t="inlineStr">
        <is>
          <t>U</t>
        </is>
      </c>
      <c r="F19" s="73" t="n">
        <v>4</v>
      </c>
      <c r="G19" s="74" t="n">
        <v>22</v>
      </c>
      <c r="H19" s="74" t="n">
        <v>22.88</v>
      </c>
      <c r="I19" s="70" t="inlineStr">
        <is>
          <t>Megametales</t>
        </is>
      </c>
      <c r="J19" s="74" t="n">
        <v>23.98</v>
      </c>
      <c r="K19" s="70" t="inlineStr">
        <is>
          <t>Kywi / Megakywi</t>
        </is>
      </c>
      <c r="L19" s="75">
        <f>F19*G19</f>
        <v/>
      </c>
      <c r="M19" s="153" t="inlineStr">
        <is>
          <t>IS-F10-PEM-NIC</t>
        </is>
      </c>
      <c r="N19" s="70" t="inlineStr">
        <is>
          <t>Instalaciones sanitarias (hidrosanitarias)</t>
        </is>
      </c>
      <c r="O19" s="70" t="inlineStr">
        <is>
          <t>Estimado DION · criterio de mercado Guayaquil 2026 (no verificado en tienda)</t>
        </is>
      </c>
      <c r="P19" s="70" t="inlineStr">
        <is>
          <t>oct-2026 (est.)</t>
        </is>
      </c>
      <c r="Q19" s="70" t="n"/>
    </row>
    <row r="20">
      <c r="A20" s="18" t="n">
        <v>11</v>
      </c>
      <c r="B20" s="19" t="inlineStr">
        <is>
          <t xml:space="preserve">        Venoclisis / Pasamuro PVC 2" con Brida</t>
        </is>
      </c>
      <c r="C20" s="20" t="inlineStr">
        <is>
          <t>Residencial / Comercial</t>
        </is>
      </c>
      <c r="D20" s="18" t="inlineStr">
        <is>
          <t>Pasamuros</t>
        </is>
      </c>
      <c r="E20" s="18" t="inlineStr">
        <is>
          <t>U</t>
        </is>
      </c>
      <c r="F20" s="21" t="n">
        <v>4</v>
      </c>
      <c r="G20" s="22" t="n">
        <v>12</v>
      </c>
      <c r="H20" s="22" t="n">
        <v>12.36</v>
      </c>
      <c r="I20" s="18" t="inlineStr">
        <is>
          <t>Megametales</t>
        </is>
      </c>
      <c r="J20" s="22" t="n">
        <v>13.32</v>
      </c>
      <c r="K20" s="18" t="inlineStr">
        <is>
          <t>Ferrisariato</t>
        </is>
      </c>
      <c r="L20" s="8">
        <f>F20*G20</f>
        <v/>
      </c>
      <c r="M20" s="145" t="inlineStr">
        <is>
          <t>IS-F10-PEM-PSM-DN50</t>
        </is>
      </c>
      <c r="N20" s="18" t="inlineStr">
        <is>
          <t>Instalaciones sanitarias (hidrosanitarias)</t>
        </is>
      </c>
      <c r="O20" s="18" t="inlineStr">
        <is>
          <t>Estimado DION · criterio de mercado Guayaquil 2026 (no verificado en tienda)</t>
        </is>
      </c>
      <c r="P20" s="18" t="inlineStr">
        <is>
          <t>oct-2026 (est.)</t>
        </is>
      </c>
      <c r="Q20" s="18" t="n"/>
    </row>
    <row r="21">
      <c r="A21" s="85" t="inlineStr">
        <is>
          <t>TUBERÍAS</t>
        </is>
      </c>
      <c r="B21" s="143" t="n"/>
      <c r="C21" s="143" t="n"/>
      <c r="D21" s="143" t="n"/>
      <c r="E21" s="143" t="n"/>
      <c r="F21" s="143" t="n"/>
      <c r="G21" s="143" t="n"/>
      <c r="H21" s="143" t="n"/>
      <c r="I21" s="143" t="n"/>
      <c r="J21" s="143" t="n"/>
      <c r="K21" s="143" t="n"/>
      <c r="L21" s="143" t="n"/>
      <c r="M21" s="143" t="n"/>
      <c r="N21" s="143" t="n"/>
      <c r="O21" s="143" t="n"/>
      <c r="P21" s="143" t="n"/>
      <c r="Q21" s="144" t="n"/>
    </row>
    <row r="22">
      <c r="A22" s="86" t="inlineStr">
        <is>
          <t xml:space="preserve">  ► CATEGORÍA: TUBERÍAS PVC PRESIÓN PN10 50MM - 63MM</t>
        </is>
      </c>
      <c r="B22" s="143" t="n"/>
      <c r="C22" s="143" t="n"/>
      <c r="D22" s="143" t="n"/>
      <c r="E22" s="143" t="n"/>
      <c r="F22" s="143" t="n"/>
      <c r="G22" s="143" t="n"/>
      <c r="H22" s="143" t="n"/>
      <c r="I22" s="143" t="n"/>
      <c r="J22" s="143" t="n"/>
      <c r="K22" s="143" t="n"/>
      <c r="L22" s="143" t="n"/>
      <c r="M22" s="143" t="n"/>
      <c r="N22" s="143" t="n"/>
      <c r="O22" s="143" t="n"/>
      <c r="P22" s="143" t="n"/>
      <c r="Q22" s="144" t="n"/>
    </row>
    <row r="23">
      <c r="A23" s="87" t="inlineStr">
        <is>
          <t xml:space="preserve">      • Subcategoría Especificada: PVC Presión Encolar PN10</t>
        </is>
      </c>
      <c r="B23" s="143" t="n"/>
      <c r="C23" s="143" t="n"/>
      <c r="D23" s="143" t="n"/>
      <c r="E23" s="143" t="n"/>
      <c r="F23" s="143" t="n"/>
      <c r="G23" s="143" t="n"/>
      <c r="H23" s="143" t="n"/>
      <c r="I23" s="143" t="n"/>
      <c r="J23" s="143" t="n"/>
      <c r="K23" s="143" t="n"/>
      <c r="L23" s="143" t="n"/>
      <c r="M23" s="143" t="n"/>
      <c r="N23" s="143" t="n"/>
      <c r="O23" s="143" t="n"/>
      <c r="P23" s="143" t="n"/>
      <c r="Q23" s="144" t="n"/>
    </row>
    <row r="24">
      <c r="A24" s="70" t="n">
        <v>12</v>
      </c>
      <c r="B24" s="71" t="inlineStr">
        <is>
          <t xml:space="preserve">        Tubo PVC Presión PN10 50mm / 1.5" (6m)</t>
        </is>
      </c>
      <c r="C24" s="72" t="inlineStr">
        <is>
          <t>Residencial / Comercial</t>
        </is>
      </c>
      <c r="D24" s="70" t="inlineStr">
        <is>
          <t>Tubería PN10</t>
        </is>
      </c>
      <c r="E24" s="70" t="inlineStr">
        <is>
          <t>U</t>
        </is>
      </c>
      <c r="F24" s="73" t="n">
        <v>16</v>
      </c>
      <c r="G24" s="74" t="n">
        <v>14.5</v>
      </c>
      <c r="H24" s="74" t="n">
        <v>14.9</v>
      </c>
      <c r="I24" s="70" t="inlineStr">
        <is>
          <t>Megametales</t>
        </is>
      </c>
      <c r="J24" s="74" t="n">
        <v>15.8</v>
      </c>
      <c r="K24" s="70" t="inlineStr">
        <is>
          <t>Ferrisariato</t>
        </is>
      </c>
      <c r="L24" s="75">
        <f>F24*G24</f>
        <v/>
      </c>
      <c r="M24" s="153" t="inlineStr">
        <is>
          <t>IS-D20-TAF-PVC-050</t>
        </is>
      </c>
      <c r="N24" s="70" t="inlineStr">
        <is>
          <t>Instalaciones sanitarias (hidrosanitarias)</t>
        </is>
      </c>
      <c r="O24" s="70" t="inlineStr">
        <is>
          <t>Estimado · base original del usuario (sin cotización verificada)</t>
        </is>
      </c>
      <c r="P24" s="70" t="inlineStr">
        <is>
          <t>oct-2026 (est.)</t>
        </is>
      </c>
      <c r="Q24" s="70" t="n">
        <v>5</v>
      </c>
    </row>
    <row r="25">
      <c r="A25" s="18" t="n">
        <v>13</v>
      </c>
      <c r="B25" s="19" t="inlineStr">
        <is>
          <t xml:space="preserve">        Tubo PVC Presión PN10 63mm / 2" (6m)</t>
        </is>
      </c>
      <c r="C25" s="20" t="inlineStr">
        <is>
          <t>Residencial / Comercial</t>
        </is>
      </c>
      <c r="D25" s="18" t="inlineStr">
        <is>
          <t>Tubería PN10</t>
        </is>
      </c>
      <c r="E25" s="18" t="inlineStr">
        <is>
          <t>U</t>
        </is>
      </c>
      <c r="F25" s="21" t="n">
        <v>12</v>
      </c>
      <c r="G25" s="22" t="n">
        <v>21</v>
      </c>
      <c r="H25" s="22" t="n">
        <v>21.6</v>
      </c>
      <c r="I25" s="18" t="inlineStr">
        <is>
          <t>Megametales</t>
        </is>
      </c>
      <c r="J25" s="22" t="n">
        <v>22.9</v>
      </c>
      <c r="K25" s="18" t="inlineStr">
        <is>
          <t>Kywi / Megakywi</t>
        </is>
      </c>
      <c r="L25" s="8">
        <f>F25*G25</f>
        <v/>
      </c>
      <c r="M25" s="145" t="inlineStr">
        <is>
          <t>IS-D20-TAF-PVC-063</t>
        </is>
      </c>
      <c r="N25" s="18" t="inlineStr">
        <is>
          <t>Instalaciones sanitarias (hidrosanitarias)</t>
        </is>
      </c>
      <c r="O25" s="18" t="inlineStr">
        <is>
          <t>Estimado · base original del usuario (sin cotización verificada)</t>
        </is>
      </c>
      <c r="P25" s="18" t="inlineStr">
        <is>
          <t>oct-2026 (est.)</t>
        </is>
      </c>
      <c r="Q25" s="18" t="n">
        <v>5</v>
      </c>
    </row>
    <row r="26">
      <c r="A26" s="87" t="inlineStr">
        <is>
          <t xml:space="preserve">      • Subcategoría Especificada: 40 a 110 mm</t>
        </is>
      </c>
      <c r="B26" s="143" t="n"/>
      <c r="C26" s="143" t="n"/>
      <c r="D26" s="143" t="n"/>
      <c r="E26" s="143" t="n"/>
      <c r="F26" s="143" t="n"/>
      <c r="G26" s="143" t="n"/>
      <c r="H26" s="143" t="n"/>
      <c r="I26" s="143" t="n"/>
      <c r="J26" s="143" t="n"/>
      <c r="K26" s="143" t="n"/>
      <c r="L26" s="143" t="n"/>
      <c r="M26" s="143" t="n"/>
      <c r="N26" s="143" t="n"/>
      <c r="O26" s="143" t="n"/>
      <c r="P26" s="143" t="n"/>
      <c r="Q26" s="144" t="n"/>
    </row>
    <row r="27">
      <c r="A27" s="70" t="n">
        <v>14</v>
      </c>
      <c r="B27" s="71" t="inlineStr">
        <is>
          <t xml:space="preserve">        Tubo PVC Presión Ø40 mm (6 m)</t>
        </is>
      </c>
      <c r="C27" s="72" t="inlineStr">
        <is>
          <t>Residencial / Comercial</t>
        </is>
      </c>
      <c r="D27" s="70" t="inlineStr">
        <is>
          <t>Tubería PN10</t>
        </is>
      </c>
      <c r="E27" s="70" t="inlineStr">
        <is>
          <t>U</t>
        </is>
      </c>
      <c r="F27" s="73" t="n">
        <v>4</v>
      </c>
      <c r="G27" s="74" t="n">
        <v>11.8</v>
      </c>
      <c r="H27" s="74" t="n">
        <v>12.39</v>
      </c>
      <c r="I27" s="70" t="inlineStr">
        <is>
          <t>Megametales</t>
        </is>
      </c>
      <c r="J27" s="74" t="n">
        <v>12.98</v>
      </c>
      <c r="K27" s="70" t="inlineStr">
        <is>
          <t>Kywi / Megakywi</t>
        </is>
      </c>
      <c r="L27" s="75">
        <f>F27*G27</f>
        <v/>
      </c>
      <c r="M27" s="153" t="inlineStr">
        <is>
          <t>IS-D20-TAF-PVC-040</t>
        </is>
      </c>
      <c r="N27" s="70" t="inlineStr">
        <is>
          <t>Instalaciones sanitarias (hidrosanitarias)</t>
        </is>
      </c>
      <c r="O27" s="70" t="inlineStr">
        <is>
          <t>Estimado DION · criterio de mercado Guayaquil 2026 (no verificado en tienda)</t>
        </is>
      </c>
      <c r="P27" s="70" t="inlineStr">
        <is>
          <t>oct-2026 (est.)</t>
        </is>
      </c>
      <c r="Q27" s="70" t="n">
        <v>5</v>
      </c>
    </row>
    <row r="28">
      <c r="A28" s="18" t="n">
        <v>15</v>
      </c>
      <c r="B28" s="19" t="inlineStr">
        <is>
          <t xml:space="preserve">        Tubo PVC Presión Ø75 mm (6 m)</t>
        </is>
      </c>
      <c r="C28" s="20" t="inlineStr">
        <is>
          <t>Residencial / Comercial</t>
        </is>
      </c>
      <c r="D28" s="18" t="inlineStr">
        <is>
          <t>Tubería PN10</t>
        </is>
      </c>
      <c r="E28" s="18" t="inlineStr">
        <is>
          <t>U</t>
        </is>
      </c>
      <c r="F28" s="21" t="n">
        <v>4</v>
      </c>
      <c r="G28" s="22" t="n">
        <v>34.5</v>
      </c>
      <c r="H28" s="22" t="n">
        <v>36.23</v>
      </c>
      <c r="I28" s="18" t="inlineStr">
        <is>
          <t>Megametales</t>
        </is>
      </c>
      <c r="J28" s="22" t="n">
        <v>36.91</v>
      </c>
      <c r="K28" s="18" t="inlineStr">
        <is>
          <t>Ferrisariato</t>
        </is>
      </c>
      <c r="L28" s="8">
        <f>F28*G28</f>
        <v/>
      </c>
      <c r="M28" s="145" t="inlineStr">
        <is>
          <t>IS-D20-TAF-PVC-075</t>
        </is>
      </c>
      <c r="N28" s="18" t="inlineStr">
        <is>
          <t>Instalaciones sanitarias (hidrosanitarias)</t>
        </is>
      </c>
      <c r="O28" s="18" t="inlineStr">
        <is>
          <t>Estimado DION · criterio de mercado Guayaquil 2026 (no verificado en tienda)</t>
        </is>
      </c>
      <c r="P28" s="18" t="inlineStr">
        <is>
          <t>oct-2026 (est.)</t>
        </is>
      </c>
      <c r="Q28" s="18" t="n">
        <v>5</v>
      </c>
    </row>
    <row r="29">
      <c r="A29" s="70" t="n">
        <v>16</v>
      </c>
      <c r="B29" s="71" t="inlineStr">
        <is>
          <t xml:space="preserve">        Tubo PVC Presión Ø90 mm (6 m)</t>
        </is>
      </c>
      <c r="C29" s="72" t="inlineStr">
        <is>
          <t>Residencial / Comercial</t>
        </is>
      </c>
      <c r="D29" s="70" t="inlineStr">
        <is>
          <t>Tubería PN10</t>
        </is>
      </c>
      <c r="E29" s="70" t="inlineStr">
        <is>
          <t>U</t>
        </is>
      </c>
      <c r="F29" s="73" t="n">
        <v>4</v>
      </c>
      <c r="G29" s="74" t="n">
        <v>49</v>
      </c>
      <c r="H29" s="74" t="n">
        <v>50.96</v>
      </c>
      <c r="I29" s="70" t="inlineStr">
        <is>
          <t>Megametales</t>
        </is>
      </c>
      <c r="J29" s="74" t="n">
        <v>52.92</v>
      </c>
      <c r="K29" s="70" t="inlineStr">
        <is>
          <t>Kywi / Megakywi</t>
        </is>
      </c>
      <c r="L29" s="75">
        <f>F29*G29</f>
        <v/>
      </c>
      <c r="M29" s="153" t="inlineStr">
        <is>
          <t>IS-D20-TAF-PVC-090</t>
        </is>
      </c>
      <c r="N29" s="70" t="inlineStr">
        <is>
          <t>Instalaciones sanitarias (hidrosanitarias)</t>
        </is>
      </c>
      <c r="O29" s="70" t="inlineStr">
        <is>
          <t>Estimado DION · criterio de mercado Guayaquil 2026 (no verificado en tienda)</t>
        </is>
      </c>
      <c r="P29" s="70" t="inlineStr">
        <is>
          <t>oct-2026 (est.)</t>
        </is>
      </c>
      <c r="Q29" s="70" t="n">
        <v>5</v>
      </c>
    </row>
    <row r="30">
      <c r="A30" s="18" t="n">
        <v>17</v>
      </c>
      <c r="B30" s="19" t="inlineStr">
        <is>
          <t xml:space="preserve">        Tubo PVC Presión Ø110 mm (6 m)</t>
        </is>
      </c>
      <c r="C30" s="20" t="inlineStr">
        <is>
          <t>Residencial / Comercial</t>
        </is>
      </c>
      <c r="D30" s="18" t="inlineStr">
        <is>
          <t>Tubería PN10</t>
        </is>
      </c>
      <c r="E30" s="18" t="inlineStr">
        <is>
          <t>U</t>
        </is>
      </c>
      <c r="F30" s="21" t="n">
        <v>4</v>
      </c>
      <c r="G30" s="22" t="n">
        <v>72</v>
      </c>
      <c r="H30" s="22" t="n">
        <v>75.59999999999999</v>
      </c>
      <c r="I30" s="18" t="inlineStr">
        <is>
          <t>Megametales</t>
        </is>
      </c>
      <c r="J30" s="22" t="n">
        <v>77.04000000000001</v>
      </c>
      <c r="K30" s="18" t="inlineStr">
        <is>
          <t>Ferrisariato</t>
        </is>
      </c>
      <c r="L30" s="8">
        <f>F30*G30</f>
        <v/>
      </c>
      <c r="M30" s="145" t="inlineStr">
        <is>
          <t>IS-D20-TAF-PVC-110</t>
        </is>
      </c>
      <c r="N30" s="18" t="inlineStr">
        <is>
          <t>Instalaciones sanitarias (hidrosanitarias)</t>
        </is>
      </c>
      <c r="O30" s="18" t="inlineStr">
        <is>
          <t>Estimado DION · criterio de mercado Guayaquil 2026 (no verificado en tienda)</t>
        </is>
      </c>
      <c r="P30" s="18" t="inlineStr">
        <is>
          <t>oct-2026 (est.)</t>
        </is>
      </c>
      <c r="Q30" s="18" t="n">
        <v>5</v>
      </c>
    </row>
    <row r="31">
      <c r="A31" s="70" t="n">
        <v>18</v>
      </c>
      <c r="B31" s="71" t="inlineStr">
        <is>
          <t xml:space="preserve">        Manguera Flexible PVC Piscina 2" (m)</t>
        </is>
      </c>
      <c r="C31" s="72" t="inlineStr">
        <is>
          <t>Residencial / Comercial</t>
        </is>
      </c>
      <c r="D31" s="70" t="inlineStr">
        <is>
          <t>Mangueras Flex</t>
        </is>
      </c>
      <c r="E31" s="70" t="inlineStr">
        <is>
          <t>m</t>
        </is>
      </c>
      <c r="F31" s="73" t="n">
        <v>10</v>
      </c>
      <c r="G31" s="74" t="n">
        <v>4.8</v>
      </c>
      <c r="H31" s="74" t="n">
        <v>5.04</v>
      </c>
      <c r="I31" s="70" t="inlineStr">
        <is>
          <t>Megametales</t>
        </is>
      </c>
      <c r="J31" s="74" t="n">
        <v>5.18</v>
      </c>
      <c r="K31" s="70" t="inlineStr">
        <is>
          <t>Kywi / Megakywi</t>
        </is>
      </c>
      <c r="L31" s="75">
        <f>F31*G31</f>
        <v/>
      </c>
      <c r="M31" s="153" t="inlineStr">
        <is>
          <t>IS-F10-PEM-MFX-DN50</t>
        </is>
      </c>
      <c r="N31" s="70" t="inlineStr">
        <is>
          <t>Instalaciones sanitarias (hidrosanitarias)</t>
        </is>
      </c>
      <c r="O31" s="70" t="inlineStr">
        <is>
          <t>Estimado DION · criterio de mercado Guayaquil 2026 (no verificado en tienda)</t>
        </is>
      </c>
      <c r="P31" s="70" t="inlineStr">
        <is>
          <t>oct-2026 (est.)</t>
        </is>
      </c>
      <c r="Q31" s="70" t="n">
        <v>5</v>
      </c>
    </row>
    <row r="32">
      <c r="A32" s="85" t="inlineStr">
        <is>
          <t>EQUIPOS</t>
        </is>
      </c>
      <c r="B32" s="143" t="n"/>
      <c r="C32" s="143" t="n"/>
      <c r="D32" s="143" t="n"/>
      <c r="E32" s="143" t="n"/>
      <c r="F32" s="143" t="n"/>
      <c r="G32" s="143" t="n"/>
      <c r="H32" s="143" t="n"/>
      <c r="I32" s="143" t="n"/>
      <c r="J32" s="143" t="n"/>
      <c r="K32" s="143" t="n"/>
      <c r="L32" s="143" t="n"/>
      <c r="M32" s="143" t="n"/>
      <c r="N32" s="143" t="n"/>
      <c r="O32" s="143" t="n"/>
      <c r="P32" s="143" t="n"/>
      <c r="Q32" s="144" t="n"/>
    </row>
    <row r="33">
      <c r="A33" s="86" t="inlineStr">
        <is>
          <t xml:space="preserve">  ► CATEGORÍA: BOMBAS CENTRÍFUGAS AUTOASPIRANTES, FILTROS Y BLOWER</t>
        </is>
      </c>
      <c r="B33" s="143" t="n"/>
      <c r="C33" s="143" t="n"/>
      <c r="D33" s="143" t="n"/>
      <c r="E33" s="143" t="n"/>
      <c r="F33" s="143" t="n"/>
      <c r="G33" s="143" t="n"/>
      <c r="H33" s="143" t="n"/>
      <c r="I33" s="143" t="n"/>
      <c r="J33" s="143" t="n"/>
      <c r="K33" s="143" t="n"/>
      <c r="L33" s="143" t="n"/>
      <c r="M33" s="143" t="n"/>
      <c r="N33" s="143" t="n"/>
      <c r="O33" s="143" t="n"/>
      <c r="P33" s="143" t="n"/>
      <c r="Q33" s="144" t="n"/>
    </row>
    <row r="34">
      <c r="A34" s="87" t="inlineStr">
        <is>
          <t xml:space="preserve">      • Subcategoría Especificada: Bombas, Filtros y Sopladores</t>
        </is>
      </c>
      <c r="B34" s="143" t="n"/>
      <c r="C34" s="143" t="n"/>
      <c r="D34" s="143" t="n"/>
      <c r="E34" s="143" t="n"/>
      <c r="F34" s="143" t="n"/>
      <c r="G34" s="143" t="n"/>
      <c r="H34" s="143" t="n"/>
      <c r="I34" s="143" t="n"/>
      <c r="J34" s="143" t="n"/>
      <c r="K34" s="143" t="n"/>
      <c r="L34" s="143" t="n"/>
      <c r="M34" s="143" t="n"/>
      <c r="N34" s="143" t="n"/>
      <c r="O34" s="143" t="n"/>
      <c r="P34" s="143" t="n"/>
      <c r="Q34" s="144" t="n"/>
    </row>
    <row r="35">
      <c r="A35" s="18" t="n">
        <v>19</v>
      </c>
      <c r="B35" s="19" t="inlineStr">
        <is>
          <t xml:space="preserve">        Bomba Centrifuga Autoaspirante Piscina 1.5 HP / 3.0 HP</t>
        </is>
      </c>
      <c r="C35" s="20" t="inlineStr">
        <is>
          <t>Residencial / Comercial / Clubes</t>
        </is>
      </c>
      <c r="D35" s="18" t="inlineStr">
        <is>
          <t>Bombas Piscina</t>
        </is>
      </c>
      <c r="E35" s="18" t="inlineStr">
        <is>
          <t>U</t>
        </is>
      </c>
      <c r="F35" s="21" t="n">
        <v>1</v>
      </c>
      <c r="G35" s="22" t="n">
        <v>340</v>
      </c>
      <c r="H35" s="22" t="n">
        <v>348</v>
      </c>
      <c r="I35" s="18" t="inlineStr">
        <is>
          <t>Megametales / HidroEcuador</t>
        </is>
      </c>
      <c r="J35" s="22" t="n">
        <v>365</v>
      </c>
      <c r="K35" s="18" t="inlineStr">
        <is>
          <t>Kywi / Megakywi</t>
        </is>
      </c>
      <c r="L35" s="8">
        <f>F35*G35</f>
        <v/>
      </c>
      <c r="M35" s="145" t="inlineStr">
        <is>
          <t>IS-F10-PEQ-BOM-1P5HP</t>
        </is>
      </c>
      <c r="N35" s="18" t="inlineStr">
        <is>
          <t>Instalaciones sanitarias (hidrosanitarias)</t>
        </is>
      </c>
      <c r="O35" s="18" t="inlineStr">
        <is>
          <t>Estimado · base original del usuario (sin cotización verificada)</t>
        </is>
      </c>
      <c r="P35" s="18" t="inlineStr">
        <is>
          <t>oct-2026 (est.)</t>
        </is>
      </c>
      <c r="Q35" s="18" t="n"/>
    </row>
    <row r="36">
      <c r="A36" s="70" t="n">
        <v>20</v>
      </c>
      <c r="B36" s="71" t="inlineStr">
        <is>
          <t xml:space="preserve">        Soplador de Aire (Blower) 1.5 HP para Bancada Jacuzzi</t>
        </is>
      </c>
      <c r="C36" s="72" t="inlineStr">
        <is>
          <t>Residencial / Comercial</t>
        </is>
      </c>
      <c r="D36" s="70" t="inlineStr">
        <is>
          <t>Sopladores Blower</t>
        </is>
      </c>
      <c r="E36" s="70" t="inlineStr">
        <is>
          <t>U</t>
        </is>
      </c>
      <c r="F36" s="73" t="n">
        <v>1</v>
      </c>
      <c r="G36" s="74" t="n">
        <v>290</v>
      </c>
      <c r="H36" s="74" t="n">
        <v>295</v>
      </c>
      <c r="I36" s="70" t="inlineStr">
        <is>
          <t>Megametales / HidroEcuador</t>
        </is>
      </c>
      <c r="J36" s="74" t="n">
        <v>310</v>
      </c>
      <c r="K36" s="70" t="inlineStr">
        <is>
          <t>Kywi / Megakywi</t>
        </is>
      </c>
      <c r="L36" s="75">
        <f>F36*G36</f>
        <v/>
      </c>
      <c r="M36" s="153" t="inlineStr">
        <is>
          <t>IS-F10-PEQ-BLO-1P5HP</t>
        </is>
      </c>
      <c r="N36" s="70" t="inlineStr">
        <is>
          <t>Instalaciones sanitarias (hidrosanitarias)</t>
        </is>
      </c>
      <c r="O36" s="70" t="inlineStr">
        <is>
          <t>Estimado · base original del usuario (sin cotización verificada)</t>
        </is>
      </c>
      <c r="P36" s="70" t="inlineStr">
        <is>
          <t>oct-2026 (est.)</t>
        </is>
      </c>
      <c r="Q36" s="70" t="n"/>
    </row>
    <row r="37">
      <c r="A37" s="18" t="n">
        <v>21</v>
      </c>
      <c r="B37" s="19" t="inlineStr">
        <is>
          <t xml:space="preserve">        Filtro de Cristal/Arena 24" con Válvula 6 Vías</t>
        </is>
      </c>
      <c r="C37" s="20" t="inlineStr">
        <is>
          <t>Residencial / Comercial</t>
        </is>
      </c>
      <c r="D37" s="18" t="inlineStr">
        <is>
          <t>Filtros Arena</t>
        </is>
      </c>
      <c r="E37" s="18" t="inlineStr">
        <is>
          <t>U</t>
        </is>
      </c>
      <c r="F37" s="21" t="n">
        <v>1</v>
      </c>
      <c r="G37" s="22" t="n">
        <v>420</v>
      </c>
      <c r="H37" s="22" t="n">
        <v>430</v>
      </c>
      <c r="I37" s="18" t="inlineStr">
        <is>
          <t>Megametales / HidroEcuador</t>
        </is>
      </c>
      <c r="J37" s="22" t="n">
        <v>450</v>
      </c>
      <c r="K37" s="18" t="inlineStr">
        <is>
          <t>Kywi / Megakywi</t>
        </is>
      </c>
      <c r="L37" s="8">
        <f>F37*G37</f>
        <v/>
      </c>
      <c r="M37" s="145" t="inlineStr">
        <is>
          <t>IS-F10-PEQ-FIL-24IN</t>
        </is>
      </c>
      <c r="N37" s="18" t="inlineStr">
        <is>
          <t>Instalaciones sanitarias (hidrosanitarias)</t>
        </is>
      </c>
      <c r="O37" s="18" t="inlineStr">
        <is>
          <t>Estimado · base original del usuario (sin cotización verificada)</t>
        </is>
      </c>
      <c r="P37" s="18" t="inlineStr">
        <is>
          <t>oct-2026 (est.)</t>
        </is>
      </c>
      <c r="Q37" s="18" t="n"/>
    </row>
    <row r="38">
      <c r="A38" s="70" t="n">
        <v>22</v>
      </c>
      <c r="B38" s="71" t="inlineStr">
        <is>
          <t xml:space="preserve">        Carga Filtrante Vidrio Ecológico Eco-Filter (Saco 25kg)</t>
        </is>
      </c>
      <c r="C38" s="72" t="inlineStr">
        <is>
          <t>Residencial / Comercial</t>
        </is>
      </c>
      <c r="D38" s="70" t="inlineStr">
        <is>
          <t>Medio Filtrante</t>
        </is>
      </c>
      <c r="E38" s="70" t="inlineStr">
        <is>
          <t>Saco</t>
        </is>
      </c>
      <c r="F38" s="73" t="n">
        <v>5</v>
      </c>
      <c r="G38" s="74" t="n">
        <v>22</v>
      </c>
      <c r="H38" s="74" t="n">
        <v>22.8</v>
      </c>
      <c r="I38" s="70" t="inlineStr">
        <is>
          <t>Megametales / HidroEcuador</t>
        </is>
      </c>
      <c r="J38" s="74" t="n">
        <v>24.5</v>
      </c>
      <c r="K38" s="70" t="inlineStr">
        <is>
          <t>Ferrisariato</t>
        </is>
      </c>
      <c r="L38" s="75">
        <f>F38*G38</f>
        <v/>
      </c>
      <c r="M38" s="153" t="inlineStr">
        <is>
          <t>IS-F10-PEQ-MFI-VID</t>
        </is>
      </c>
      <c r="N38" s="70" t="inlineStr">
        <is>
          <t>Instalaciones sanitarias (hidrosanitarias)</t>
        </is>
      </c>
      <c r="O38" s="70" t="inlineStr">
        <is>
          <t>Estimado · base original del usuario (sin cotización verificada)</t>
        </is>
      </c>
      <c r="P38" s="70" t="inlineStr">
        <is>
          <t>oct-2026 (est.)</t>
        </is>
      </c>
      <c r="Q38" s="70" t="n"/>
    </row>
    <row r="39">
      <c r="A39" s="87" t="inlineStr">
        <is>
          <t xml:space="preserve">      • Subcategoría Especificada: Bombas y Filtros por Capacidad</t>
        </is>
      </c>
      <c r="B39" s="143" t="n"/>
      <c r="C39" s="143" t="n"/>
      <c r="D39" s="143" t="n"/>
      <c r="E39" s="143" t="n"/>
      <c r="F39" s="143" t="n"/>
      <c r="G39" s="143" t="n"/>
      <c r="H39" s="143" t="n"/>
      <c r="I39" s="143" t="n"/>
      <c r="J39" s="143" t="n"/>
      <c r="K39" s="143" t="n"/>
      <c r="L39" s="143" t="n"/>
      <c r="M39" s="143" t="n"/>
      <c r="N39" s="143" t="n"/>
      <c r="O39" s="143" t="n"/>
      <c r="P39" s="143" t="n"/>
      <c r="Q39" s="144" t="n"/>
    </row>
    <row r="40">
      <c r="A40" s="18" t="n">
        <v>23</v>
      </c>
      <c r="B40" s="19" t="inlineStr">
        <is>
          <t xml:space="preserve">        Bomba Autoaspirante Piscina 0.75 HP con Prefiltro</t>
        </is>
      </c>
      <c r="C40" s="20" t="inlineStr">
        <is>
          <t>Residencial / Comercial / Clubes</t>
        </is>
      </c>
      <c r="D40" s="18" t="inlineStr">
        <is>
          <t>Bombas Piscina</t>
        </is>
      </c>
      <c r="E40" s="18" t="inlineStr">
        <is>
          <t>U</t>
        </is>
      </c>
      <c r="F40" s="21" t="n">
        <v>1</v>
      </c>
      <c r="G40" s="22" t="n">
        <v>265</v>
      </c>
      <c r="H40" s="22" t="n">
        <v>270.3</v>
      </c>
      <c r="I40" s="18" t="inlineStr">
        <is>
          <t>Megametales</t>
        </is>
      </c>
      <c r="J40" s="22" t="n">
        <v>291.5</v>
      </c>
      <c r="K40" s="18" t="inlineStr">
        <is>
          <t>Ferrisariato</t>
        </is>
      </c>
      <c r="L40" s="8">
        <f>F40*G40</f>
        <v/>
      </c>
      <c r="M40" s="145" t="inlineStr">
        <is>
          <t>IS-F10-PEQ-BOM-0P75HP</t>
        </is>
      </c>
      <c r="N40" s="18" t="inlineStr">
        <is>
          <t>Instalaciones sanitarias (hidrosanitarias)</t>
        </is>
      </c>
      <c r="O40" s="18" t="inlineStr">
        <is>
          <t>Estimado DION · criterio de mercado Guayaquil 2026 (no verificado en tienda)</t>
        </is>
      </c>
      <c r="P40" s="18" t="inlineStr">
        <is>
          <t>oct-2026 (est.)</t>
        </is>
      </c>
      <c r="Q40" s="18" t="n"/>
    </row>
    <row r="41">
      <c r="A41" s="70" t="n">
        <v>24</v>
      </c>
      <c r="B41" s="71" t="inlineStr">
        <is>
          <t xml:space="preserve">        Bomba Autoaspirante Piscina 1 HP con Prefiltro</t>
        </is>
      </c>
      <c r="C41" s="72" t="inlineStr">
        <is>
          <t>Residencial / Comercial / Clubes</t>
        </is>
      </c>
      <c r="D41" s="70" t="inlineStr">
        <is>
          <t>Bombas Piscina</t>
        </is>
      </c>
      <c r="E41" s="70" t="inlineStr">
        <is>
          <t>U</t>
        </is>
      </c>
      <c r="F41" s="73" t="n">
        <v>1</v>
      </c>
      <c r="G41" s="74" t="n">
        <v>295</v>
      </c>
      <c r="H41" s="74" t="n">
        <v>300.9</v>
      </c>
      <c r="I41" s="70" t="inlineStr">
        <is>
          <t>Megametales</t>
        </is>
      </c>
      <c r="J41" s="74" t="n">
        <v>327.45</v>
      </c>
      <c r="K41" s="70" t="inlineStr">
        <is>
          <t>Kywi / Megakywi</t>
        </is>
      </c>
      <c r="L41" s="75">
        <f>F41*G41</f>
        <v/>
      </c>
      <c r="M41" s="153" t="inlineStr">
        <is>
          <t>IS-F10-PEQ-BOM-1HP</t>
        </is>
      </c>
      <c r="N41" s="70" t="inlineStr">
        <is>
          <t>Instalaciones sanitarias (hidrosanitarias)</t>
        </is>
      </c>
      <c r="O41" s="70" t="inlineStr">
        <is>
          <t>Estimado DION · criterio de mercado Guayaquil 2026 (no verificado en tienda)</t>
        </is>
      </c>
      <c r="P41" s="70" t="inlineStr">
        <is>
          <t>oct-2026 (est.)</t>
        </is>
      </c>
      <c r="Q41" s="70" t="n"/>
    </row>
    <row r="42">
      <c r="A42" s="18" t="n">
        <v>25</v>
      </c>
      <c r="B42" s="19" t="inlineStr">
        <is>
          <t xml:space="preserve">        Bomba Autoaspirante Piscina 2 HP con Prefiltro</t>
        </is>
      </c>
      <c r="C42" s="20" t="inlineStr">
        <is>
          <t>Residencial / Comercial / Clubes</t>
        </is>
      </c>
      <c r="D42" s="18" t="inlineStr">
        <is>
          <t>Bombas Piscina</t>
        </is>
      </c>
      <c r="E42" s="18" t="inlineStr">
        <is>
          <t>U</t>
        </is>
      </c>
      <c r="F42" s="21" t="n">
        <v>1</v>
      </c>
      <c r="G42" s="22" t="n">
        <v>420</v>
      </c>
      <c r="H42" s="22" t="n">
        <v>436.8</v>
      </c>
      <c r="I42" s="18" t="inlineStr">
        <is>
          <t>Megametales</t>
        </is>
      </c>
      <c r="J42" s="22" t="n">
        <v>453.6</v>
      </c>
      <c r="K42" s="18" t="inlineStr">
        <is>
          <t>Ferrisariato</t>
        </is>
      </c>
      <c r="L42" s="8">
        <f>F42*G42</f>
        <v/>
      </c>
      <c r="M42" s="145" t="inlineStr">
        <is>
          <t>IS-F10-PEQ-BOM-2HP</t>
        </is>
      </c>
      <c r="N42" s="18" t="inlineStr">
        <is>
          <t>Instalaciones sanitarias (hidrosanitarias)</t>
        </is>
      </c>
      <c r="O42" s="18" t="inlineStr">
        <is>
          <t>Estimado DION · criterio de mercado Guayaquil 2026 (no verificado en tienda)</t>
        </is>
      </c>
      <c r="P42" s="18" t="inlineStr">
        <is>
          <t>oct-2026 (est.)</t>
        </is>
      </c>
      <c r="Q42" s="18" t="n"/>
    </row>
    <row r="43">
      <c r="A43" s="70" t="n">
        <v>26</v>
      </c>
      <c r="B43" s="71" t="inlineStr">
        <is>
          <t xml:space="preserve">        Bomba Autoaspirante Piscina 3 HP con Prefiltro</t>
        </is>
      </c>
      <c r="C43" s="72" t="inlineStr">
        <is>
          <t>Residencial / Comercial / Clubes</t>
        </is>
      </c>
      <c r="D43" s="70" t="inlineStr">
        <is>
          <t>Bombas Piscina</t>
        </is>
      </c>
      <c r="E43" s="70" t="inlineStr">
        <is>
          <t>U</t>
        </is>
      </c>
      <c r="F43" s="73" t="n">
        <v>0</v>
      </c>
      <c r="G43" s="74" t="n">
        <v>560</v>
      </c>
      <c r="H43" s="74" t="n">
        <v>571.2</v>
      </c>
      <c r="I43" s="70" t="inlineStr">
        <is>
          <t>Megametales</t>
        </is>
      </c>
      <c r="J43" s="74" t="n">
        <v>616</v>
      </c>
      <c r="K43" s="70" t="inlineStr">
        <is>
          <t>Kywi / Megakywi</t>
        </is>
      </c>
      <c r="L43" s="75">
        <f>F43*G43</f>
        <v/>
      </c>
      <c r="M43" s="153" t="inlineStr">
        <is>
          <t>IS-F10-PEQ-BOM-3HP</t>
        </is>
      </c>
      <c r="N43" s="70" t="inlineStr">
        <is>
          <t>Instalaciones sanitarias (hidrosanitarias)</t>
        </is>
      </c>
      <c r="O43" s="70" t="inlineStr">
        <is>
          <t>Estimado DION · criterio de mercado Guayaquil 2026 (no verificado en tienda)</t>
        </is>
      </c>
      <c r="P43" s="70" t="inlineStr">
        <is>
          <t>oct-2026 (est.)</t>
        </is>
      </c>
      <c r="Q43" s="70" t="n"/>
    </row>
    <row r="44">
      <c r="A44" s="18" t="n">
        <v>27</v>
      </c>
      <c r="B44" s="19" t="inlineStr">
        <is>
          <t xml:space="preserve">        Bomba Autoaspirante Piscina 5 HP con Prefiltro</t>
        </is>
      </c>
      <c r="C44" s="20" t="inlineStr">
        <is>
          <t>Residencial / Comercial / Clubes</t>
        </is>
      </c>
      <c r="D44" s="18" t="inlineStr">
        <is>
          <t>Bombas Piscina</t>
        </is>
      </c>
      <c r="E44" s="18" t="inlineStr">
        <is>
          <t>U</t>
        </is>
      </c>
      <c r="F44" s="21" t="n">
        <v>0</v>
      </c>
      <c r="G44" s="22" t="n">
        <v>980</v>
      </c>
      <c r="H44" s="22" t="n">
        <v>1009.4</v>
      </c>
      <c r="I44" s="18" t="inlineStr">
        <is>
          <t>Megametales</t>
        </is>
      </c>
      <c r="J44" s="22" t="n">
        <v>1048.6</v>
      </c>
      <c r="K44" s="18" t="inlineStr">
        <is>
          <t>Ferrisariato</t>
        </is>
      </c>
      <c r="L44" s="8">
        <f>F44*G44</f>
        <v/>
      </c>
      <c r="M44" s="145" t="inlineStr">
        <is>
          <t>IS-F10-PEQ-BOM-5HP</t>
        </is>
      </c>
      <c r="N44" s="18" t="inlineStr">
        <is>
          <t>Instalaciones sanitarias (hidrosanitarias)</t>
        </is>
      </c>
      <c r="O44" s="18" t="inlineStr">
        <is>
          <t>Estimado DION · criterio de mercado Guayaquil 2026 (no verificado en tienda)</t>
        </is>
      </c>
      <c r="P44" s="18" t="inlineStr">
        <is>
          <t>oct-2026 (est.)</t>
        </is>
      </c>
      <c r="Q44" s="18" t="n"/>
    </row>
    <row r="45">
      <c r="A45" s="70" t="n">
        <v>28</v>
      </c>
      <c r="B45" s="71" t="inlineStr">
        <is>
          <t xml:space="preserve">        Filtro de Arena/Vidrio 19" con Válvula Selectora 6 Vías</t>
        </is>
      </c>
      <c r="C45" s="72" t="inlineStr">
        <is>
          <t>Residencial / Comercial</t>
        </is>
      </c>
      <c r="D45" s="70" t="inlineStr">
        <is>
          <t>Filtros Arena</t>
        </is>
      </c>
      <c r="E45" s="70" t="inlineStr">
        <is>
          <t>U</t>
        </is>
      </c>
      <c r="F45" s="73" t="n">
        <v>1</v>
      </c>
      <c r="G45" s="74" t="n">
        <v>295</v>
      </c>
      <c r="H45" s="74" t="n">
        <v>309.75</v>
      </c>
      <c r="I45" s="70" t="inlineStr">
        <is>
          <t>Megametales</t>
        </is>
      </c>
      <c r="J45" s="74" t="n">
        <v>318.6</v>
      </c>
      <c r="K45" s="70" t="inlineStr">
        <is>
          <t>Kywi / Megakywi</t>
        </is>
      </c>
      <c r="L45" s="75">
        <f>F45*G45</f>
        <v/>
      </c>
      <c r="M45" s="153" t="inlineStr">
        <is>
          <t>IS-F10-PEQ-FIL-19IN</t>
        </is>
      </c>
      <c r="N45" s="70" t="inlineStr">
        <is>
          <t>Instalaciones sanitarias (hidrosanitarias)</t>
        </is>
      </c>
      <c r="O45" s="70" t="inlineStr">
        <is>
          <t>Estimado DION · criterio de mercado Guayaquil 2026 (no verificado en tienda)</t>
        </is>
      </c>
      <c r="P45" s="70" t="inlineStr">
        <is>
          <t>oct-2026 (est.)</t>
        </is>
      </c>
      <c r="Q45" s="70" t="n"/>
    </row>
    <row r="46">
      <c r="A46" s="18" t="n">
        <v>29</v>
      </c>
      <c r="B46" s="19" t="inlineStr">
        <is>
          <t xml:space="preserve">        Filtro de Arena/Vidrio 30" con Válvula Selectora 6 Vías</t>
        </is>
      </c>
      <c r="C46" s="20" t="inlineStr">
        <is>
          <t>Residencial / Comercial</t>
        </is>
      </c>
      <c r="D46" s="18" t="inlineStr">
        <is>
          <t>Filtros Arena</t>
        </is>
      </c>
      <c r="E46" s="18" t="inlineStr">
        <is>
          <t>U</t>
        </is>
      </c>
      <c r="F46" s="21" t="n">
        <v>0</v>
      </c>
      <c r="G46" s="22" t="n">
        <v>690</v>
      </c>
      <c r="H46" s="22" t="n">
        <v>710.7</v>
      </c>
      <c r="I46" s="18" t="inlineStr">
        <is>
          <t>Megametales</t>
        </is>
      </c>
      <c r="J46" s="22" t="n">
        <v>759</v>
      </c>
      <c r="K46" s="18" t="inlineStr">
        <is>
          <t>Ferrisariato</t>
        </is>
      </c>
      <c r="L46" s="8">
        <f>F46*G46</f>
        <v/>
      </c>
      <c r="M46" s="145" t="inlineStr">
        <is>
          <t>IS-F10-PEQ-FIL-30IN</t>
        </is>
      </c>
      <c r="N46" s="18" t="inlineStr">
        <is>
          <t>Instalaciones sanitarias (hidrosanitarias)</t>
        </is>
      </c>
      <c r="O46" s="18" t="inlineStr">
        <is>
          <t>Estimado DION · criterio de mercado Guayaquil 2026 (no verificado en tienda)</t>
        </is>
      </c>
      <c r="P46" s="18" t="inlineStr">
        <is>
          <t>oct-2026 (est.)</t>
        </is>
      </c>
      <c r="Q46" s="18" t="n"/>
    </row>
    <row r="47">
      <c r="A47" s="70" t="n">
        <v>30</v>
      </c>
      <c r="B47" s="71" t="inlineStr">
        <is>
          <t xml:space="preserve">        Filtro de Arena/Vidrio 36" con Válvula Selectora 6 Vías</t>
        </is>
      </c>
      <c r="C47" s="72" t="inlineStr">
        <is>
          <t>Residencial / Comercial</t>
        </is>
      </c>
      <c r="D47" s="70" t="inlineStr">
        <is>
          <t>Filtros Arena</t>
        </is>
      </c>
      <c r="E47" s="70" t="inlineStr">
        <is>
          <t>U</t>
        </is>
      </c>
      <c r="F47" s="73" t="n">
        <v>0</v>
      </c>
      <c r="G47" s="74" t="n">
        <v>980</v>
      </c>
      <c r="H47" s="74" t="n">
        <v>1019.2</v>
      </c>
      <c r="I47" s="70" t="inlineStr">
        <is>
          <t>Megametales</t>
        </is>
      </c>
      <c r="J47" s="74" t="n">
        <v>1058.4</v>
      </c>
      <c r="K47" s="70" t="inlineStr">
        <is>
          <t>Kywi / Megakywi</t>
        </is>
      </c>
      <c r="L47" s="75">
        <f>F47*G47</f>
        <v/>
      </c>
      <c r="M47" s="153" t="inlineStr">
        <is>
          <t>IS-F10-PEQ-FIL-36IN</t>
        </is>
      </c>
      <c r="N47" s="70" t="inlineStr">
        <is>
          <t>Instalaciones sanitarias (hidrosanitarias)</t>
        </is>
      </c>
      <c r="O47" s="70" t="inlineStr">
        <is>
          <t>Estimado DION · criterio de mercado Guayaquil 2026 (no verificado en tienda)</t>
        </is>
      </c>
      <c r="P47" s="70" t="inlineStr">
        <is>
          <t>oct-2026 (est.)</t>
        </is>
      </c>
      <c r="Q47" s="70" t="n"/>
    </row>
    <row r="48">
      <c r="A48" s="18" t="n">
        <v>31</v>
      </c>
      <c r="B48" s="19" t="inlineStr">
        <is>
          <t xml:space="preserve">        Bomba Variable Velocidad 1.5 HP Eficiente</t>
        </is>
      </c>
      <c r="C48" s="20" t="inlineStr">
        <is>
          <t>Residencial / Comercial</t>
        </is>
      </c>
      <c r="D48" s="18" t="inlineStr">
        <is>
          <t>Bombas VS</t>
        </is>
      </c>
      <c r="E48" s="18" t="inlineStr">
        <is>
          <t>U</t>
        </is>
      </c>
      <c r="F48" s="21" t="n">
        <v>0</v>
      </c>
      <c r="G48" s="22" t="n">
        <v>890</v>
      </c>
      <c r="H48" s="22" t="n">
        <v>925.6</v>
      </c>
      <c r="I48" s="18" t="inlineStr">
        <is>
          <t>Megametales</t>
        </is>
      </c>
      <c r="J48" s="22" t="n">
        <v>987.9</v>
      </c>
      <c r="K48" s="18" t="inlineStr">
        <is>
          <t>Ferrisariato</t>
        </is>
      </c>
      <c r="L48" s="8">
        <f>F48*G48</f>
        <v/>
      </c>
      <c r="M48" s="145" t="inlineStr">
        <is>
          <t>IS-F10-PEQ-BOM-VS-1P5HP</t>
        </is>
      </c>
      <c r="N48" s="18" t="inlineStr">
        <is>
          <t>Instalaciones sanitarias (hidrosanitarias)</t>
        </is>
      </c>
      <c r="O48" s="18" t="inlineStr">
        <is>
          <t>Estimado DION · criterio de mercado Guayaquil 2026 (no verificado en tienda)</t>
        </is>
      </c>
      <c r="P48" s="18" t="inlineStr">
        <is>
          <t>oct-2026 (est.)</t>
        </is>
      </c>
      <c r="Q48" s="18" t="n"/>
    </row>
    <row r="49">
      <c r="A49" s="70" t="n">
        <v>32</v>
      </c>
      <c r="B49" s="71" t="inlineStr">
        <is>
          <t xml:space="preserve">        Arena Sílice Filtrante 20-30 (Saco 25 kg)</t>
        </is>
      </c>
      <c r="C49" s="72" t="inlineStr">
        <is>
          <t>Residencial / Comercial</t>
        </is>
      </c>
      <c r="D49" s="70" t="inlineStr">
        <is>
          <t>Medio Filtrante</t>
        </is>
      </c>
      <c r="E49" s="70" t="inlineStr">
        <is>
          <t>Saco</t>
        </is>
      </c>
      <c r="F49" s="73" t="n">
        <v>6</v>
      </c>
      <c r="G49" s="74" t="n">
        <v>9.5</v>
      </c>
      <c r="H49" s="74" t="n">
        <v>9.880000000000001</v>
      </c>
      <c r="I49" s="70" t="inlineStr">
        <is>
          <t>Megametales</t>
        </is>
      </c>
      <c r="J49" s="74" t="n">
        <v>10.26</v>
      </c>
      <c r="K49" s="70" t="inlineStr">
        <is>
          <t>Kywi / Megakywi</t>
        </is>
      </c>
      <c r="L49" s="75">
        <f>F49*G49</f>
        <v/>
      </c>
      <c r="M49" s="153" t="inlineStr">
        <is>
          <t>IS-F10-PEQ-MFI-ARE</t>
        </is>
      </c>
      <c r="N49" s="70" t="inlineStr">
        <is>
          <t>Instalaciones sanitarias (hidrosanitarias)</t>
        </is>
      </c>
      <c r="O49" s="70" t="inlineStr">
        <is>
          <t>Estimado DION · criterio de mercado Guayaquil 2026 (no verificado en tienda)</t>
        </is>
      </c>
      <c r="P49" s="70" t="inlineStr">
        <is>
          <t>oct-2026 (est.)</t>
        </is>
      </c>
      <c r="Q49" s="70" t="n"/>
    </row>
    <row r="50">
      <c r="A50" s="85" t="inlineStr">
        <is>
          <t>CONEXIONES</t>
        </is>
      </c>
      <c r="B50" s="143" t="n"/>
      <c r="C50" s="143" t="n"/>
      <c r="D50" s="143" t="n"/>
      <c r="E50" s="143" t="n"/>
      <c r="F50" s="143" t="n"/>
      <c r="G50" s="143" t="n"/>
      <c r="H50" s="143" t="n"/>
      <c r="I50" s="143" t="n"/>
      <c r="J50" s="143" t="n"/>
      <c r="K50" s="143" t="n"/>
      <c r="L50" s="143" t="n"/>
      <c r="M50" s="143" t="n"/>
      <c r="N50" s="143" t="n"/>
      <c r="O50" s="143" t="n"/>
      <c r="P50" s="143" t="n"/>
      <c r="Q50" s="144" t="n"/>
    </row>
    <row r="51">
      <c r="A51" s="86" t="inlineStr">
        <is>
          <t xml:space="preserve">  ► CATEGORÍA: CODOS, TEES, VÁLVULAS Y COLECTORES MANIFOLD</t>
        </is>
      </c>
      <c r="B51" s="143" t="n"/>
      <c r="C51" s="143" t="n"/>
      <c r="D51" s="143" t="n"/>
      <c r="E51" s="143" t="n"/>
      <c r="F51" s="143" t="n"/>
      <c r="G51" s="143" t="n"/>
      <c r="H51" s="143" t="n"/>
      <c r="I51" s="143" t="n"/>
      <c r="J51" s="143" t="n"/>
      <c r="K51" s="143" t="n"/>
      <c r="L51" s="143" t="n"/>
      <c r="M51" s="143" t="n"/>
      <c r="N51" s="143" t="n"/>
      <c r="O51" s="143" t="n"/>
      <c r="P51" s="143" t="n"/>
      <c r="Q51" s="144" t="n"/>
    </row>
    <row r="52">
      <c r="A52" s="87" t="inlineStr">
        <is>
          <t xml:space="preserve">      • Subcategoría Especificada: Valvulería de Presión y Distribuidores</t>
        </is>
      </c>
      <c r="B52" s="143" t="n"/>
      <c r="C52" s="143" t="n"/>
      <c r="D52" s="143" t="n"/>
      <c r="E52" s="143" t="n"/>
      <c r="F52" s="143" t="n"/>
      <c r="G52" s="143" t="n"/>
      <c r="H52" s="143" t="n"/>
      <c r="I52" s="143" t="n"/>
      <c r="J52" s="143" t="n"/>
      <c r="K52" s="143" t="n"/>
      <c r="L52" s="143" t="n"/>
      <c r="M52" s="143" t="n"/>
      <c r="N52" s="143" t="n"/>
      <c r="O52" s="143" t="n"/>
      <c r="P52" s="143" t="n"/>
      <c r="Q52" s="144" t="n"/>
    </row>
    <row r="53">
      <c r="A53" s="18" t="n">
        <v>33</v>
      </c>
      <c r="B53" s="19" t="inlineStr">
        <is>
          <t xml:space="preserve">        Codo PVC Presión 50mm / 63mm x 90° Encolar</t>
        </is>
      </c>
      <c r="C53" s="20" t="inlineStr">
        <is>
          <t>Residencial / Comercial</t>
        </is>
      </c>
      <c r="D53" s="18" t="inlineStr">
        <is>
          <t>Codos Presión</t>
        </is>
      </c>
      <c r="E53" s="18" t="inlineStr">
        <is>
          <t>U</t>
        </is>
      </c>
      <c r="F53" s="21" t="n">
        <v>30</v>
      </c>
      <c r="G53" s="22" t="n">
        <v>1.8</v>
      </c>
      <c r="H53" s="22" t="n">
        <v>1.85</v>
      </c>
      <c r="I53" s="18" t="inlineStr">
        <is>
          <t>Megametales</t>
        </is>
      </c>
      <c r="J53" s="22" t="n">
        <v>1.98</v>
      </c>
      <c r="K53" s="18" t="inlineStr">
        <is>
          <t>Ferrisariato</t>
        </is>
      </c>
      <c r="L53" s="8">
        <f>F53*G53</f>
        <v/>
      </c>
      <c r="M53" s="145" t="inlineStr">
        <is>
          <t>IS-D20-ACF-PVC-C90-050</t>
        </is>
      </c>
      <c r="N53" s="18" t="inlineStr">
        <is>
          <t>Instalaciones sanitarias (hidrosanitarias)</t>
        </is>
      </c>
      <c r="O53" s="18" t="inlineStr">
        <is>
          <t>Estimado · base original del usuario (sin cotización verificada)</t>
        </is>
      </c>
      <c r="P53" s="18" t="inlineStr">
        <is>
          <t>oct-2026 (est.)</t>
        </is>
      </c>
      <c r="Q53" s="18" t="n"/>
    </row>
    <row r="54">
      <c r="A54" s="70" t="n">
        <v>34</v>
      </c>
      <c r="B54" s="71" t="inlineStr">
        <is>
          <t xml:space="preserve">        Válvula Selectora 3 Vías (Piscina / Jacuzzi)</t>
        </is>
      </c>
      <c r="C54" s="72" t="inlineStr">
        <is>
          <t>Residencial / Comercial</t>
        </is>
      </c>
      <c r="D54" s="70" t="inlineStr">
        <is>
          <t>Válvulas 3 Vías</t>
        </is>
      </c>
      <c r="E54" s="70" t="inlineStr">
        <is>
          <t>U</t>
        </is>
      </c>
      <c r="F54" s="73" t="n">
        <v>2</v>
      </c>
      <c r="G54" s="74" t="n">
        <v>65</v>
      </c>
      <c r="H54" s="74" t="n">
        <v>66.5</v>
      </c>
      <c r="I54" s="70" t="inlineStr">
        <is>
          <t>Megametales / HidroEcuador</t>
        </is>
      </c>
      <c r="J54" s="74" t="n">
        <v>71</v>
      </c>
      <c r="K54" s="70" t="inlineStr">
        <is>
          <t>Kywi / Megakywi</t>
        </is>
      </c>
      <c r="L54" s="75">
        <f>F54*G54</f>
        <v/>
      </c>
      <c r="M54" s="153" t="inlineStr">
        <is>
          <t>IS-F10-PEQ-V3V-DN50</t>
        </is>
      </c>
      <c r="N54" s="70" t="inlineStr">
        <is>
          <t>Instalaciones sanitarias (hidrosanitarias)</t>
        </is>
      </c>
      <c r="O54" s="70" t="inlineStr">
        <is>
          <t>Estimado · base original del usuario (sin cotización verificada)</t>
        </is>
      </c>
      <c r="P54" s="70" t="inlineStr">
        <is>
          <t>oct-2026 (est.)</t>
        </is>
      </c>
      <c r="Q54" s="70" t="n"/>
    </row>
    <row r="55">
      <c r="A55" s="18" t="n">
        <v>35</v>
      </c>
      <c r="B55" s="19" t="inlineStr">
        <is>
          <t xml:space="preserve">        Colector Manifold PVC Distribuidor Jets Jacuzzi</t>
        </is>
      </c>
      <c r="C55" s="20" t="inlineStr">
        <is>
          <t>Residencial / Comercial</t>
        </is>
      </c>
      <c r="D55" s="18" t="inlineStr">
        <is>
          <t>Colectores Manifold</t>
        </is>
      </c>
      <c r="E55" s="18" t="inlineStr">
        <is>
          <t>U</t>
        </is>
      </c>
      <c r="F55" s="21" t="n">
        <v>2</v>
      </c>
      <c r="G55" s="22" t="n">
        <v>38</v>
      </c>
      <c r="H55" s="22" t="n">
        <v>39</v>
      </c>
      <c r="I55" s="18" t="inlineStr">
        <is>
          <t>Megametales / HidroEcuador</t>
        </is>
      </c>
      <c r="J55" s="22" t="n">
        <v>41.5</v>
      </c>
      <c r="K55" s="18" t="inlineStr">
        <is>
          <t>Kywi / Megakywi</t>
        </is>
      </c>
      <c r="L55" s="8">
        <f>F55*G55</f>
        <v/>
      </c>
      <c r="M55" s="145" t="inlineStr">
        <is>
          <t>IS-F10-PEM-MAN-JET</t>
        </is>
      </c>
      <c r="N55" s="18" t="inlineStr">
        <is>
          <t>Instalaciones sanitarias (hidrosanitarias)</t>
        </is>
      </c>
      <c r="O55" s="18" t="inlineStr">
        <is>
          <t>Estimado · base original del usuario (sin cotización verificada)</t>
        </is>
      </c>
      <c r="P55" s="18" t="inlineStr">
        <is>
          <t>oct-2026 (est.)</t>
        </is>
      </c>
      <c r="Q55" s="18" t="n"/>
    </row>
    <row r="56">
      <c r="A56" s="87" t="inlineStr">
        <is>
          <t xml:space="preserve">      • Subcategoría Especificada: Accesorios y Válvulas</t>
        </is>
      </c>
      <c r="B56" s="143" t="n"/>
      <c r="C56" s="143" t="n"/>
      <c r="D56" s="143" t="n"/>
      <c r="E56" s="143" t="n"/>
      <c r="F56" s="143" t="n"/>
      <c r="G56" s="143" t="n"/>
      <c r="H56" s="143" t="n"/>
      <c r="I56" s="143" t="n"/>
      <c r="J56" s="143" t="n"/>
      <c r="K56" s="143" t="n"/>
      <c r="L56" s="143" t="n"/>
      <c r="M56" s="143" t="n"/>
      <c r="N56" s="143" t="n"/>
      <c r="O56" s="143" t="n"/>
      <c r="P56" s="143" t="n"/>
      <c r="Q56" s="144" t="n"/>
    </row>
    <row r="57">
      <c r="A57" s="70" t="n">
        <v>36</v>
      </c>
      <c r="B57" s="71" t="inlineStr">
        <is>
          <t xml:space="preserve">        Tee PVC Presión 50 mm</t>
        </is>
      </c>
      <c r="C57" s="72" t="inlineStr">
        <is>
          <t>Residencial / Comercial</t>
        </is>
      </c>
      <c r="D57" s="70" t="inlineStr">
        <is>
          <t>Tees Presión</t>
        </is>
      </c>
      <c r="E57" s="70" t="inlineStr">
        <is>
          <t>U</t>
        </is>
      </c>
      <c r="F57" s="73" t="n">
        <v>10</v>
      </c>
      <c r="G57" s="74" t="n">
        <v>3.51</v>
      </c>
      <c r="H57" s="74" t="n">
        <v>3.62</v>
      </c>
      <c r="I57" s="70" t="inlineStr">
        <is>
          <t>Megametales</t>
        </is>
      </c>
      <c r="J57" s="74" t="n">
        <v>3.9</v>
      </c>
      <c r="K57" s="70" t="inlineStr">
        <is>
          <t>Kywi / Megakywi</t>
        </is>
      </c>
      <c r="L57" s="75">
        <f>F57*G57</f>
        <v/>
      </c>
      <c r="M57" s="153" t="inlineStr">
        <is>
          <t>IS-D20-ACF-PVC-TEE-050</t>
        </is>
      </c>
      <c r="N57" s="70" t="inlineStr">
        <is>
          <t>Instalaciones sanitarias (hidrosanitarias)</t>
        </is>
      </c>
      <c r="O57" s="70" t="inlineStr">
        <is>
          <t>Estimado DION · criterio de mercado Guayaquil 2026 (no verificado en tienda)</t>
        </is>
      </c>
      <c r="P57" s="70" t="inlineStr">
        <is>
          <t>oct-2026 (est.)</t>
        </is>
      </c>
      <c r="Q57" s="70" t="n"/>
    </row>
    <row r="58">
      <c r="A58" s="18" t="n">
        <v>37</v>
      </c>
      <c r="B58" s="19" t="inlineStr">
        <is>
          <t xml:space="preserve">        Codo PVC Presión 63 mm x 90°</t>
        </is>
      </c>
      <c r="C58" s="20" t="inlineStr">
        <is>
          <t>Residencial / Comercial</t>
        </is>
      </c>
      <c r="D58" s="18" t="inlineStr">
        <is>
          <t>Codos Presión</t>
        </is>
      </c>
      <c r="E58" s="18" t="inlineStr">
        <is>
          <t>U</t>
        </is>
      </c>
      <c r="F58" s="21" t="n">
        <v>10</v>
      </c>
      <c r="G58" s="22" t="n">
        <v>4.6</v>
      </c>
      <c r="H58" s="22" t="n">
        <v>4.83</v>
      </c>
      <c r="I58" s="18" t="inlineStr">
        <is>
          <t>Megametales</t>
        </is>
      </c>
      <c r="J58" s="22" t="n">
        <v>4.92</v>
      </c>
      <c r="K58" s="18" t="inlineStr">
        <is>
          <t>Ferrisariato</t>
        </is>
      </c>
      <c r="L58" s="8">
        <f>F58*G58</f>
        <v/>
      </c>
      <c r="M58" s="145" t="inlineStr">
        <is>
          <t>IS-D20-ACF-PVC-C90-063</t>
        </is>
      </c>
      <c r="N58" s="18" t="inlineStr">
        <is>
          <t>Instalaciones sanitarias (hidrosanitarias)</t>
        </is>
      </c>
      <c r="O58" s="18" t="inlineStr">
        <is>
          <t>Estimado DION · criterio de mercado Guayaquil 2026 (no verificado en tienda)</t>
        </is>
      </c>
      <c r="P58" s="18" t="inlineStr">
        <is>
          <t>oct-2026 (est.)</t>
        </is>
      </c>
      <c r="Q58" s="18" t="n"/>
    </row>
    <row r="59">
      <c r="A59" s="70" t="n">
        <v>38</v>
      </c>
      <c r="B59" s="71" t="inlineStr">
        <is>
          <t xml:space="preserve">        Válvula de Bola PVC 2" Universal (Piscina)</t>
        </is>
      </c>
      <c r="C59" s="72" t="inlineStr">
        <is>
          <t>Residencial / Comercial</t>
        </is>
      </c>
      <c r="D59" s="70" t="inlineStr">
        <is>
          <t>Válvulas Bola PVC</t>
        </is>
      </c>
      <c r="E59" s="70" t="inlineStr">
        <is>
          <t>U</t>
        </is>
      </c>
      <c r="F59" s="73" t="n">
        <v>4</v>
      </c>
      <c r="G59" s="74" t="n">
        <v>24</v>
      </c>
      <c r="H59" s="74" t="n">
        <v>24.96</v>
      </c>
      <c r="I59" s="70" t="inlineStr">
        <is>
          <t>Megametales</t>
        </is>
      </c>
      <c r="J59" s="74" t="n">
        <v>26.4</v>
      </c>
      <c r="K59" s="70" t="inlineStr">
        <is>
          <t>Kywi / Megakywi</t>
        </is>
      </c>
      <c r="L59" s="75">
        <f>F59*G59</f>
        <v/>
      </c>
      <c r="M59" s="153" t="inlineStr">
        <is>
          <t>IS-F10-PEQ-VBP-DN50</t>
        </is>
      </c>
      <c r="N59" s="70" t="inlineStr">
        <is>
          <t>Instalaciones sanitarias (hidrosanitarias)</t>
        </is>
      </c>
      <c r="O59" s="70" t="inlineStr">
        <is>
          <t>Estimado DION · criterio de mercado Guayaquil 2026 (no verificado en tienda)</t>
        </is>
      </c>
      <c r="P59" s="70" t="inlineStr">
        <is>
          <t>oct-2026 (est.)</t>
        </is>
      </c>
      <c r="Q59" s="70" t="n"/>
    </row>
    <row r="60">
      <c r="A60" s="18" t="n">
        <v>39</v>
      </c>
      <c r="B60" s="19" t="inlineStr">
        <is>
          <t xml:space="preserve">        Válvula Check PVC 2" (Piscina)</t>
        </is>
      </c>
      <c r="C60" s="20" t="inlineStr">
        <is>
          <t>Residencial / Comercial</t>
        </is>
      </c>
      <c r="D60" s="18" t="inlineStr">
        <is>
          <t>Válvulas Check PVC</t>
        </is>
      </c>
      <c r="E60" s="18" t="inlineStr">
        <is>
          <t>U</t>
        </is>
      </c>
      <c r="F60" s="21" t="n">
        <v>2</v>
      </c>
      <c r="G60" s="22" t="n">
        <v>32</v>
      </c>
      <c r="H60" s="22" t="n">
        <v>32.96</v>
      </c>
      <c r="I60" s="18" t="inlineStr">
        <is>
          <t>Megametales</t>
        </is>
      </c>
      <c r="J60" s="22" t="n">
        <v>35.2</v>
      </c>
      <c r="K60" s="18" t="inlineStr">
        <is>
          <t>Ferrisariato</t>
        </is>
      </c>
      <c r="L60" s="8">
        <f>F60*G60</f>
        <v/>
      </c>
      <c r="M60" s="145" t="inlineStr">
        <is>
          <t>IS-F10-PEQ-VCK-DN50</t>
        </is>
      </c>
      <c r="N60" s="18" t="inlineStr">
        <is>
          <t>Instalaciones sanitarias (hidrosanitarias)</t>
        </is>
      </c>
      <c r="O60" s="18" t="inlineStr">
        <is>
          <t>Estimado DION · criterio de mercado Guayaquil 2026 (no verificado en tienda)</t>
        </is>
      </c>
      <c r="P60" s="18" t="inlineStr">
        <is>
          <t>oct-2026 (est.)</t>
        </is>
      </c>
      <c r="Q60" s="18" t="n"/>
    </row>
    <row r="61">
      <c r="A61" s="85" t="inlineStr">
        <is>
          <t>EQUIPOS ESPECIALIZADOS</t>
        </is>
      </c>
      <c r="B61" s="143" t="n"/>
      <c r="C61" s="143" t="n"/>
      <c r="D61" s="143" t="n"/>
      <c r="E61" s="143" t="n"/>
      <c r="F61" s="143" t="n"/>
      <c r="G61" s="143" t="n"/>
      <c r="H61" s="143" t="n"/>
      <c r="I61" s="143" t="n"/>
      <c r="J61" s="143" t="n"/>
      <c r="K61" s="143" t="n"/>
      <c r="L61" s="143" t="n"/>
      <c r="M61" s="143" t="n"/>
      <c r="N61" s="143" t="n"/>
      <c r="O61" s="143" t="n"/>
      <c r="P61" s="143" t="n"/>
      <c r="Q61" s="144" t="n"/>
    </row>
    <row r="62">
      <c r="A62" s="86" t="inlineStr">
        <is>
          <t xml:space="preserve">  ► CATEGORÍA: CLORACIÓN SALINA, OZONO, BOMBA DE CALOR E ILUMINACIÓN RGB</t>
        </is>
      </c>
      <c r="B62" s="143" t="n"/>
      <c r="C62" s="143" t="n"/>
      <c r="D62" s="143" t="n"/>
      <c r="E62" s="143" t="n"/>
      <c r="F62" s="143" t="n"/>
      <c r="G62" s="143" t="n"/>
      <c r="H62" s="143" t="n"/>
      <c r="I62" s="143" t="n"/>
      <c r="J62" s="143" t="n"/>
      <c r="K62" s="143" t="n"/>
      <c r="L62" s="143" t="n"/>
      <c r="M62" s="143" t="n"/>
      <c r="N62" s="143" t="n"/>
      <c r="O62" s="143" t="n"/>
      <c r="P62" s="143" t="n"/>
      <c r="Q62" s="144" t="n"/>
    </row>
    <row r="63">
      <c r="A63" s="87" t="inlineStr">
        <is>
          <t xml:space="preserve">      • Subcategoría Especificada: Tratamiento Químico, Climatización y LED IP68</t>
        </is>
      </c>
      <c r="B63" s="143" t="n"/>
      <c r="C63" s="143" t="n"/>
      <c r="D63" s="143" t="n"/>
      <c r="E63" s="143" t="n"/>
      <c r="F63" s="143" t="n"/>
      <c r="G63" s="143" t="n"/>
      <c r="H63" s="143" t="n"/>
      <c r="I63" s="143" t="n"/>
      <c r="J63" s="143" t="n"/>
      <c r="K63" s="143" t="n"/>
      <c r="L63" s="143" t="n"/>
      <c r="M63" s="143" t="n"/>
      <c r="N63" s="143" t="n"/>
      <c r="O63" s="143" t="n"/>
      <c r="P63" s="143" t="n"/>
      <c r="Q63" s="144" t="n"/>
    </row>
    <row r="64">
      <c r="A64" s="70" t="n">
        <v>40</v>
      </c>
      <c r="B64" s="71" t="inlineStr">
        <is>
          <t xml:space="preserve">        Clorador Salino / Electrólisis de Sal hasta 50m3</t>
        </is>
      </c>
      <c r="C64" s="72" t="inlineStr">
        <is>
          <t>Residencial / Comercial</t>
        </is>
      </c>
      <c r="D64" s="70" t="inlineStr">
        <is>
          <t>Cloradores Salinos</t>
        </is>
      </c>
      <c r="E64" s="70" t="inlineStr">
        <is>
          <t>U</t>
        </is>
      </c>
      <c r="F64" s="73" t="n">
        <v>1</v>
      </c>
      <c r="G64" s="74" t="n">
        <v>620</v>
      </c>
      <c r="H64" s="74" t="n">
        <v>635</v>
      </c>
      <c r="I64" s="70" t="inlineStr">
        <is>
          <t>Megametales / HidroEcuador</t>
        </is>
      </c>
      <c r="J64" s="74" t="n">
        <v>665</v>
      </c>
      <c r="K64" s="70" t="inlineStr">
        <is>
          <t>Kywi / Megakywi</t>
        </is>
      </c>
      <c r="L64" s="75">
        <f>F64*G64</f>
        <v/>
      </c>
      <c r="M64" s="153" t="inlineStr">
        <is>
          <t>IS-F10-PEQ-CLS-050M3</t>
        </is>
      </c>
      <c r="N64" s="70" t="inlineStr">
        <is>
          <t>Instalaciones sanitarias (hidrosanitarias)</t>
        </is>
      </c>
      <c r="O64" s="70" t="inlineStr">
        <is>
          <t>Estimado · base original del usuario (sin cotización verificada)</t>
        </is>
      </c>
      <c r="P64" s="70" t="inlineStr">
        <is>
          <t>oct-2026 (est.)</t>
        </is>
      </c>
      <c r="Q64" s="70" t="n"/>
    </row>
    <row r="65">
      <c r="A65" s="18" t="n">
        <v>41</v>
      </c>
      <c r="B65" s="19" t="inlineStr">
        <is>
          <t xml:space="preserve">        Bomba Dosificadora Automática de pH con Sonda</t>
        </is>
      </c>
      <c r="C65" s="20" t="inlineStr">
        <is>
          <t>Residencial / Comercial</t>
        </is>
      </c>
      <c r="D65" s="18" t="inlineStr">
        <is>
          <t>Dosificadores pH</t>
        </is>
      </c>
      <c r="E65" s="18" t="inlineStr">
        <is>
          <t>U</t>
        </is>
      </c>
      <c r="F65" s="21" t="n">
        <v>1</v>
      </c>
      <c r="G65" s="22" t="n">
        <v>210</v>
      </c>
      <c r="H65" s="22" t="n">
        <v>215</v>
      </c>
      <c r="I65" s="18" t="inlineStr">
        <is>
          <t>Megametales / HidroEcuador</t>
        </is>
      </c>
      <c r="J65" s="22" t="n">
        <v>228</v>
      </c>
      <c r="K65" s="18" t="inlineStr">
        <is>
          <t>Ferrisariato</t>
        </is>
      </c>
      <c r="L65" s="8">
        <f>F65*G65</f>
        <v/>
      </c>
      <c r="M65" s="145" t="inlineStr">
        <is>
          <t>IS-F10-PEQ-DPH-AUT</t>
        </is>
      </c>
      <c r="N65" s="18" t="inlineStr">
        <is>
          <t>Instalaciones sanitarias (hidrosanitarias)</t>
        </is>
      </c>
      <c r="O65" s="18" t="inlineStr">
        <is>
          <t>Estimado · base original del usuario (sin cotización verificada)</t>
        </is>
      </c>
      <c r="P65" s="18" t="inlineStr">
        <is>
          <t>oct-2026 (est.)</t>
        </is>
      </c>
      <c r="Q65" s="18" t="n"/>
    </row>
    <row r="66">
      <c r="A66" s="70" t="n">
        <v>42</v>
      </c>
      <c r="B66" s="71" t="inlineStr">
        <is>
          <t xml:space="preserve">        Bomba de Calor Inverter 15kW Climatización Piscina</t>
        </is>
      </c>
      <c r="C66" s="72" t="inlineStr">
        <is>
          <t>Residencial / Comercial</t>
        </is>
      </c>
      <c r="D66" s="70" t="inlineStr">
        <is>
          <t>Bombas de Calor</t>
        </is>
      </c>
      <c r="E66" s="70" t="inlineStr">
        <is>
          <t>U</t>
        </is>
      </c>
      <c r="F66" s="73" t="n">
        <v>1</v>
      </c>
      <c r="G66" s="74" t="n">
        <v>1850</v>
      </c>
      <c r="H66" s="74" t="n">
        <v>1900</v>
      </c>
      <c r="I66" s="70" t="inlineStr">
        <is>
          <t>Megametales / HidroEcuador</t>
        </is>
      </c>
      <c r="J66" s="74" t="n">
        <v>1980</v>
      </c>
      <c r="K66" s="70" t="inlineStr">
        <is>
          <t>Kywi / Megakywi</t>
        </is>
      </c>
      <c r="L66" s="75">
        <f>F66*G66</f>
        <v/>
      </c>
      <c r="M66" s="153" t="inlineStr">
        <is>
          <t>IS-F10-PEQ-BDC-15KW</t>
        </is>
      </c>
      <c r="N66" s="70" t="inlineStr">
        <is>
          <t>Instalaciones sanitarias (hidrosanitarias)</t>
        </is>
      </c>
      <c r="O66" s="70" t="inlineStr">
        <is>
          <t>Estimado · base original del usuario (sin cotización verificada)</t>
        </is>
      </c>
      <c r="P66" s="70" t="inlineStr">
        <is>
          <t>oct-2026 (est.)</t>
        </is>
      </c>
      <c r="Q66" s="70" t="n"/>
    </row>
    <row r="67">
      <c r="A67" s="18" t="n">
        <v>43</v>
      </c>
      <c r="B67" s="19" t="inlineStr">
        <is>
          <t xml:space="preserve">        Foco LED Subacuático RGB Extraplano 18W / 12V IP68</t>
        </is>
      </c>
      <c r="C67" s="20" t="inlineStr">
        <is>
          <t>Residencial / Comercial</t>
        </is>
      </c>
      <c r="D67" s="18" t="inlineStr">
        <is>
          <t>Iluminación Subacuática</t>
        </is>
      </c>
      <c r="E67" s="18" t="inlineStr">
        <is>
          <t>U</t>
        </is>
      </c>
      <c r="F67" s="21" t="n">
        <v>4</v>
      </c>
      <c r="G67" s="22" t="n">
        <v>85</v>
      </c>
      <c r="H67" s="22" t="n">
        <v>88</v>
      </c>
      <c r="I67" s="18" t="inlineStr">
        <is>
          <t>Megametales / HidroEcuador</t>
        </is>
      </c>
      <c r="J67" s="22" t="n">
        <v>94</v>
      </c>
      <c r="K67" s="18" t="inlineStr">
        <is>
          <t>Kywi / Megakywi</t>
        </is>
      </c>
      <c r="L67" s="8">
        <f>F67*G67</f>
        <v/>
      </c>
      <c r="M67" s="145" t="inlineStr">
        <is>
          <t>IE-D50-LUM-SUM-PIS-18W</t>
        </is>
      </c>
      <c r="N67" s="18" t="inlineStr">
        <is>
          <t>Instalaciones eléctricas</t>
        </is>
      </c>
      <c r="O67" s="18" t="inlineStr">
        <is>
          <t>Estimado · base original del usuario (sin cotización verificada)</t>
        </is>
      </c>
      <c r="P67" s="18" t="inlineStr">
        <is>
          <t>oct-2026 (est.)</t>
        </is>
      </c>
      <c r="Q67" s="18" t="n"/>
    </row>
    <row r="68">
      <c r="A68" s="87" t="inlineStr">
        <is>
          <t xml:space="preserve">      • Subcategoría Especificada: Tratamiento y Accesorios de Mantenimiento</t>
        </is>
      </c>
      <c r="B68" s="143" t="n"/>
      <c r="C68" s="143" t="n"/>
      <c r="D68" s="143" t="n"/>
      <c r="E68" s="143" t="n"/>
      <c r="F68" s="143" t="n"/>
      <c r="G68" s="143" t="n"/>
      <c r="H68" s="143" t="n"/>
      <c r="I68" s="143" t="n"/>
      <c r="J68" s="143" t="n"/>
      <c r="K68" s="143" t="n"/>
      <c r="L68" s="143" t="n"/>
      <c r="M68" s="143" t="n"/>
      <c r="N68" s="143" t="n"/>
      <c r="O68" s="143" t="n"/>
      <c r="P68" s="143" t="n"/>
      <c r="Q68" s="144" t="n"/>
    </row>
    <row r="69">
      <c r="A69" s="70" t="n">
        <v>44</v>
      </c>
      <c r="B69" s="71" t="inlineStr">
        <is>
          <t xml:space="preserve">        Generador de Ozono para Piscina hasta 60 m³</t>
        </is>
      </c>
      <c r="C69" s="72" t="inlineStr">
        <is>
          <t>Residencial / Comercial</t>
        </is>
      </c>
      <c r="D69" s="70" t="inlineStr">
        <is>
          <t>Ozono</t>
        </is>
      </c>
      <c r="E69" s="70" t="inlineStr">
        <is>
          <t>U</t>
        </is>
      </c>
      <c r="F69" s="73" t="n">
        <v>0</v>
      </c>
      <c r="G69" s="74" t="n">
        <v>780</v>
      </c>
      <c r="H69" s="74" t="n">
        <v>819</v>
      </c>
      <c r="I69" s="70" t="inlineStr">
        <is>
          <t>Megametales</t>
        </is>
      </c>
      <c r="J69" s="74" t="n">
        <v>850.2</v>
      </c>
      <c r="K69" s="70" t="inlineStr">
        <is>
          <t>Kywi / Megakywi</t>
        </is>
      </c>
      <c r="L69" s="75">
        <f>F69*G69</f>
        <v/>
      </c>
      <c r="M69" s="153" t="inlineStr">
        <is>
          <t>IS-F10-PEQ-OZO-060M3</t>
        </is>
      </c>
      <c r="N69" s="70" t="inlineStr">
        <is>
          <t>Instalaciones sanitarias (hidrosanitarias)</t>
        </is>
      </c>
      <c r="O69" s="70" t="inlineStr">
        <is>
          <t>Estimado DION · criterio de mercado Guayaquil 2026 (no verificado en tienda)</t>
        </is>
      </c>
      <c r="P69" s="70" t="inlineStr">
        <is>
          <t>oct-2026 (est.)</t>
        </is>
      </c>
      <c r="Q69" s="70" t="n"/>
    </row>
    <row r="70">
      <c r="A70" s="18" t="n">
        <v>45</v>
      </c>
      <c r="B70" s="19" t="inlineStr">
        <is>
          <t xml:space="preserve">        Clorador Automático por Tabletas en Línea</t>
        </is>
      </c>
      <c r="C70" s="20" t="inlineStr">
        <is>
          <t>Residencial / Comercial</t>
        </is>
      </c>
      <c r="D70" s="18" t="inlineStr">
        <is>
          <t>Cloradores</t>
        </is>
      </c>
      <c r="E70" s="18" t="inlineStr">
        <is>
          <t>U</t>
        </is>
      </c>
      <c r="F70" s="21" t="n">
        <v>1</v>
      </c>
      <c r="G70" s="22" t="n">
        <v>95</v>
      </c>
      <c r="H70" s="22" t="n">
        <v>96.90000000000001</v>
      </c>
      <c r="I70" s="18" t="inlineStr">
        <is>
          <t>Megametales</t>
        </is>
      </c>
      <c r="J70" s="22" t="n">
        <v>105.45</v>
      </c>
      <c r="K70" s="18" t="inlineStr">
        <is>
          <t>Ferrisariato</t>
        </is>
      </c>
      <c r="L70" s="8">
        <f>F70*G70</f>
        <v/>
      </c>
      <c r="M70" s="145" t="inlineStr">
        <is>
          <t>IS-F10-PEQ-CLT</t>
        </is>
      </c>
      <c r="N70" s="18" t="inlineStr">
        <is>
          <t>Instalaciones sanitarias (hidrosanitarias)</t>
        </is>
      </c>
      <c r="O70" s="18" t="inlineStr">
        <is>
          <t>Estimado DION · criterio de mercado Guayaquil 2026 (no verificado en tienda)</t>
        </is>
      </c>
      <c r="P70" s="18" t="inlineStr">
        <is>
          <t>oct-2026 (est.)</t>
        </is>
      </c>
      <c r="Q70" s="18" t="n"/>
    </row>
    <row r="71">
      <c r="A71" s="70" t="n">
        <v>46</v>
      </c>
      <c r="B71" s="71" t="inlineStr">
        <is>
          <t xml:space="preserve">        Bomba de Calor Inverter 25 kW</t>
        </is>
      </c>
      <c r="C71" s="72" t="inlineStr">
        <is>
          <t>Comercial / Industrial</t>
        </is>
      </c>
      <c r="D71" s="70" t="inlineStr">
        <is>
          <t>Bombas de Calor</t>
        </is>
      </c>
      <c r="E71" s="70" t="inlineStr">
        <is>
          <t>U</t>
        </is>
      </c>
      <c r="F71" s="73" t="n">
        <v>0</v>
      </c>
      <c r="G71" s="74" t="n">
        <v>3100</v>
      </c>
      <c r="H71" s="74" t="n">
        <v>3224</v>
      </c>
      <c r="I71" s="70" t="inlineStr">
        <is>
          <t>Megametales</t>
        </is>
      </c>
      <c r="J71" s="74" t="n">
        <v>3317</v>
      </c>
      <c r="K71" s="70" t="inlineStr">
        <is>
          <t>Kywi / Megakywi</t>
        </is>
      </c>
      <c r="L71" s="75">
        <f>F71*G71</f>
        <v/>
      </c>
      <c r="M71" s="153" t="inlineStr">
        <is>
          <t>IS-F10-PEQ-BDC-25KW</t>
        </is>
      </c>
      <c r="N71" s="70" t="inlineStr">
        <is>
          <t>Instalaciones sanitarias (hidrosanitarias)</t>
        </is>
      </c>
      <c r="O71" s="70" t="inlineStr">
        <is>
          <t>Estimado DION · criterio de mercado Guayaquil 2026 (no verificado en tienda)</t>
        </is>
      </c>
      <c r="P71" s="70" t="inlineStr">
        <is>
          <t>oct-2026 (est.)</t>
        </is>
      </c>
      <c r="Q71" s="70" t="n"/>
    </row>
    <row r="72">
      <c r="A72" s="18" t="n">
        <v>47</v>
      </c>
      <c r="B72" s="19" t="inlineStr">
        <is>
          <t xml:space="preserve">        Cobertor Solar Térmico (m²)</t>
        </is>
      </c>
      <c r="C72" s="20" t="inlineStr">
        <is>
          <t>Residencial / Comercial</t>
        </is>
      </c>
      <c r="D72" s="18" t="inlineStr">
        <is>
          <t>Cobertores</t>
        </is>
      </c>
      <c r="E72" s="18" t="inlineStr">
        <is>
          <t>m2</t>
        </is>
      </c>
      <c r="F72" s="21" t="n">
        <v>30</v>
      </c>
      <c r="G72" s="22" t="n">
        <v>4.5</v>
      </c>
      <c r="H72" s="22" t="n">
        <v>4.63</v>
      </c>
      <c r="I72" s="18" t="inlineStr">
        <is>
          <t>Megametales</t>
        </is>
      </c>
      <c r="J72" s="22" t="n">
        <v>4.95</v>
      </c>
      <c r="K72" s="18" t="inlineStr">
        <is>
          <t>Ferrisariato</t>
        </is>
      </c>
      <c r="L72" s="8">
        <f>F72*G72</f>
        <v/>
      </c>
      <c r="M72" s="145" t="inlineStr">
        <is>
          <t>IS-F10-PEQ-COB-SOL</t>
        </is>
      </c>
      <c r="N72" s="18" t="inlineStr">
        <is>
          <t>Instalaciones sanitarias (hidrosanitarias)</t>
        </is>
      </c>
      <c r="O72" s="18" t="inlineStr">
        <is>
          <t>Estimado DION · criterio de mercado Guayaquil 2026 (no verificado en tienda)</t>
        </is>
      </c>
      <c r="P72" s="18" t="inlineStr">
        <is>
          <t>oct-2026 (est.)</t>
        </is>
      </c>
      <c r="Q72" s="18" t="n">
        <v>5</v>
      </c>
    </row>
    <row r="73">
      <c r="A73" s="70" t="n">
        <v>48</v>
      </c>
      <c r="B73" s="71" t="inlineStr">
        <is>
          <t xml:space="preserve">        Kit de Limpieza (Barredera, Cepillo, Recogehojas, Manguera)</t>
        </is>
      </c>
      <c r="C73" s="72" t="inlineStr">
        <is>
          <t>Residencial / Comercial</t>
        </is>
      </c>
      <c r="D73" s="70" t="inlineStr">
        <is>
          <t>Mantenimiento</t>
        </is>
      </c>
      <c r="E73" s="70" t="inlineStr">
        <is>
          <t>Juego</t>
        </is>
      </c>
      <c r="F73" s="73" t="n">
        <v>1</v>
      </c>
      <c r="G73" s="74" t="n">
        <v>165</v>
      </c>
      <c r="H73" s="74" t="n">
        <v>173.25</v>
      </c>
      <c r="I73" s="70" t="inlineStr">
        <is>
          <t>Megametales</t>
        </is>
      </c>
      <c r="J73" s="74" t="n">
        <v>179.85</v>
      </c>
      <c r="K73" s="70" t="inlineStr">
        <is>
          <t>Kywi / Megakywi</t>
        </is>
      </c>
      <c r="L73" s="75">
        <f>F73*G73</f>
        <v/>
      </c>
      <c r="M73" s="153" t="inlineStr">
        <is>
          <t>IS-F10-PEQ-KIT-LIM</t>
        </is>
      </c>
      <c r="N73" s="70" t="inlineStr">
        <is>
          <t>Instalaciones sanitarias (hidrosanitarias)</t>
        </is>
      </c>
      <c r="O73" s="70" t="inlineStr">
        <is>
          <t>Estimado DION · criterio de mercado Guayaquil 2026 (no verificado en tienda)</t>
        </is>
      </c>
      <c r="P73" s="70" t="inlineStr">
        <is>
          <t>oct-2026 (est.)</t>
        </is>
      </c>
      <c r="Q73" s="70" t="n"/>
    </row>
    <row r="74">
      <c r="A74" s="18" t="n">
        <v>49</v>
      </c>
      <c r="B74" s="19" t="inlineStr">
        <is>
          <t xml:space="preserve">        Robot Limpiafondos Automático</t>
        </is>
      </c>
      <c r="C74" s="20" t="inlineStr">
        <is>
          <t>Residencial / Comercial</t>
        </is>
      </c>
      <c r="D74" s="18" t="inlineStr">
        <is>
          <t>Mantenimiento</t>
        </is>
      </c>
      <c r="E74" s="18" t="inlineStr">
        <is>
          <t>U</t>
        </is>
      </c>
      <c r="F74" s="21" t="n">
        <v>0</v>
      </c>
      <c r="G74" s="22" t="n">
        <v>850</v>
      </c>
      <c r="H74" s="22" t="n">
        <v>867</v>
      </c>
      <c r="I74" s="18" t="inlineStr">
        <is>
          <t>Megametales</t>
        </is>
      </c>
      <c r="J74" s="22" t="n">
        <v>935</v>
      </c>
      <c r="K74" s="18" t="inlineStr">
        <is>
          <t>Ferrisariato</t>
        </is>
      </c>
      <c r="L74" s="8">
        <f>F74*G74</f>
        <v/>
      </c>
      <c r="M74" s="145" t="inlineStr">
        <is>
          <t>IS-F10-PEQ-ROB</t>
        </is>
      </c>
      <c r="N74" s="18" t="inlineStr">
        <is>
          <t>Instalaciones sanitarias (hidrosanitarias)</t>
        </is>
      </c>
      <c r="O74" s="18" t="inlineStr">
        <is>
          <t>Estimado DION · criterio de mercado Guayaquil 2026 (no verificado en tienda)</t>
        </is>
      </c>
      <c r="P74" s="18" t="inlineStr">
        <is>
          <t>oct-2026 (est.)</t>
        </is>
      </c>
      <c r="Q74" s="18" t="n"/>
    </row>
    <row r="75">
      <c r="A75" s="70" t="n">
        <v>50</v>
      </c>
      <c r="B75" s="71" t="inlineStr">
        <is>
          <t xml:space="preserve">        Tablero Eléctrico de Piscina con Temporizador y GFCI</t>
        </is>
      </c>
      <c r="C75" s="72" t="inlineStr">
        <is>
          <t>Residencial / Comercial</t>
        </is>
      </c>
      <c r="D75" s="70" t="inlineStr">
        <is>
          <t>Tableros Piscina</t>
        </is>
      </c>
      <c r="E75" s="70" t="inlineStr">
        <is>
          <t>U</t>
        </is>
      </c>
      <c r="F75" s="73" t="n">
        <v>1</v>
      </c>
      <c r="G75" s="74" t="n">
        <v>280</v>
      </c>
      <c r="H75" s="74" t="n">
        <v>288.4</v>
      </c>
      <c r="I75" s="70" t="inlineStr">
        <is>
          <t>Megametales</t>
        </is>
      </c>
      <c r="J75" s="74" t="n">
        <v>299.6</v>
      </c>
      <c r="K75" s="70" t="inlineStr">
        <is>
          <t>Kywi / Megakywi</t>
        </is>
      </c>
      <c r="L75" s="75">
        <f>F75*G75</f>
        <v/>
      </c>
      <c r="M75" s="153" t="inlineStr">
        <is>
          <t>IS-F10-PEQ-TAB</t>
        </is>
      </c>
      <c r="N75" s="70" t="inlineStr">
        <is>
          <t>Instalaciones sanitarias (hidrosanitarias)</t>
        </is>
      </c>
      <c r="O75" s="70" t="inlineStr">
        <is>
          <t>Estimado DION · criterio de mercado Guayaquil 2026 (no verificado en tienda)</t>
        </is>
      </c>
      <c r="P75" s="70" t="inlineStr">
        <is>
          <t>oct-2026 (est.)</t>
        </is>
      </c>
      <c r="Q75" s="70" t="n"/>
    </row>
    <row r="76">
      <c r="A76" s="18" t="n">
        <v>51</v>
      </c>
      <c r="B76" s="19" t="inlineStr">
        <is>
          <t xml:space="preserve">        Transformador de Seguridad 12V 300VA (Focos)</t>
        </is>
      </c>
      <c r="C76" s="20" t="inlineStr">
        <is>
          <t>Residencial / Comercial</t>
        </is>
      </c>
      <c r="D76" s="18" t="inlineStr">
        <is>
          <t>Transformadores</t>
        </is>
      </c>
      <c r="E76" s="18" t="inlineStr">
        <is>
          <t>U</t>
        </is>
      </c>
      <c r="F76" s="21" t="n">
        <v>1</v>
      </c>
      <c r="G76" s="22" t="n">
        <v>120</v>
      </c>
      <c r="H76" s="22" t="n">
        <v>122.4</v>
      </c>
      <c r="I76" s="18" t="inlineStr">
        <is>
          <t>Megametales</t>
        </is>
      </c>
      <c r="J76" s="22" t="n">
        <v>132</v>
      </c>
      <c r="K76" s="18" t="inlineStr">
        <is>
          <t>Ferrisariato</t>
        </is>
      </c>
      <c r="L76" s="8">
        <f>F76*G76</f>
        <v/>
      </c>
      <c r="M76" s="145" t="inlineStr">
        <is>
          <t>IS-F10-PEQ-TRF-300VA</t>
        </is>
      </c>
      <c r="N76" s="18" t="inlineStr">
        <is>
          <t>Instalaciones sanitarias (hidrosanitarias)</t>
        </is>
      </c>
      <c r="O76" s="18" t="inlineStr">
        <is>
          <t>Estimado DION · criterio de mercado Guayaquil 2026 (no verificado en tienda)</t>
        </is>
      </c>
      <c r="P76" s="18" t="inlineStr">
        <is>
          <t>oct-2026 (est.)</t>
        </is>
      </c>
      <c r="Q76" s="18" t="n"/>
    </row>
    <row r="77">
      <c r="A77" s="10" t="n"/>
      <c r="B77" s="147" t="inlineStr">
        <is>
          <t>TOTAL BASE DE DATOS INSTALACIONES DE PISCINA (ESTIMADO)</t>
        </is>
      </c>
      <c r="C77" s="148" t="n"/>
      <c r="D77" s="148" t="n"/>
      <c r="E77" s="148" t="n"/>
      <c r="F77" s="148" t="n"/>
      <c r="G77" s="148" t="n"/>
      <c r="H77" s="148" t="n"/>
      <c r="I77" s="148" t="n"/>
      <c r="J77" s="148" t="n"/>
      <c r="K77" s="148" t="n"/>
      <c r="L77" s="30">
        <f>SUM(L6:L76)</f>
        <v/>
      </c>
      <c r="M77" s="30" t="n"/>
      <c r="N77" s="30" t="n"/>
      <c r="O77" s="30" t="n"/>
      <c r="P77" s="30" t="n"/>
      <c r="Q77" s="30" t="n"/>
    </row>
  </sheetData>
  <mergeCells count="21">
    <mergeCell ref="A56:Q56"/>
    <mergeCell ref="A21:Q21"/>
    <mergeCell ref="A39:Q39"/>
    <mergeCell ref="A34:Q34"/>
    <mergeCell ref="A50:Q50"/>
    <mergeCell ref="A26:Q26"/>
    <mergeCell ref="B77:K77"/>
    <mergeCell ref="A33:Q33"/>
    <mergeCell ref="A51:Q51"/>
    <mergeCell ref="A23:Q23"/>
    <mergeCell ref="A32:Q32"/>
    <mergeCell ref="A14:Q14"/>
    <mergeCell ref="A8:Q8"/>
    <mergeCell ref="A6:Q6"/>
    <mergeCell ref="A22:Q22"/>
    <mergeCell ref="A61:Q61"/>
    <mergeCell ref="A7:Q7"/>
    <mergeCell ref="A62:Q62"/>
    <mergeCell ref="A52:Q52"/>
    <mergeCell ref="A68:Q68"/>
    <mergeCell ref="A63:Q63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95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8" customWidth="1" min="2" max="2"/>
    <col width="30" customWidth="1" min="3" max="3"/>
    <col width="32" customWidth="1" min="4" max="4"/>
    <col width="8" customWidth="1" min="5" max="5"/>
    <col width="10" customWidth="1" min="6" max="6"/>
    <col width="15" customWidth="1" min="7" max="7"/>
    <col width="16" customWidth="1" min="8" max="8"/>
    <col width="22" customWidth="1" min="9" max="9"/>
    <col width="16" customWidth="1" min="10" max="10"/>
    <col width="20" customWidth="1" min="11" max="11"/>
    <col width="16" customWidth="1" min="12" max="12"/>
    <col width="27" customWidth="1" min="13" max="13"/>
    <col width="30" customWidth="1" min="14" max="14"/>
    <col width="44" customWidth="1" min="15" max="15"/>
    <col width="15" customWidth="1" min="16" max="16"/>
    <col width="14" customWidth="1" min="17" max="17"/>
  </cols>
  <sheetData>
    <row r="1">
      <c r="A1" s="1" t="inlineStr">
        <is>
          <t>BASE DE DATOS COMPLETA DE CATALOGACIÓN: ESTRUCTURAS METÁLICAS</t>
        </is>
      </c>
    </row>
    <row r="2">
      <c r="A2" s="2" t="inlineStr">
        <is>
          <t>Estructura Jerárquica Homogénea: Accesorios &gt; Tuberías &gt; Equipos &gt; Conexiones &gt; Equipos Especializados | Degradé por Niveles (Ecuador - USD)</t>
        </is>
      </c>
    </row>
    <row r="3">
      <c r="A3" s="13" t="inlineStr">
        <is>
          <t>« Volver al Índice General</t>
        </is>
      </c>
    </row>
    <row r="5" ht="30" customHeight="1">
      <c r="A5" s="4" t="inlineStr">
        <is>
          <t>Item</t>
        </is>
      </c>
      <c r="B5" s="4" t="inlineStr">
        <is>
          <t>Descripción de Accesorio / Ítem Especificado</t>
        </is>
      </c>
      <c r="C5" s="4" t="inlineStr">
        <is>
          <t>Clasificación / Ámbito de Uso
(Residencial/Comercial/Industrial)</t>
        </is>
      </c>
      <c r="D5" s="4" t="inlineStr">
        <is>
          <t>Tipo / Familia</t>
        </is>
      </c>
      <c r="E5" s="4" t="inlineStr">
        <is>
          <t>Unidad</t>
        </is>
      </c>
      <c r="F5" s="4" t="inlineStr">
        <is>
          <t>Cant.</t>
        </is>
      </c>
      <c r="G5" s="4" t="inlineStr">
        <is>
          <t>P. Ref. Est. ($)</t>
        </is>
      </c>
      <c r="H5" s="4" t="inlineStr">
        <is>
          <t>P. Unit. Local A ($)
(Megametales)</t>
        </is>
      </c>
      <c r="I5" s="4" t="inlineStr">
        <is>
          <t>Local A
Especificado</t>
        </is>
      </c>
      <c r="J5" s="4" t="inlineStr">
        <is>
          <t>P. Unit. Local B ($)
(Kywi/Ferrisariato)</t>
        </is>
      </c>
      <c r="K5" s="4" t="inlineStr">
        <is>
          <t>Local B
Especificado</t>
        </is>
      </c>
      <c r="L5" s="4" t="inlineStr">
        <is>
          <t>Subtotal Est. ($)</t>
        </is>
      </c>
      <c r="M5" s="4" t="inlineStr">
        <is>
          <t>Código DION</t>
        </is>
      </c>
      <c r="N5" s="4" t="inlineStr">
        <is>
          <t>Disciplina</t>
        </is>
      </c>
      <c r="O5" s="4" t="inlineStr">
        <is>
          <t>Fuente del precio</t>
        </is>
      </c>
      <c r="P5" s="4" t="inlineStr">
        <is>
          <t>Fecha precio</t>
        </is>
      </c>
      <c r="Q5" s="4" t="inlineStr">
        <is>
          <t>Rendimiento /
desperdicio %</t>
        </is>
      </c>
    </row>
    <row r="6">
      <c r="A6" s="88" t="inlineStr">
        <is>
          <t>ACCESORIOS</t>
        </is>
      </c>
      <c r="B6" s="143" t="n"/>
      <c r="C6" s="143" t="n"/>
      <c r="D6" s="143" t="n"/>
      <c r="E6" s="143" t="n"/>
      <c r="F6" s="143" t="n"/>
      <c r="G6" s="143" t="n"/>
      <c r="H6" s="143" t="n"/>
      <c r="I6" s="143" t="n"/>
      <c r="J6" s="143" t="n"/>
      <c r="K6" s="143" t="n"/>
      <c r="L6" s="143" t="n"/>
      <c r="M6" s="143" t="n"/>
      <c r="N6" s="143" t="n"/>
      <c r="O6" s="143" t="n"/>
      <c r="P6" s="143" t="n"/>
      <c r="Q6" s="144" t="n"/>
    </row>
    <row r="7">
      <c r="A7" s="50" t="inlineStr">
        <is>
          <t xml:space="preserve">  ► CATEGORÍA: PLANCHAS Y PLACAS DE ASIENTO</t>
        </is>
      </c>
      <c r="B7" s="143" t="n"/>
      <c r="C7" s="143" t="n"/>
      <c r="D7" s="143" t="n"/>
      <c r="E7" s="143" t="n"/>
      <c r="F7" s="143" t="n"/>
      <c r="G7" s="143" t="n"/>
      <c r="H7" s="143" t="n"/>
      <c r="I7" s="143" t="n"/>
      <c r="J7" s="143" t="n"/>
      <c r="K7" s="143" t="n"/>
      <c r="L7" s="143" t="n"/>
      <c r="M7" s="143" t="n"/>
      <c r="N7" s="143" t="n"/>
      <c r="O7" s="143" t="n"/>
      <c r="P7" s="143" t="n"/>
      <c r="Q7" s="144" t="n"/>
    </row>
    <row r="8">
      <c r="A8" s="89" t="inlineStr">
        <is>
          <t xml:space="preserve">      • Subcategoría Especificada: Planchas A36 Base y Cartelas</t>
        </is>
      </c>
      <c r="B8" s="143" t="n"/>
      <c r="C8" s="143" t="n"/>
      <c r="D8" s="143" t="n"/>
      <c r="E8" s="143" t="n"/>
      <c r="F8" s="143" t="n"/>
      <c r="G8" s="143" t="n"/>
      <c r="H8" s="143" t="n"/>
      <c r="I8" s="143" t="n"/>
      <c r="J8" s="143" t="n"/>
      <c r="K8" s="143" t="n"/>
      <c r="L8" s="143" t="n"/>
      <c r="M8" s="143" t="n"/>
      <c r="N8" s="143" t="n"/>
      <c r="O8" s="143" t="n"/>
      <c r="P8" s="143" t="n"/>
      <c r="Q8" s="144" t="n"/>
    </row>
    <row r="9">
      <c r="A9" s="18" t="n">
        <v>1</v>
      </c>
      <c r="B9" s="19" t="inlineStr">
        <is>
          <t xml:space="preserve">        Plancha de Acero A36 10mm Base de Columna (40x40cm)</t>
        </is>
      </c>
      <c r="C9" s="20" t="inlineStr">
        <is>
          <t>Residencial / Comercial</t>
        </is>
      </c>
      <c r="D9" s="18" t="inlineStr">
        <is>
          <t>Placas Base</t>
        </is>
      </c>
      <c r="E9" s="18" t="inlineStr">
        <is>
          <t>U</t>
        </is>
      </c>
      <c r="F9" s="21" t="n">
        <v>8</v>
      </c>
      <c r="G9" s="22" t="n">
        <v>38</v>
      </c>
      <c r="H9" s="22" t="n">
        <v>39.5</v>
      </c>
      <c r="I9" s="18" t="inlineStr">
        <is>
          <t>Megametales</t>
        </is>
      </c>
      <c r="J9" s="22" t="n">
        <v>42</v>
      </c>
      <c r="K9" s="18" t="inlineStr">
        <is>
          <t>Ferrisariato</t>
        </is>
      </c>
      <c r="L9" s="8">
        <f>F9*G9</f>
        <v/>
      </c>
      <c r="M9" s="145" t="inlineStr">
        <is>
          <t>S-B10-CNX-PBA-400X400X10</t>
        </is>
      </c>
      <c r="N9" s="18" t="inlineStr">
        <is>
          <t>Estructuras</t>
        </is>
      </c>
      <c r="O9" s="18" t="inlineStr">
        <is>
          <t>Estimado · base original del usuario (sin cotización verificada)</t>
        </is>
      </c>
      <c r="P9" s="18" t="inlineStr">
        <is>
          <t>oct-2026 (est.)</t>
        </is>
      </c>
      <c r="Q9" s="18" t="n"/>
    </row>
    <row r="10">
      <c r="A10" s="90" t="n">
        <v>2</v>
      </c>
      <c r="B10" s="91" t="inlineStr">
        <is>
          <t xml:space="preserve">        Cartelas de Refuerzo A36 6mm Corte Plasma</t>
        </is>
      </c>
      <c r="C10" s="92" t="inlineStr">
        <is>
          <t>Comercial / Industrial</t>
        </is>
      </c>
      <c r="D10" s="90" t="inlineStr">
        <is>
          <t>Cartelas Refuerzo</t>
        </is>
      </c>
      <c r="E10" s="90" t="inlineStr">
        <is>
          <t>U</t>
        </is>
      </c>
      <c r="F10" s="93" t="n">
        <v>24</v>
      </c>
      <c r="G10" s="94" t="n">
        <v>8.5</v>
      </c>
      <c r="H10" s="94" t="n">
        <v>8.800000000000001</v>
      </c>
      <c r="I10" s="90" t="inlineStr">
        <is>
          <t>Megametales</t>
        </is>
      </c>
      <c r="J10" s="94" t="n">
        <v>9.5</v>
      </c>
      <c r="K10" s="90" t="inlineStr">
        <is>
          <t>Ferrisariato</t>
        </is>
      </c>
      <c r="L10" s="95">
        <f>F10*G10</f>
        <v/>
      </c>
      <c r="M10" s="155" t="inlineStr">
        <is>
          <t>S-B10-CNX-CAR-GUS</t>
        </is>
      </c>
      <c r="N10" s="90" t="inlineStr">
        <is>
          <t>Estructuras</t>
        </is>
      </c>
      <c r="O10" s="90" t="inlineStr">
        <is>
          <t>Estimado · base original del usuario (sin cotización verificada)</t>
        </is>
      </c>
      <c r="P10" s="90" t="inlineStr">
        <is>
          <t>oct-2026 (est.)</t>
        </is>
      </c>
      <c r="Q10" s="90" t="n"/>
    </row>
    <row r="11">
      <c r="A11" s="89" t="inlineStr">
        <is>
          <t xml:space="preserve">      • Subcategoría Especificada: Planchas por Espesor (2–25 mm) y Placas Base Fabricadas</t>
        </is>
      </c>
      <c r="B11" s="143" t="n"/>
      <c r="C11" s="143" t="n"/>
      <c r="D11" s="143" t="n"/>
      <c r="E11" s="143" t="n"/>
      <c r="F11" s="143" t="n"/>
      <c r="G11" s="143" t="n"/>
      <c r="H11" s="143" t="n"/>
      <c r="I11" s="143" t="n"/>
      <c r="J11" s="143" t="n"/>
      <c r="K11" s="143" t="n"/>
      <c r="L11" s="143" t="n"/>
      <c r="M11" s="143" t="n"/>
      <c r="N11" s="143" t="n"/>
      <c r="O11" s="143" t="n"/>
      <c r="P11" s="143" t="n"/>
      <c r="Q11" s="144" t="n"/>
    </row>
    <row r="12">
      <c r="A12" s="18" t="n">
        <v>3</v>
      </c>
      <c r="B12" s="19" t="inlineStr">
        <is>
          <t xml:space="preserve">        Plancha Acero A36 2 mm 1.22x2.44 m</t>
        </is>
      </c>
      <c r="C12" s="20" t="inlineStr">
        <is>
          <t>Residencial / Comercial / Ind</t>
        </is>
      </c>
      <c r="D12" s="18" t="inlineStr">
        <is>
          <t>Planchas A36</t>
        </is>
      </c>
      <c r="E12" s="18" t="inlineStr">
        <is>
          <t>U</t>
        </is>
      </c>
      <c r="F12" s="21" t="n">
        <v>2</v>
      </c>
      <c r="G12" s="22" t="n">
        <v>68.81999999999999</v>
      </c>
      <c r="H12" s="22" t="n">
        <v>71.56999999999999</v>
      </c>
      <c r="I12" s="18" t="inlineStr">
        <is>
          <t>Megametales</t>
        </is>
      </c>
      <c r="J12" s="22" t="n">
        <v>73.64</v>
      </c>
      <c r="K12" s="18" t="inlineStr">
        <is>
          <t>Ferrisariato</t>
        </is>
      </c>
      <c r="L12" s="8">
        <f>F12*G12</f>
        <v/>
      </c>
      <c r="M12" s="145" t="inlineStr">
        <is>
          <t>S-B10-PLN-A36-002</t>
        </is>
      </c>
      <c r="N12" s="18" t="inlineStr">
        <is>
          <t>Estructuras</t>
        </is>
      </c>
      <c r="O12" s="18" t="inlineStr">
        <is>
          <t>Estimado DION · criterio de mercado Guayaquil 2026 (no verificado en tienda)</t>
        </is>
      </c>
      <c r="P12" s="18" t="inlineStr">
        <is>
          <t>oct-2026 (est.)</t>
        </is>
      </c>
      <c r="Q12" s="18" t="n">
        <v>8</v>
      </c>
    </row>
    <row r="13">
      <c r="A13" s="90" t="n">
        <v>4</v>
      </c>
      <c r="B13" s="91" t="inlineStr">
        <is>
          <t xml:space="preserve">        Plancha Acero A36 3 mm 1.22x2.44 m</t>
        </is>
      </c>
      <c r="C13" s="92" t="inlineStr">
        <is>
          <t>Residencial / Comercial / Ind</t>
        </is>
      </c>
      <c r="D13" s="90" t="inlineStr">
        <is>
          <t>Planchas A36</t>
        </is>
      </c>
      <c r="E13" s="90" t="inlineStr">
        <is>
          <t>U</t>
        </is>
      </c>
      <c r="F13" s="93" t="n">
        <v>2</v>
      </c>
      <c r="G13" s="94" t="n">
        <v>103.23</v>
      </c>
      <c r="H13" s="94" t="n">
        <v>108.39</v>
      </c>
      <c r="I13" s="90" t="inlineStr">
        <is>
          <t>Megametales</t>
        </is>
      </c>
      <c r="J13" s="94" t="n">
        <v>112.52</v>
      </c>
      <c r="K13" s="90" t="inlineStr">
        <is>
          <t>Kywi / Megakywi</t>
        </is>
      </c>
      <c r="L13" s="95">
        <f>F13*G13</f>
        <v/>
      </c>
      <c r="M13" s="155" t="inlineStr">
        <is>
          <t>S-B10-PLN-A36-003</t>
        </is>
      </c>
      <c r="N13" s="90" t="inlineStr">
        <is>
          <t>Estructuras</t>
        </is>
      </c>
      <c r="O13" s="90" t="inlineStr">
        <is>
          <t>Estimado DION · criterio de mercado Guayaquil 2026 (no verificado en tienda)</t>
        </is>
      </c>
      <c r="P13" s="90" t="inlineStr">
        <is>
          <t>oct-2026 (est.)</t>
        </is>
      </c>
      <c r="Q13" s="90" t="n">
        <v>8</v>
      </c>
    </row>
    <row r="14">
      <c r="A14" s="18" t="n">
        <v>5</v>
      </c>
      <c r="B14" s="19" t="inlineStr">
        <is>
          <t xml:space="preserve">        Plancha Acero A36 4 mm 1.22x2.44 m</t>
        </is>
      </c>
      <c r="C14" s="20" t="inlineStr">
        <is>
          <t>Residencial / Comercial / Ind</t>
        </is>
      </c>
      <c r="D14" s="18" t="inlineStr">
        <is>
          <t>Planchas A36</t>
        </is>
      </c>
      <c r="E14" s="18" t="inlineStr">
        <is>
          <t>U</t>
        </is>
      </c>
      <c r="F14" s="21" t="n">
        <v>2</v>
      </c>
      <c r="G14" s="22" t="n">
        <v>137.64</v>
      </c>
      <c r="H14" s="22" t="n">
        <v>141.77</v>
      </c>
      <c r="I14" s="18" t="inlineStr">
        <is>
          <t>Megametales</t>
        </is>
      </c>
      <c r="J14" s="22" t="n">
        <v>147.27</v>
      </c>
      <c r="K14" s="18" t="inlineStr">
        <is>
          <t>Ferrisariato</t>
        </is>
      </c>
      <c r="L14" s="8">
        <f>F14*G14</f>
        <v/>
      </c>
      <c r="M14" s="145" t="inlineStr">
        <is>
          <t>S-B10-PLN-A36-004</t>
        </is>
      </c>
      <c r="N14" s="18" t="inlineStr">
        <is>
          <t>Estructuras</t>
        </is>
      </c>
      <c r="O14" s="18" t="inlineStr">
        <is>
          <t>Estimado DION · criterio de mercado Guayaquil 2026 (no verificado en tienda)</t>
        </is>
      </c>
      <c r="P14" s="18" t="inlineStr">
        <is>
          <t>oct-2026 (est.)</t>
        </is>
      </c>
      <c r="Q14" s="18" t="n">
        <v>8</v>
      </c>
    </row>
    <row r="15">
      <c r="A15" s="90" t="n">
        <v>6</v>
      </c>
      <c r="B15" s="91" t="inlineStr">
        <is>
          <t xml:space="preserve">        Plancha Acero A36 6 mm 1.22x2.44 m</t>
        </is>
      </c>
      <c r="C15" s="92" t="inlineStr">
        <is>
          <t>Residencial / Comercial / Ind</t>
        </is>
      </c>
      <c r="D15" s="90" t="inlineStr">
        <is>
          <t>Planchas A36</t>
        </is>
      </c>
      <c r="E15" s="90" t="inlineStr">
        <is>
          <t>U</t>
        </is>
      </c>
      <c r="F15" s="93" t="n">
        <v>2</v>
      </c>
      <c r="G15" s="94" t="n">
        <v>206.46</v>
      </c>
      <c r="H15" s="94" t="n">
        <v>216.78</v>
      </c>
      <c r="I15" s="90" t="inlineStr">
        <is>
          <t>Megametales</t>
        </is>
      </c>
      <c r="J15" s="94" t="n">
        <v>222.98</v>
      </c>
      <c r="K15" s="90" t="inlineStr">
        <is>
          <t>Kywi / Megakywi</t>
        </is>
      </c>
      <c r="L15" s="95">
        <f>F15*G15</f>
        <v/>
      </c>
      <c r="M15" s="155" t="inlineStr">
        <is>
          <t>S-B10-PLN-A36-006</t>
        </is>
      </c>
      <c r="N15" s="90" t="inlineStr">
        <is>
          <t>Estructuras</t>
        </is>
      </c>
      <c r="O15" s="90" t="inlineStr">
        <is>
          <t>Estimado DION · criterio de mercado Guayaquil 2026 (no verificado en tienda)</t>
        </is>
      </c>
      <c r="P15" s="90" t="inlineStr">
        <is>
          <t>oct-2026 (est.)</t>
        </is>
      </c>
      <c r="Q15" s="90" t="n">
        <v>8</v>
      </c>
    </row>
    <row r="16">
      <c r="A16" s="18" t="n">
        <v>7</v>
      </c>
      <c r="B16" s="19" t="inlineStr">
        <is>
          <t xml:space="preserve">        Plancha Acero A36 8 mm 1.22x2.44 m</t>
        </is>
      </c>
      <c r="C16" s="20" t="inlineStr">
        <is>
          <t>Residencial / Comercial / Ind</t>
        </is>
      </c>
      <c r="D16" s="18" t="inlineStr">
        <is>
          <t>Planchas A36</t>
        </is>
      </c>
      <c r="E16" s="18" t="inlineStr">
        <is>
          <t>U</t>
        </is>
      </c>
      <c r="F16" s="21" t="n">
        <v>1</v>
      </c>
      <c r="G16" s="22" t="n">
        <v>275.27</v>
      </c>
      <c r="H16" s="22" t="n">
        <v>286.28</v>
      </c>
      <c r="I16" s="18" t="inlineStr">
        <is>
          <t>Megametales</t>
        </is>
      </c>
      <c r="J16" s="22" t="n">
        <v>294.54</v>
      </c>
      <c r="K16" s="18" t="inlineStr">
        <is>
          <t>Ferrisariato</t>
        </is>
      </c>
      <c r="L16" s="8">
        <f>F16*G16</f>
        <v/>
      </c>
      <c r="M16" s="145" t="inlineStr">
        <is>
          <t>S-B10-PLN-A36-008</t>
        </is>
      </c>
      <c r="N16" s="18" t="inlineStr">
        <is>
          <t>Estructuras</t>
        </is>
      </c>
      <c r="O16" s="18" t="inlineStr">
        <is>
          <t>Estimado DION · criterio de mercado Guayaquil 2026 (no verificado en tienda)</t>
        </is>
      </c>
      <c r="P16" s="18" t="inlineStr">
        <is>
          <t>oct-2026 (est.)</t>
        </is>
      </c>
      <c r="Q16" s="18" t="n">
        <v>8</v>
      </c>
    </row>
    <row r="17">
      <c r="A17" s="90" t="n">
        <v>8</v>
      </c>
      <c r="B17" s="91" t="inlineStr">
        <is>
          <t xml:space="preserve">        Plancha Acero A36 10 mm 1.22x2.44 m</t>
        </is>
      </c>
      <c r="C17" s="92" t="inlineStr">
        <is>
          <t>Residencial / Comercial / Ind</t>
        </is>
      </c>
      <c r="D17" s="90" t="inlineStr">
        <is>
          <t>Planchas A36</t>
        </is>
      </c>
      <c r="E17" s="90" t="inlineStr">
        <is>
          <t>U</t>
        </is>
      </c>
      <c r="F17" s="93" t="n">
        <v>1</v>
      </c>
      <c r="G17" s="94" t="n">
        <v>344.09</v>
      </c>
      <c r="H17" s="94" t="n">
        <v>361.29</v>
      </c>
      <c r="I17" s="90" t="inlineStr">
        <is>
          <t>Megametales</t>
        </is>
      </c>
      <c r="J17" s="94" t="n">
        <v>381.94</v>
      </c>
      <c r="K17" s="90" t="inlineStr">
        <is>
          <t>Kywi / Megakywi</t>
        </is>
      </c>
      <c r="L17" s="95">
        <f>F17*G17</f>
        <v/>
      </c>
      <c r="M17" s="155" t="inlineStr">
        <is>
          <t>S-B10-PLN-A36-010</t>
        </is>
      </c>
      <c r="N17" s="90" t="inlineStr">
        <is>
          <t>Estructuras</t>
        </is>
      </c>
      <c r="O17" s="90" t="inlineStr">
        <is>
          <t>Estimado DION · criterio de mercado Guayaquil 2026 (no verificado en tienda)</t>
        </is>
      </c>
      <c r="P17" s="90" t="inlineStr">
        <is>
          <t>oct-2026 (est.)</t>
        </is>
      </c>
      <c r="Q17" s="90" t="n">
        <v>8</v>
      </c>
    </row>
    <row r="18">
      <c r="A18" s="18" t="n">
        <v>9</v>
      </c>
      <c r="B18" s="19" t="inlineStr">
        <is>
          <t xml:space="preserve">        Plancha Acero A36 12 mm 1.22x2.44 m</t>
        </is>
      </c>
      <c r="C18" s="20" t="inlineStr">
        <is>
          <t>Residencial / Comercial / Ind</t>
        </is>
      </c>
      <c r="D18" s="18" t="inlineStr">
        <is>
          <t>Planchas A36</t>
        </is>
      </c>
      <c r="E18" s="18" t="inlineStr">
        <is>
          <t>U</t>
        </is>
      </c>
      <c r="F18" s="21" t="n">
        <v>1</v>
      </c>
      <c r="G18" s="22" t="n">
        <v>412.91</v>
      </c>
      <c r="H18" s="22" t="n">
        <v>433.56</v>
      </c>
      <c r="I18" s="18" t="inlineStr">
        <is>
          <t>Megametales</t>
        </is>
      </c>
      <c r="J18" s="22" t="n">
        <v>441.81</v>
      </c>
      <c r="K18" s="18" t="inlineStr">
        <is>
          <t>Ferrisariato</t>
        </is>
      </c>
      <c r="L18" s="8">
        <f>F18*G18</f>
        <v/>
      </c>
      <c r="M18" s="145" t="inlineStr">
        <is>
          <t>S-B10-PLN-A36-012</t>
        </is>
      </c>
      <c r="N18" s="18" t="inlineStr">
        <is>
          <t>Estructuras</t>
        </is>
      </c>
      <c r="O18" s="18" t="inlineStr">
        <is>
          <t>Estimado DION · criterio de mercado Guayaquil 2026 (no verificado en tienda)</t>
        </is>
      </c>
      <c r="P18" s="18" t="inlineStr">
        <is>
          <t>oct-2026 (est.)</t>
        </is>
      </c>
      <c r="Q18" s="18" t="n">
        <v>8</v>
      </c>
    </row>
    <row r="19">
      <c r="A19" s="90" t="n">
        <v>10</v>
      </c>
      <c r="B19" s="91" t="inlineStr">
        <is>
          <t xml:space="preserve">        Plancha Acero A36 15 mm 1.22x2.44 m</t>
        </is>
      </c>
      <c r="C19" s="92" t="inlineStr">
        <is>
          <t>Residencial / Comercial / Ind</t>
        </is>
      </c>
      <c r="D19" s="90" t="inlineStr">
        <is>
          <t>Planchas A36</t>
        </is>
      </c>
      <c r="E19" s="90" t="inlineStr">
        <is>
          <t>U</t>
        </is>
      </c>
      <c r="F19" s="93" t="n">
        <v>0</v>
      </c>
      <c r="G19" s="94" t="n">
        <v>516.14</v>
      </c>
      <c r="H19" s="94" t="n">
        <v>541.95</v>
      </c>
      <c r="I19" s="90" t="inlineStr">
        <is>
          <t>Megametales</t>
        </is>
      </c>
      <c r="J19" s="94" t="n">
        <v>562.59</v>
      </c>
      <c r="K19" s="90" t="inlineStr">
        <is>
          <t>Kywi / Megakywi</t>
        </is>
      </c>
      <c r="L19" s="95">
        <f>F19*G19</f>
        <v/>
      </c>
      <c r="M19" s="155" t="inlineStr">
        <is>
          <t>S-B10-PLN-A36-015</t>
        </is>
      </c>
      <c r="N19" s="90" t="inlineStr">
        <is>
          <t>Estructuras</t>
        </is>
      </c>
      <c r="O19" s="90" t="inlineStr">
        <is>
          <t>Estimado DION · criterio de mercado Guayaquil 2026 (no verificado en tienda)</t>
        </is>
      </c>
      <c r="P19" s="90" t="inlineStr">
        <is>
          <t>oct-2026 (est.)</t>
        </is>
      </c>
      <c r="Q19" s="90" t="n">
        <v>8</v>
      </c>
    </row>
    <row r="20">
      <c r="A20" s="18" t="n">
        <v>11</v>
      </c>
      <c r="B20" s="19" t="inlineStr">
        <is>
          <t xml:space="preserve">        Plancha Acero A36 20 mm 1.22x2.44 m</t>
        </is>
      </c>
      <c r="C20" s="20" t="inlineStr">
        <is>
          <t>Residencial / Comercial / Ind</t>
        </is>
      </c>
      <c r="D20" s="18" t="inlineStr">
        <is>
          <t>Planchas A36</t>
        </is>
      </c>
      <c r="E20" s="18" t="inlineStr">
        <is>
          <t>U</t>
        </is>
      </c>
      <c r="F20" s="21" t="n">
        <v>0</v>
      </c>
      <c r="G20" s="22" t="n">
        <v>688.1799999999999</v>
      </c>
      <c r="H20" s="22" t="n">
        <v>722.59</v>
      </c>
      <c r="I20" s="18" t="inlineStr">
        <is>
          <t>Megametales</t>
        </is>
      </c>
      <c r="J20" s="22" t="n">
        <v>750.12</v>
      </c>
      <c r="K20" s="18" t="inlineStr">
        <is>
          <t>Ferrisariato</t>
        </is>
      </c>
      <c r="L20" s="8">
        <f>F20*G20</f>
        <v/>
      </c>
      <c r="M20" s="145" t="inlineStr">
        <is>
          <t>S-B10-PLN-A36-020</t>
        </is>
      </c>
      <c r="N20" s="18" t="inlineStr">
        <is>
          <t>Estructuras</t>
        </is>
      </c>
      <c r="O20" s="18" t="inlineStr">
        <is>
          <t>Estimado DION · criterio de mercado Guayaquil 2026 (no verificado en tienda)</t>
        </is>
      </c>
      <c r="P20" s="18" t="inlineStr">
        <is>
          <t>oct-2026 (est.)</t>
        </is>
      </c>
      <c r="Q20" s="18" t="n">
        <v>8</v>
      </c>
    </row>
    <row r="21">
      <c r="A21" s="90" t="n">
        <v>12</v>
      </c>
      <c r="B21" s="91" t="inlineStr">
        <is>
          <t xml:space="preserve">        Plancha Acero A36 25 mm 1.22x2.44 m</t>
        </is>
      </c>
      <c r="C21" s="92" t="inlineStr">
        <is>
          <t>Residencial / Comercial / Ind</t>
        </is>
      </c>
      <c r="D21" s="90" t="inlineStr">
        <is>
          <t>Planchas A36</t>
        </is>
      </c>
      <c r="E21" s="90" t="inlineStr">
        <is>
          <t>U</t>
        </is>
      </c>
      <c r="F21" s="93" t="n">
        <v>0</v>
      </c>
      <c r="G21" s="94" t="n">
        <v>860.23</v>
      </c>
      <c r="H21" s="94" t="n">
        <v>903.24</v>
      </c>
      <c r="I21" s="90" t="inlineStr">
        <is>
          <t>Megametales</t>
        </is>
      </c>
      <c r="J21" s="94" t="n">
        <v>929.05</v>
      </c>
      <c r="K21" s="90" t="inlineStr">
        <is>
          <t>Kywi / Megakywi</t>
        </is>
      </c>
      <c r="L21" s="95">
        <f>F21*G21</f>
        <v/>
      </c>
      <c r="M21" s="155" t="inlineStr">
        <is>
          <t>S-B10-PLN-A36-025</t>
        </is>
      </c>
      <c r="N21" s="90" t="inlineStr">
        <is>
          <t>Estructuras</t>
        </is>
      </c>
      <c r="O21" s="90" t="inlineStr">
        <is>
          <t>Estimado DION · criterio de mercado Guayaquil 2026 (no verificado en tienda)</t>
        </is>
      </c>
      <c r="P21" s="90" t="inlineStr">
        <is>
          <t>oct-2026 (est.)</t>
        </is>
      </c>
      <c r="Q21" s="90" t="n">
        <v>8</v>
      </c>
    </row>
    <row r="22">
      <c r="A22" s="18" t="n">
        <v>13</v>
      </c>
      <c r="B22" s="19" t="inlineStr">
        <is>
          <t xml:space="preserve">        Plancha Acero Antideslizante (Corrugada) 3 mm 1.22x2.44 m</t>
        </is>
      </c>
      <c r="C22" s="20" t="inlineStr">
        <is>
          <t>Comercial / Industrial</t>
        </is>
      </c>
      <c r="D22" s="18" t="inlineStr">
        <is>
          <t>Planchas Antideslizantes</t>
        </is>
      </c>
      <c r="E22" s="18" t="inlineStr">
        <is>
          <t>U</t>
        </is>
      </c>
      <c r="F22" s="21" t="n">
        <v>1</v>
      </c>
      <c r="G22" s="22" t="n">
        <v>98</v>
      </c>
      <c r="H22" s="22" t="n">
        <v>99.95999999999999</v>
      </c>
      <c r="I22" s="18" t="inlineStr">
        <is>
          <t>Megametales</t>
        </is>
      </c>
      <c r="J22" s="22" t="n">
        <v>105.84</v>
      </c>
      <c r="K22" s="18" t="inlineStr">
        <is>
          <t>Ferrisariato</t>
        </is>
      </c>
      <c r="L22" s="8">
        <f>F22*G22</f>
        <v/>
      </c>
      <c r="M22" s="145" t="inlineStr">
        <is>
          <t>S-B10-PLN-ANT-003</t>
        </is>
      </c>
      <c r="N22" s="18" t="inlineStr">
        <is>
          <t>Estructuras</t>
        </is>
      </c>
      <c r="O22" s="18" t="inlineStr">
        <is>
          <t>Estimado DION · criterio de mercado Guayaquil 2026 (no verificado en tienda)</t>
        </is>
      </c>
      <c r="P22" s="18" t="inlineStr">
        <is>
          <t>oct-2026 (est.)</t>
        </is>
      </c>
      <c r="Q22" s="18" t="n">
        <v>8</v>
      </c>
    </row>
    <row r="23">
      <c r="A23" s="90" t="n">
        <v>14</v>
      </c>
      <c r="B23" s="91" t="inlineStr">
        <is>
          <t xml:space="preserve">        Plancha Galvanizada 0.9 mm 1.22x2.44 m</t>
        </is>
      </c>
      <c r="C23" s="92" t="inlineStr">
        <is>
          <t>Residencial / Comercial / Ind</t>
        </is>
      </c>
      <c r="D23" s="90" t="inlineStr">
        <is>
          <t>Planchas Galvanizadas</t>
        </is>
      </c>
      <c r="E23" s="90" t="inlineStr">
        <is>
          <t>U</t>
        </is>
      </c>
      <c r="F23" s="93" t="n">
        <v>2</v>
      </c>
      <c r="G23" s="94" t="n">
        <v>32</v>
      </c>
      <c r="H23" s="94" t="n">
        <v>33.6</v>
      </c>
      <c r="I23" s="90" t="inlineStr">
        <is>
          <t>Megametales</t>
        </is>
      </c>
      <c r="J23" s="94" t="n">
        <v>35.2</v>
      </c>
      <c r="K23" s="90" t="inlineStr">
        <is>
          <t>Kywi / Megakywi</t>
        </is>
      </c>
      <c r="L23" s="95">
        <f>F23*G23</f>
        <v/>
      </c>
      <c r="M23" s="155" t="inlineStr">
        <is>
          <t>S-B10-PLN-GAL-0P9</t>
        </is>
      </c>
      <c r="N23" s="90" t="inlineStr">
        <is>
          <t>Estructuras</t>
        </is>
      </c>
      <c r="O23" s="90" t="inlineStr">
        <is>
          <t>Estimado DION · criterio de mercado Guayaquil 2026 (no verificado en tienda)</t>
        </is>
      </c>
      <c r="P23" s="90" t="inlineStr">
        <is>
          <t>oct-2026 (est.)</t>
        </is>
      </c>
      <c r="Q23" s="90" t="n">
        <v>8</v>
      </c>
    </row>
    <row r="24">
      <c r="A24" s="18" t="n">
        <v>15</v>
      </c>
      <c r="B24" s="19" t="inlineStr">
        <is>
          <t xml:space="preserve">        Placa Base A36 250x250x12 mm Cortada y Perforada (4 pernos)</t>
        </is>
      </c>
      <c r="C24" s="20" t="inlineStr">
        <is>
          <t>Comercial / Industrial</t>
        </is>
      </c>
      <c r="D24" s="18" t="inlineStr">
        <is>
          <t>Placas Base</t>
        </is>
      </c>
      <c r="E24" s="18" t="inlineStr">
        <is>
          <t>U</t>
        </is>
      </c>
      <c r="F24" s="21" t="n">
        <v>4</v>
      </c>
      <c r="G24" s="22" t="n">
        <v>14.6</v>
      </c>
      <c r="H24" s="22" t="n">
        <v>15.04</v>
      </c>
      <c r="I24" s="18" t="inlineStr">
        <is>
          <t>Megametales</t>
        </is>
      </c>
      <c r="J24" s="22" t="n">
        <v>15.91</v>
      </c>
      <c r="K24" s="18" t="inlineStr">
        <is>
          <t>Ferrisariato</t>
        </is>
      </c>
      <c r="L24" s="8">
        <f>F24*G24</f>
        <v/>
      </c>
      <c r="M24" s="145" t="inlineStr">
        <is>
          <t>S-B10-CNX-PBA-250X250X12</t>
        </is>
      </c>
      <c r="N24" s="18" t="inlineStr">
        <is>
          <t>Estructuras</t>
        </is>
      </c>
      <c r="O24" s="18" t="inlineStr">
        <is>
          <t>Estimado DION · criterio de mercado Guayaquil 2026 (no verificado en tienda)</t>
        </is>
      </c>
      <c r="P24" s="18" t="inlineStr">
        <is>
          <t>oct-2026 (est.)</t>
        </is>
      </c>
      <c r="Q24" s="18" t="n"/>
    </row>
    <row r="25">
      <c r="A25" s="90" t="n">
        <v>16</v>
      </c>
      <c r="B25" s="91" t="inlineStr">
        <is>
          <t xml:space="preserve">        Placa Base A36 300x300x12 mm Cortada y Perforada (4 pernos)</t>
        </is>
      </c>
      <c r="C25" s="92" t="inlineStr">
        <is>
          <t>Comercial / Industrial</t>
        </is>
      </c>
      <c r="D25" s="90" t="inlineStr">
        <is>
          <t>Placas Base</t>
        </is>
      </c>
      <c r="E25" s="90" t="inlineStr">
        <is>
          <t>U</t>
        </is>
      </c>
      <c r="F25" s="93" t="n">
        <v>4</v>
      </c>
      <c r="G25" s="94" t="n">
        <v>21.03</v>
      </c>
      <c r="H25" s="94" t="n">
        <v>21.66</v>
      </c>
      <c r="I25" s="90" t="inlineStr">
        <is>
          <t>Megametales</t>
        </is>
      </c>
      <c r="J25" s="94" t="n">
        <v>23.34</v>
      </c>
      <c r="K25" s="90" t="inlineStr">
        <is>
          <t>Kywi / Megakywi</t>
        </is>
      </c>
      <c r="L25" s="95">
        <f>F25*G25</f>
        <v/>
      </c>
      <c r="M25" s="155" t="inlineStr">
        <is>
          <t>S-B10-CNX-PBA-300X300X12</t>
        </is>
      </c>
      <c r="N25" s="90" t="inlineStr">
        <is>
          <t>Estructuras</t>
        </is>
      </c>
      <c r="O25" s="90" t="inlineStr">
        <is>
          <t>Estimado DION · criterio de mercado Guayaquil 2026 (no verificado en tienda)</t>
        </is>
      </c>
      <c r="P25" s="90" t="inlineStr">
        <is>
          <t>oct-2026 (est.)</t>
        </is>
      </c>
      <c r="Q25" s="90" t="n"/>
    </row>
    <row r="26">
      <c r="A26" s="18" t="n">
        <v>17</v>
      </c>
      <c r="B26" s="19" t="inlineStr">
        <is>
          <t xml:space="preserve">        Placa Base A36 350x350x20 mm Cortada y Perforada (4 pernos)</t>
        </is>
      </c>
      <c r="C26" s="20" t="inlineStr">
        <is>
          <t>Comercial / Industrial</t>
        </is>
      </c>
      <c r="D26" s="18" t="inlineStr">
        <is>
          <t>Placas Base</t>
        </is>
      </c>
      <c r="E26" s="18" t="inlineStr">
        <is>
          <t>U</t>
        </is>
      </c>
      <c r="F26" s="21" t="n">
        <v>4</v>
      </c>
      <c r="G26" s="22" t="n">
        <v>47.7</v>
      </c>
      <c r="H26" s="22" t="n">
        <v>50.09</v>
      </c>
      <c r="I26" s="18" t="inlineStr">
        <is>
          <t>Megametales</t>
        </is>
      </c>
      <c r="J26" s="22" t="n">
        <v>52.95</v>
      </c>
      <c r="K26" s="18" t="inlineStr">
        <is>
          <t>Ferrisariato</t>
        </is>
      </c>
      <c r="L26" s="8">
        <f>F26*G26</f>
        <v/>
      </c>
      <c r="M26" s="145" t="inlineStr">
        <is>
          <t>S-B10-CNX-PBA-350X350X20</t>
        </is>
      </c>
      <c r="N26" s="18" t="inlineStr">
        <is>
          <t>Estructuras</t>
        </is>
      </c>
      <c r="O26" s="18" t="inlineStr">
        <is>
          <t>Estimado DION · criterio de mercado Guayaquil 2026 (no verificado en tienda)</t>
        </is>
      </c>
      <c r="P26" s="18" t="inlineStr">
        <is>
          <t>oct-2026 (est.)</t>
        </is>
      </c>
      <c r="Q26" s="18" t="n"/>
    </row>
    <row r="27">
      <c r="A27" s="90" t="n">
        <v>18</v>
      </c>
      <c r="B27" s="91" t="inlineStr">
        <is>
          <t xml:space="preserve">        Placa Base A36 450x450x25 mm Cortada y Perforada (4 pernos)</t>
        </is>
      </c>
      <c r="C27" s="92" t="inlineStr">
        <is>
          <t>Comercial / Industrial</t>
        </is>
      </c>
      <c r="D27" s="90" t="inlineStr">
        <is>
          <t>Placas Base</t>
        </is>
      </c>
      <c r="E27" s="90" t="inlineStr">
        <is>
          <t>U</t>
        </is>
      </c>
      <c r="F27" s="93" t="n">
        <v>4</v>
      </c>
      <c r="G27" s="94" t="n">
        <v>98.56</v>
      </c>
      <c r="H27" s="94" t="n">
        <v>102.5</v>
      </c>
      <c r="I27" s="90" t="inlineStr">
        <is>
          <t>Megametales</t>
        </is>
      </c>
      <c r="J27" s="94" t="n">
        <v>108.42</v>
      </c>
      <c r="K27" s="90" t="inlineStr">
        <is>
          <t>Kywi / Megakywi</t>
        </is>
      </c>
      <c r="L27" s="95">
        <f>F27*G27</f>
        <v/>
      </c>
      <c r="M27" s="155" t="inlineStr">
        <is>
          <t>S-B10-CNX-PBA-450X450X25</t>
        </is>
      </c>
      <c r="N27" s="90" t="inlineStr">
        <is>
          <t>Estructuras</t>
        </is>
      </c>
      <c r="O27" s="90" t="inlineStr">
        <is>
          <t>Estimado DION · criterio de mercado Guayaquil 2026 (no verificado en tienda)</t>
        </is>
      </c>
      <c r="P27" s="90" t="inlineStr">
        <is>
          <t>oct-2026 (est.)</t>
        </is>
      </c>
      <c r="Q27" s="90" t="n"/>
    </row>
    <row r="28">
      <c r="A28" s="18" t="n">
        <v>19</v>
      </c>
      <c r="B28" s="19" t="inlineStr">
        <is>
          <t xml:space="preserve">        Placa Base A36 500x500x25 mm Cortada y Perforada (4 pernos)</t>
        </is>
      </c>
      <c r="C28" s="20" t="inlineStr">
        <is>
          <t>Comercial / Industrial</t>
        </is>
      </c>
      <c r="D28" s="18" t="inlineStr">
        <is>
          <t>Placas Base</t>
        </is>
      </c>
      <c r="E28" s="18" t="inlineStr">
        <is>
          <t>U</t>
        </is>
      </c>
      <c r="F28" s="21" t="n">
        <v>4</v>
      </c>
      <c r="G28" s="22" t="n">
        <v>121.67</v>
      </c>
      <c r="H28" s="22" t="n">
        <v>126.54</v>
      </c>
      <c r="I28" s="18" t="inlineStr">
        <is>
          <t>Megametales</t>
        </is>
      </c>
      <c r="J28" s="22" t="n">
        <v>131.4</v>
      </c>
      <c r="K28" s="18" t="inlineStr">
        <is>
          <t>Ferrisariato</t>
        </is>
      </c>
      <c r="L28" s="8">
        <f>F28*G28</f>
        <v/>
      </c>
      <c r="M28" s="145" t="inlineStr">
        <is>
          <t>S-B10-CNX-PBA-500X500X25</t>
        </is>
      </c>
      <c r="N28" s="18" t="inlineStr">
        <is>
          <t>Estructuras</t>
        </is>
      </c>
      <c r="O28" s="18" t="inlineStr">
        <is>
          <t>Estimado DION · criterio de mercado Guayaquil 2026 (no verificado en tienda)</t>
        </is>
      </c>
      <c r="P28" s="18" t="inlineStr">
        <is>
          <t>oct-2026 (est.)</t>
        </is>
      </c>
      <c r="Q28" s="18" t="n"/>
    </row>
    <row r="29">
      <c r="A29" s="90" t="n">
        <v>20</v>
      </c>
      <c r="B29" s="91" t="inlineStr">
        <is>
          <t xml:space="preserve">        Placa Base A36 600x600x25 mm Cortada y Perforada (4 pernos)</t>
        </is>
      </c>
      <c r="C29" s="92" t="inlineStr">
        <is>
          <t>Comercial / Industrial</t>
        </is>
      </c>
      <c r="D29" s="90" t="inlineStr">
        <is>
          <t>Placas Base</t>
        </is>
      </c>
      <c r="E29" s="90" t="inlineStr">
        <is>
          <t>U</t>
        </is>
      </c>
      <c r="F29" s="93" t="n">
        <v>4</v>
      </c>
      <c r="G29" s="94" t="n">
        <v>175.21</v>
      </c>
      <c r="H29" s="94" t="n">
        <v>182.22</v>
      </c>
      <c r="I29" s="90" t="inlineStr">
        <is>
          <t>Megametales</t>
        </is>
      </c>
      <c r="J29" s="94" t="n">
        <v>187.47</v>
      </c>
      <c r="K29" s="90" t="inlineStr">
        <is>
          <t>Kywi / Megakywi</t>
        </is>
      </c>
      <c r="L29" s="95">
        <f>F29*G29</f>
        <v/>
      </c>
      <c r="M29" s="155" t="inlineStr">
        <is>
          <t>S-B10-CNX-PBA-600X600X25</t>
        </is>
      </c>
      <c r="N29" s="90" t="inlineStr">
        <is>
          <t>Estructuras</t>
        </is>
      </c>
      <c r="O29" s="90" t="inlineStr">
        <is>
          <t>Estimado DION · criterio de mercado Guayaquil 2026 (no verificado en tienda)</t>
        </is>
      </c>
      <c r="P29" s="90" t="inlineStr">
        <is>
          <t>oct-2026 (est.)</t>
        </is>
      </c>
      <c r="Q29" s="90" t="n"/>
    </row>
    <row r="30">
      <c r="A30" s="18" t="n">
        <v>21</v>
      </c>
      <c r="B30" s="19" t="inlineStr">
        <is>
          <t xml:space="preserve">        Rigidizador / Atiesador de Alma A36 10 mm</t>
        </is>
      </c>
      <c r="C30" s="20" t="inlineStr">
        <is>
          <t>Comercial / Industrial</t>
        </is>
      </c>
      <c r="D30" s="18" t="inlineStr">
        <is>
          <t>Atiesadores</t>
        </is>
      </c>
      <c r="E30" s="18" t="inlineStr">
        <is>
          <t>U</t>
        </is>
      </c>
      <c r="F30" s="21" t="n">
        <v>20</v>
      </c>
      <c r="G30" s="22" t="n">
        <v>6.5</v>
      </c>
      <c r="H30" s="22" t="n">
        <v>6.76</v>
      </c>
      <c r="I30" s="18" t="inlineStr">
        <is>
          <t>Megametales</t>
        </is>
      </c>
      <c r="J30" s="22" t="n">
        <v>7.02</v>
      </c>
      <c r="K30" s="18" t="inlineStr">
        <is>
          <t>Ferrisariato</t>
        </is>
      </c>
      <c r="L30" s="8">
        <f>F30*G30</f>
        <v/>
      </c>
      <c r="M30" s="145" t="inlineStr">
        <is>
          <t>S-B10-CNX-RIG-ALA</t>
        </is>
      </c>
      <c r="N30" s="18" t="inlineStr">
        <is>
          <t>Estructuras</t>
        </is>
      </c>
      <c r="O30" s="18" t="inlineStr">
        <is>
          <t>Estimado DION · criterio de mercado Guayaquil 2026 (no verificado en tienda)</t>
        </is>
      </c>
      <c r="P30" s="18" t="inlineStr">
        <is>
          <t>oct-2026 (est.)</t>
        </is>
      </c>
      <c r="Q30" s="18" t="n"/>
    </row>
    <row r="31">
      <c r="A31" s="90" t="n">
        <v>22</v>
      </c>
      <c r="B31" s="91" t="inlineStr">
        <is>
          <t xml:space="preserve">        Ángulo de Apoyo / Asiento L75x75x8 (Conexión)</t>
        </is>
      </c>
      <c r="C31" s="92" t="inlineStr">
        <is>
          <t>Comercial / Industrial</t>
        </is>
      </c>
      <c r="D31" s="90" t="inlineStr">
        <is>
          <t>Ángulos Apoyo</t>
        </is>
      </c>
      <c r="E31" s="90" t="inlineStr">
        <is>
          <t>U</t>
        </is>
      </c>
      <c r="F31" s="93" t="n">
        <v>10</v>
      </c>
      <c r="G31" s="94" t="n">
        <v>7.5</v>
      </c>
      <c r="H31" s="94" t="n">
        <v>7.65</v>
      </c>
      <c r="I31" s="90" t="inlineStr">
        <is>
          <t>Megametales</t>
        </is>
      </c>
      <c r="J31" s="94" t="n">
        <v>8.029999999999999</v>
      </c>
      <c r="K31" s="90" t="inlineStr">
        <is>
          <t>Kywi / Megakywi</t>
        </is>
      </c>
      <c r="L31" s="95">
        <f>F31*G31</f>
        <v/>
      </c>
      <c r="M31" s="155" t="inlineStr">
        <is>
          <t>S-B10-CNX-ANG-APO</t>
        </is>
      </c>
      <c r="N31" s="90" t="inlineStr">
        <is>
          <t>Estructuras</t>
        </is>
      </c>
      <c r="O31" s="90" t="inlineStr">
        <is>
          <t>Estimado DION · criterio de mercado Guayaquil 2026 (no verificado en tienda)</t>
        </is>
      </c>
      <c r="P31" s="90" t="inlineStr">
        <is>
          <t>oct-2026 (est.)</t>
        </is>
      </c>
      <c r="Q31" s="90" t="n"/>
    </row>
    <row r="32">
      <c r="A32" s="18" t="n">
        <v>23</v>
      </c>
      <c r="B32" s="19" t="inlineStr">
        <is>
          <t xml:space="preserve">        Conexión Viga-Columna a Momento con Placa Extendida (Juego)</t>
        </is>
      </c>
      <c r="C32" s="20" t="inlineStr">
        <is>
          <t>Comercial / Industrial</t>
        </is>
      </c>
      <c r="D32" s="18" t="inlineStr">
        <is>
          <t>Conexiones Momento</t>
        </is>
      </c>
      <c r="E32" s="18" t="inlineStr">
        <is>
          <t>Juego</t>
        </is>
      </c>
      <c r="F32" s="21" t="n">
        <v>4</v>
      </c>
      <c r="G32" s="22" t="n">
        <v>85</v>
      </c>
      <c r="H32" s="22" t="n">
        <v>86.7</v>
      </c>
      <c r="I32" s="18" t="inlineStr">
        <is>
          <t>Megametales</t>
        </is>
      </c>
      <c r="J32" s="22" t="n">
        <v>94.34999999999999</v>
      </c>
      <c r="K32" s="18" t="inlineStr">
        <is>
          <t>Ferrisariato</t>
        </is>
      </c>
      <c r="L32" s="8">
        <f>F32*G32</f>
        <v/>
      </c>
      <c r="M32" s="145" t="inlineStr">
        <is>
          <t>S-B10-CNX-MOM-END</t>
        </is>
      </c>
      <c r="N32" s="18" t="inlineStr">
        <is>
          <t>Estructuras</t>
        </is>
      </c>
      <c r="O32" s="18" t="inlineStr">
        <is>
          <t>Estimado DION · criterio de mercado Guayaquil 2026 (no verificado en tienda)</t>
        </is>
      </c>
      <c r="P32" s="18" t="inlineStr">
        <is>
          <t>oct-2026 (est.)</t>
        </is>
      </c>
      <c r="Q32" s="18" t="n"/>
    </row>
    <row r="33">
      <c r="A33" s="88" t="inlineStr">
        <is>
          <t>TUBERÍAS Y PERFILES METÁLICOS</t>
        </is>
      </c>
      <c r="B33" s="143" t="n"/>
      <c r="C33" s="143" t="n"/>
      <c r="D33" s="143" t="n"/>
      <c r="E33" s="143" t="n"/>
      <c r="F33" s="143" t="n"/>
      <c r="G33" s="143" t="n"/>
      <c r="H33" s="143" t="n"/>
      <c r="I33" s="143" t="n"/>
      <c r="J33" s="143" t="n"/>
      <c r="K33" s="143" t="n"/>
      <c r="L33" s="143" t="n"/>
      <c r="M33" s="143" t="n"/>
      <c r="N33" s="143" t="n"/>
      <c r="O33" s="143" t="n"/>
      <c r="P33" s="143" t="n"/>
      <c r="Q33" s="144" t="n"/>
    </row>
    <row r="34">
      <c r="A34" s="50" t="inlineStr">
        <is>
          <t xml:space="preserve">  ► CATEGORÍA: PERFILES IPE, HEA, TUBOS ESTRUCTURALES Y CORREAS G</t>
        </is>
      </c>
      <c r="B34" s="143" t="n"/>
      <c r="C34" s="143" t="n"/>
      <c r="D34" s="143" t="n"/>
      <c r="E34" s="143" t="n"/>
      <c r="F34" s="143" t="n"/>
      <c r="G34" s="143" t="n"/>
      <c r="H34" s="143" t="n"/>
      <c r="I34" s="143" t="n"/>
      <c r="J34" s="143" t="n"/>
      <c r="K34" s="143" t="n"/>
      <c r="L34" s="143" t="n"/>
      <c r="M34" s="143" t="n"/>
      <c r="N34" s="143" t="n"/>
      <c r="O34" s="143" t="n"/>
      <c r="P34" s="143" t="n"/>
      <c r="Q34" s="144" t="n"/>
    </row>
    <row r="35">
      <c r="A35" s="89" t="inlineStr">
        <is>
          <t xml:space="preserve">      • Subcategoría Especificada: Perfiles Laminados en Caliente y Conformados</t>
        </is>
      </c>
      <c r="B35" s="143" t="n"/>
      <c r="C35" s="143" t="n"/>
      <c r="D35" s="143" t="n"/>
      <c r="E35" s="143" t="n"/>
      <c r="F35" s="143" t="n"/>
      <c r="G35" s="143" t="n"/>
      <c r="H35" s="143" t="n"/>
      <c r="I35" s="143" t="n"/>
      <c r="J35" s="143" t="n"/>
      <c r="K35" s="143" t="n"/>
      <c r="L35" s="143" t="n"/>
      <c r="M35" s="143" t="n"/>
      <c r="N35" s="143" t="n"/>
      <c r="O35" s="143" t="n"/>
      <c r="P35" s="143" t="n"/>
      <c r="Q35" s="144" t="n"/>
    </row>
    <row r="36">
      <c r="A36" s="90" t="n">
        <v>24</v>
      </c>
      <c r="B36" s="91" t="inlineStr">
        <is>
          <t xml:space="preserve">        Perfil IPE 200 mm Acero Estructural A36 (12m)</t>
        </is>
      </c>
      <c r="C36" s="92" t="inlineStr">
        <is>
          <t>Comercial / Industrial</t>
        </is>
      </c>
      <c r="D36" s="90" t="inlineStr">
        <is>
          <t>Perfiles IPE</t>
        </is>
      </c>
      <c r="E36" s="90" t="inlineStr">
        <is>
          <t>U</t>
        </is>
      </c>
      <c r="F36" s="93" t="n">
        <v>6</v>
      </c>
      <c r="G36" s="94" t="n">
        <v>210</v>
      </c>
      <c r="H36" s="94" t="n">
        <v>218</v>
      </c>
      <c r="I36" s="90" t="inlineStr">
        <is>
          <t>Megametales / Novacero</t>
        </is>
      </c>
      <c r="J36" s="94" t="n">
        <v>230</v>
      </c>
      <c r="K36" s="90" t="inlineStr">
        <is>
          <t>Ferrisariato</t>
        </is>
      </c>
      <c r="L36" s="95">
        <f>F36*G36</f>
        <v/>
      </c>
      <c r="M36" s="155" t="inlineStr">
        <is>
          <t>S-B10-VAC-IPE200</t>
        </is>
      </c>
      <c r="N36" s="90" t="inlineStr">
        <is>
          <t>Estructuras</t>
        </is>
      </c>
      <c r="O36" s="90" t="inlineStr">
        <is>
          <t>Estimado · base original del usuario (sin cotización verificada)</t>
        </is>
      </c>
      <c r="P36" s="90" t="inlineStr">
        <is>
          <t>oct-2026 (est.)</t>
        </is>
      </c>
      <c r="Q36" s="90" t="n">
        <v>3</v>
      </c>
    </row>
    <row r="37">
      <c r="A37" s="18" t="n">
        <v>25</v>
      </c>
      <c r="B37" s="19" t="inlineStr">
        <is>
          <t xml:space="preserve">        Perfil HEA 160 mm Acero Estructural A36 (12m)</t>
        </is>
      </c>
      <c r="C37" s="20" t="inlineStr">
        <is>
          <t>Industrial Heavy Duty</t>
        </is>
      </c>
      <c r="D37" s="18" t="inlineStr">
        <is>
          <t>Perfiles HEA</t>
        </is>
      </c>
      <c r="E37" s="18" t="inlineStr">
        <is>
          <t>U</t>
        </is>
      </c>
      <c r="F37" s="21" t="n">
        <v>4</v>
      </c>
      <c r="G37" s="22" t="n">
        <v>260</v>
      </c>
      <c r="H37" s="22" t="n">
        <v>270</v>
      </c>
      <c r="I37" s="18" t="inlineStr">
        <is>
          <t>Megametales / Novacero</t>
        </is>
      </c>
      <c r="J37" s="22" t="n">
        <v>285</v>
      </c>
      <c r="K37" s="18" t="inlineStr">
        <is>
          <t>Kywi / Megakywi</t>
        </is>
      </c>
      <c r="L37" s="8">
        <f>F37*G37</f>
        <v/>
      </c>
      <c r="M37" s="145" t="inlineStr">
        <is>
          <t>S-B10-VAC-HEA160</t>
        </is>
      </c>
      <c r="N37" s="18" t="inlineStr">
        <is>
          <t>Estructuras</t>
        </is>
      </c>
      <c r="O37" s="18" t="inlineStr">
        <is>
          <t>Estimado · base original del usuario (sin cotización verificada)</t>
        </is>
      </c>
      <c r="P37" s="18" t="inlineStr">
        <is>
          <t>oct-2026 (est.)</t>
        </is>
      </c>
      <c r="Q37" s="18" t="n">
        <v>3</v>
      </c>
    </row>
    <row r="38">
      <c r="A38" s="90" t="n">
        <v>26</v>
      </c>
      <c r="B38" s="91" t="inlineStr">
        <is>
          <t xml:space="preserve">        Tubo Estructural Cuadrado 100x100x3mm (6m)</t>
        </is>
      </c>
      <c r="C38" s="92" t="inlineStr">
        <is>
          <t>Residencial / Comercial</t>
        </is>
      </c>
      <c r="D38" s="90" t="inlineStr">
        <is>
          <t>Tubos Estructurales</t>
        </is>
      </c>
      <c r="E38" s="90" t="inlineStr">
        <is>
          <t>U</t>
        </is>
      </c>
      <c r="F38" s="93" t="n">
        <v>12</v>
      </c>
      <c r="G38" s="94" t="n">
        <v>38</v>
      </c>
      <c r="H38" s="94" t="n">
        <v>39.5</v>
      </c>
      <c r="I38" s="90" t="inlineStr">
        <is>
          <t>Megametales / Novacero</t>
        </is>
      </c>
      <c r="J38" s="94" t="n">
        <v>42</v>
      </c>
      <c r="K38" s="90" t="inlineStr">
        <is>
          <t>Ferrisariato</t>
        </is>
      </c>
      <c r="L38" s="95">
        <f>F38*G38</f>
        <v/>
      </c>
      <c r="M38" s="155" t="inlineStr">
        <is>
          <t>S-B10-TUB-CU-100X100X3</t>
        </is>
      </c>
      <c r="N38" s="90" t="inlineStr">
        <is>
          <t>Estructuras</t>
        </is>
      </c>
      <c r="O38" s="90" t="inlineStr">
        <is>
          <t>Estimado · base original del usuario (sin cotización verificada)</t>
        </is>
      </c>
      <c r="P38" s="90" t="inlineStr">
        <is>
          <t>oct-2026 (est.)</t>
        </is>
      </c>
      <c r="Q38" s="90" t="n">
        <v>3</v>
      </c>
    </row>
    <row r="39">
      <c r="A39" s="18" t="n">
        <v>27</v>
      </c>
      <c r="B39" s="19" t="inlineStr">
        <is>
          <t xml:space="preserve">        Correa G Galvanizada 150x50x2mm para Cubierta (6m)</t>
        </is>
      </c>
      <c r="C39" s="20" t="inlineStr">
        <is>
          <t>Residencial / Comercial</t>
        </is>
      </c>
      <c r="D39" s="18" t="inlineStr">
        <is>
          <t>Correas G</t>
        </is>
      </c>
      <c r="E39" s="18" t="inlineStr">
        <is>
          <t>U</t>
        </is>
      </c>
      <c r="F39" s="21" t="n">
        <v>20</v>
      </c>
      <c r="G39" s="22" t="n">
        <v>18.5</v>
      </c>
      <c r="H39" s="22" t="n">
        <v>19.2</v>
      </c>
      <c r="I39" s="18" t="inlineStr">
        <is>
          <t>Megametales / Novacero</t>
        </is>
      </c>
      <c r="J39" s="22" t="n">
        <v>20.5</v>
      </c>
      <c r="K39" s="18" t="inlineStr">
        <is>
          <t>Ferrisariato</t>
        </is>
      </c>
      <c r="L39" s="8">
        <f>F39*G39</f>
        <v/>
      </c>
      <c r="M39" s="145" t="inlineStr">
        <is>
          <t>S-B10-COR-G150X50X15X2</t>
        </is>
      </c>
      <c r="N39" s="18" t="inlineStr">
        <is>
          <t>Estructuras</t>
        </is>
      </c>
      <c r="O39" s="18" t="inlineStr">
        <is>
          <t>Estimado · base original del usuario (sin cotización verificada)</t>
        </is>
      </c>
      <c r="P39" s="18" t="inlineStr">
        <is>
          <t>oct-2026 (est.)</t>
        </is>
      </c>
      <c r="Q39" s="18" t="n">
        <v>3</v>
      </c>
    </row>
    <row r="40">
      <c r="A40" s="89" t="inlineStr">
        <is>
          <t xml:space="preserve">      • Subcategoría Especificada: Todos los Perfiles por Peralte, Tubos por Sección y Correas por Espesor</t>
        </is>
      </c>
      <c r="B40" s="143" t="n"/>
      <c r="C40" s="143" t="n"/>
      <c r="D40" s="143" t="n"/>
      <c r="E40" s="143" t="n"/>
      <c r="F40" s="143" t="n"/>
      <c r="G40" s="143" t="n"/>
      <c r="H40" s="143" t="n"/>
      <c r="I40" s="143" t="n"/>
      <c r="J40" s="143" t="n"/>
      <c r="K40" s="143" t="n"/>
      <c r="L40" s="143" t="n"/>
      <c r="M40" s="143" t="n"/>
      <c r="N40" s="143" t="n"/>
      <c r="O40" s="143" t="n"/>
      <c r="P40" s="143" t="n"/>
      <c r="Q40" s="144" t="n"/>
    </row>
    <row r="41">
      <c r="A41" s="90" t="n">
        <v>28</v>
      </c>
      <c r="B41" s="91" t="inlineStr">
        <is>
          <t xml:space="preserve">        Perfil IPE 100 Acero A36/A572 (12 m) ≈8.1 kg/m</t>
        </is>
      </c>
      <c r="C41" s="92" t="inlineStr">
        <is>
          <t>Comercial / Industrial</t>
        </is>
      </c>
      <c r="D41" s="90" t="inlineStr">
        <is>
          <t>Perfiles IPE</t>
        </is>
      </c>
      <c r="E41" s="90" t="inlineStr">
        <is>
          <t>U</t>
        </is>
      </c>
      <c r="F41" s="93" t="n">
        <v>2</v>
      </c>
      <c r="G41" s="94" t="n">
        <v>150.66</v>
      </c>
      <c r="H41" s="94" t="n">
        <v>158.19</v>
      </c>
      <c r="I41" s="90" t="inlineStr">
        <is>
          <t>Megametales</t>
        </is>
      </c>
      <c r="J41" s="94" t="n">
        <v>167.23</v>
      </c>
      <c r="K41" s="90" t="inlineStr">
        <is>
          <t>Kywi / Megakywi</t>
        </is>
      </c>
      <c r="L41" s="95">
        <f>F41*G41</f>
        <v/>
      </c>
      <c r="M41" s="155" t="inlineStr">
        <is>
          <t>S-B10-VAC-IPE100</t>
        </is>
      </c>
      <c r="N41" s="90" t="inlineStr">
        <is>
          <t>Estructuras</t>
        </is>
      </c>
      <c r="O41" s="90" t="inlineStr">
        <is>
          <t>Estimado DION · criterio de mercado Guayaquil 2026 (no verificado en tienda)</t>
        </is>
      </c>
      <c r="P41" s="90" t="inlineStr">
        <is>
          <t>oct-2026 (est.)</t>
        </is>
      </c>
      <c r="Q41" s="90" t="n">
        <v>3</v>
      </c>
    </row>
    <row r="42">
      <c r="A42" s="18" t="n">
        <v>29</v>
      </c>
      <c r="B42" s="19" t="inlineStr">
        <is>
          <t xml:space="preserve">        Perfil IPE 120 Acero A36/A572 (12 m) ≈10.4 kg/m</t>
        </is>
      </c>
      <c r="C42" s="20" t="inlineStr">
        <is>
          <t>Comercial / Industrial</t>
        </is>
      </c>
      <c r="D42" s="18" t="inlineStr">
        <is>
          <t>Perfiles IPE</t>
        </is>
      </c>
      <c r="E42" s="18" t="inlineStr">
        <is>
          <t>U</t>
        </is>
      </c>
      <c r="F42" s="21" t="n">
        <v>2</v>
      </c>
      <c r="G42" s="22" t="n">
        <v>193.44</v>
      </c>
      <c r="H42" s="22" t="n">
        <v>199.24</v>
      </c>
      <c r="I42" s="18" t="inlineStr">
        <is>
          <t>Megametales</t>
        </is>
      </c>
      <c r="J42" s="22" t="n">
        <v>208.92</v>
      </c>
      <c r="K42" s="18" t="inlineStr">
        <is>
          <t>Ferrisariato</t>
        </is>
      </c>
      <c r="L42" s="8">
        <f>F42*G42</f>
        <v/>
      </c>
      <c r="M42" s="145" t="inlineStr">
        <is>
          <t>S-B10-VAC-IPE120</t>
        </is>
      </c>
      <c r="N42" s="18" t="inlineStr">
        <is>
          <t>Estructuras</t>
        </is>
      </c>
      <c r="O42" s="18" t="inlineStr">
        <is>
          <t>Estimado DION · criterio de mercado Guayaquil 2026 (no verificado en tienda)</t>
        </is>
      </c>
      <c r="P42" s="18" t="inlineStr">
        <is>
          <t>oct-2026 (est.)</t>
        </is>
      </c>
      <c r="Q42" s="18" t="n">
        <v>3</v>
      </c>
    </row>
    <row r="43">
      <c r="A43" s="90" t="n">
        <v>30</v>
      </c>
      <c r="B43" s="91" t="inlineStr">
        <is>
          <t xml:space="preserve">        Perfil IPE 140 Acero A36/A572 (12 m) ≈12.9 kg/m</t>
        </is>
      </c>
      <c r="C43" s="92" t="inlineStr">
        <is>
          <t>Comercial / Industrial</t>
        </is>
      </c>
      <c r="D43" s="90" t="inlineStr">
        <is>
          <t>Perfiles IPE</t>
        </is>
      </c>
      <c r="E43" s="90" t="inlineStr">
        <is>
          <t>U</t>
        </is>
      </c>
      <c r="F43" s="93" t="n">
        <v>2</v>
      </c>
      <c r="G43" s="94" t="n">
        <v>239.94</v>
      </c>
      <c r="H43" s="94" t="n">
        <v>251.94</v>
      </c>
      <c r="I43" s="90" t="inlineStr">
        <is>
          <t>Megametales</t>
        </is>
      </c>
      <c r="J43" s="94" t="n">
        <v>266.33</v>
      </c>
      <c r="K43" s="90" t="inlineStr">
        <is>
          <t>Kywi / Megakywi</t>
        </is>
      </c>
      <c r="L43" s="95">
        <f>F43*G43</f>
        <v/>
      </c>
      <c r="M43" s="155" t="inlineStr">
        <is>
          <t>S-B10-VAC-IPE140</t>
        </is>
      </c>
      <c r="N43" s="90" t="inlineStr">
        <is>
          <t>Estructuras</t>
        </is>
      </c>
      <c r="O43" s="90" t="inlineStr">
        <is>
          <t>Estimado DION · criterio de mercado Guayaquil 2026 (no verificado en tienda)</t>
        </is>
      </c>
      <c r="P43" s="90" t="inlineStr">
        <is>
          <t>oct-2026 (est.)</t>
        </is>
      </c>
      <c r="Q43" s="90" t="n">
        <v>3</v>
      </c>
    </row>
    <row r="44">
      <c r="A44" s="18" t="n">
        <v>31</v>
      </c>
      <c r="B44" s="19" t="inlineStr">
        <is>
          <t xml:space="preserve">        Perfil IPE 160 Acero A36/A572 (12 m) ≈15.8 kg/m</t>
        </is>
      </c>
      <c r="C44" s="20" t="inlineStr">
        <is>
          <t>Comercial / Industrial</t>
        </is>
      </c>
      <c r="D44" s="18" t="inlineStr">
        <is>
          <t>Perfiles IPE</t>
        </is>
      </c>
      <c r="E44" s="18" t="inlineStr">
        <is>
          <t>U</t>
        </is>
      </c>
      <c r="F44" s="21" t="n">
        <v>2</v>
      </c>
      <c r="G44" s="22" t="n">
        <v>293.88</v>
      </c>
      <c r="H44" s="22" t="n">
        <v>308.57</v>
      </c>
      <c r="I44" s="18" t="inlineStr">
        <is>
          <t>Megametales</t>
        </is>
      </c>
      <c r="J44" s="22" t="n">
        <v>317.39</v>
      </c>
      <c r="K44" s="18" t="inlineStr">
        <is>
          <t>Ferrisariato</t>
        </is>
      </c>
      <c r="L44" s="8">
        <f>F44*G44</f>
        <v/>
      </c>
      <c r="M44" s="145" t="inlineStr">
        <is>
          <t>S-B10-VAC-IPE160</t>
        </is>
      </c>
      <c r="N44" s="18" t="inlineStr">
        <is>
          <t>Estructuras</t>
        </is>
      </c>
      <c r="O44" s="18" t="inlineStr">
        <is>
          <t>Estimado DION · criterio de mercado Guayaquil 2026 (no verificado en tienda)</t>
        </is>
      </c>
      <c r="P44" s="18" t="inlineStr">
        <is>
          <t>oct-2026 (est.)</t>
        </is>
      </c>
      <c r="Q44" s="18" t="n">
        <v>3</v>
      </c>
    </row>
    <row r="45">
      <c r="A45" s="90" t="n">
        <v>32</v>
      </c>
      <c r="B45" s="91" t="inlineStr">
        <is>
          <t xml:space="preserve">        Perfil IPE 180 Acero A36/A572 (12 m) ≈18.8 kg/m</t>
        </is>
      </c>
      <c r="C45" s="92" t="inlineStr">
        <is>
          <t>Comercial / Industrial</t>
        </is>
      </c>
      <c r="D45" s="90" t="inlineStr">
        <is>
          <t>Perfiles IPE</t>
        </is>
      </c>
      <c r="E45" s="90" t="inlineStr">
        <is>
          <t>U</t>
        </is>
      </c>
      <c r="F45" s="93" t="n">
        <v>2</v>
      </c>
      <c r="G45" s="94" t="n">
        <v>349.68</v>
      </c>
      <c r="H45" s="94" t="n">
        <v>356.67</v>
      </c>
      <c r="I45" s="90" t="inlineStr">
        <is>
          <t>Megametales</t>
        </is>
      </c>
      <c r="J45" s="94" t="n">
        <v>388.14</v>
      </c>
      <c r="K45" s="90" t="inlineStr">
        <is>
          <t>Kywi / Megakywi</t>
        </is>
      </c>
      <c r="L45" s="95">
        <f>F45*G45</f>
        <v/>
      </c>
      <c r="M45" s="155" t="inlineStr">
        <is>
          <t>S-B10-VAC-IPE180</t>
        </is>
      </c>
      <c r="N45" s="90" t="inlineStr">
        <is>
          <t>Estructuras</t>
        </is>
      </c>
      <c r="O45" s="90" t="inlineStr">
        <is>
          <t>Estimado DION · criterio de mercado Guayaquil 2026 (no verificado en tienda)</t>
        </is>
      </c>
      <c r="P45" s="90" t="inlineStr">
        <is>
          <t>oct-2026 (est.)</t>
        </is>
      </c>
      <c r="Q45" s="90" t="n">
        <v>3</v>
      </c>
    </row>
    <row r="46">
      <c r="A46" s="18" t="n">
        <v>33</v>
      </c>
      <c r="B46" s="19" t="inlineStr">
        <is>
          <t xml:space="preserve">        Perfil IPE 220 Acero A36/A572 (12 m) ≈26.2 kg/m</t>
        </is>
      </c>
      <c r="C46" s="20" t="inlineStr">
        <is>
          <t>Comercial / Industrial</t>
        </is>
      </c>
      <c r="D46" s="18" t="inlineStr">
        <is>
          <t>Perfiles IPE</t>
        </is>
      </c>
      <c r="E46" s="18" t="inlineStr">
        <is>
          <t>U</t>
        </is>
      </c>
      <c r="F46" s="21" t="n">
        <v>2</v>
      </c>
      <c r="G46" s="22" t="n">
        <v>487.32</v>
      </c>
      <c r="H46" s="22" t="n">
        <v>506.81</v>
      </c>
      <c r="I46" s="18" t="inlineStr">
        <is>
          <t>Megametales</t>
        </is>
      </c>
      <c r="J46" s="22" t="n">
        <v>540.9299999999999</v>
      </c>
      <c r="K46" s="18" t="inlineStr">
        <is>
          <t>Ferrisariato</t>
        </is>
      </c>
      <c r="L46" s="8">
        <f>F46*G46</f>
        <v/>
      </c>
      <c r="M46" s="145" t="inlineStr">
        <is>
          <t>S-B10-VAC-IPE220</t>
        </is>
      </c>
      <c r="N46" s="18" t="inlineStr">
        <is>
          <t>Estructuras</t>
        </is>
      </c>
      <c r="O46" s="18" t="inlineStr">
        <is>
          <t>Estimado DION · criterio de mercado Guayaquil 2026 (no verificado en tienda)</t>
        </is>
      </c>
      <c r="P46" s="18" t="inlineStr">
        <is>
          <t>oct-2026 (est.)</t>
        </is>
      </c>
      <c r="Q46" s="18" t="n">
        <v>3</v>
      </c>
    </row>
    <row r="47">
      <c r="A47" s="90" t="n">
        <v>34</v>
      </c>
      <c r="B47" s="91" t="inlineStr">
        <is>
          <t xml:space="preserve">        Perfil IPE 240 Acero A36/A572 (12 m) ≈30.7 kg/m</t>
        </is>
      </c>
      <c r="C47" s="92" t="inlineStr">
        <is>
          <t>Comercial / Industrial</t>
        </is>
      </c>
      <c r="D47" s="90" t="inlineStr">
        <is>
          <t>Perfiles IPE</t>
        </is>
      </c>
      <c r="E47" s="90" t="inlineStr">
        <is>
          <t>U</t>
        </is>
      </c>
      <c r="F47" s="93" t="n">
        <v>0</v>
      </c>
      <c r="G47" s="94" t="n">
        <v>571.02</v>
      </c>
      <c r="H47" s="94" t="n">
        <v>582.4400000000001</v>
      </c>
      <c r="I47" s="90" t="inlineStr">
        <is>
          <t>Megametales</t>
        </is>
      </c>
      <c r="J47" s="94" t="n">
        <v>610.99</v>
      </c>
      <c r="K47" s="90" t="inlineStr">
        <is>
          <t>Kywi / Megakywi</t>
        </is>
      </c>
      <c r="L47" s="95">
        <f>F47*G47</f>
        <v/>
      </c>
      <c r="M47" s="155" t="inlineStr">
        <is>
          <t>S-B10-VAC-IPE240</t>
        </is>
      </c>
      <c r="N47" s="90" t="inlineStr">
        <is>
          <t>Estructuras</t>
        </is>
      </c>
      <c r="O47" s="90" t="inlineStr">
        <is>
          <t>Estimado DION · criterio de mercado Guayaquil 2026 (no verificado en tienda)</t>
        </is>
      </c>
      <c r="P47" s="90" t="inlineStr">
        <is>
          <t>oct-2026 (est.)</t>
        </is>
      </c>
      <c r="Q47" s="90" t="n">
        <v>3</v>
      </c>
    </row>
    <row r="48">
      <c r="A48" s="18" t="n">
        <v>35</v>
      </c>
      <c r="B48" s="19" t="inlineStr">
        <is>
          <t xml:space="preserve">        Perfil IPE 270 Acero A36/A572 (12 m) ≈36.1 kg/m</t>
        </is>
      </c>
      <c r="C48" s="20" t="inlineStr">
        <is>
          <t>Comercial / Industrial</t>
        </is>
      </c>
      <c r="D48" s="18" t="inlineStr">
        <is>
          <t>Perfiles IPE</t>
        </is>
      </c>
      <c r="E48" s="18" t="inlineStr">
        <is>
          <t>U</t>
        </is>
      </c>
      <c r="F48" s="21" t="n">
        <v>0</v>
      </c>
      <c r="G48" s="22" t="n">
        <v>671.46</v>
      </c>
      <c r="H48" s="22" t="n">
        <v>698.3200000000001</v>
      </c>
      <c r="I48" s="18" t="inlineStr">
        <is>
          <t>Megametales</t>
        </is>
      </c>
      <c r="J48" s="22" t="n">
        <v>718.46</v>
      </c>
      <c r="K48" s="18" t="inlineStr">
        <is>
          <t>Ferrisariato</t>
        </is>
      </c>
      <c r="L48" s="8">
        <f>F48*G48</f>
        <v/>
      </c>
      <c r="M48" s="145" t="inlineStr">
        <is>
          <t>S-B10-VAC-IPE270</t>
        </is>
      </c>
      <c r="N48" s="18" t="inlineStr">
        <is>
          <t>Estructuras</t>
        </is>
      </c>
      <c r="O48" s="18" t="inlineStr">
        <is>
          <t>Estimado DION · criterio de mercado Guayaquil 2026 (no verificado en tienda)</t>
        </is>
      </c>
      <c r="P48" s="18" t="inlineStr">
        <is>
          <t>oct-2026 (est.)</t>
        </is>
      </c>
      <c r="Q48" s="18" t="n">
        <v>3</v>
      </c>
    </row>
    <row r="49">
      <c r="A49" s="90" t="n">
        <v>36</v>
      </c>
      <c r="B49" s="91" t="inlineStr">
        <is>
          <t xml:space="preserve">        Perfil IPE 300 Acero A36/A572 (12 m) ≈42.2 kg/m</t>
        </is>
      </c>
      <c r="C49" s="92" t="inlineStr">
        <is>
          <t>Comercial / Industrial</t>
        </is>
      </c>
      <c r="D49" s="90" t="inlineStr">
        <is>
          <t>Perfiles IPE</t>
        </is>
      </c>
      <c r="E49" s="90" t="inlineStr">
        <is>
          <t>U</t>
        </is>
      </c>
      <c r="F49" s="93" t="n">
        <v>0</v>
      </c>
      <c r="G49" s="94" t="n">
        <v>784.92</v>
      </c>
      <c r="H49" s="94" t="n">
        <v>808.47</v>
      </c>
      <c r="I49" s="90" t="inlineStr">
        <is>
          <t>Megametales</t>
        </is>
      </c>
      <c r="J49" s="94" t="n">
        <v>855.5599999999999</v>
      </c>
      <c r="K49" s="90" t="inlineStr">
        <is>
          <t>Kywi / Megakywi</t>
        </is>
      </c>
      <c r="L49" s="95">
        <f>F49*G49</f>
        <v/>
      </c>
      <c r="M49" s="155" t="inlineStr">
        <is>
          <t>S-B10-VAC-IPE300</t>
        </is>
      </c>
      <c r="N49" s="90" t="inlineStr">
        <is>
          <t>Estructuras</t>
        </is>
      </c>
      <c r="O49" s="90" t="inlineStr">
        <is>
          <t>Estimado DION · criterio de mercado Guayaquil 2026 (no verificado en tienda)</t>
        </is>
      </c>
      <c r="P49" s="90" t="inlineStr">
        <is>
          <t>oct-2026 (est.)</t>
        </is>
      </c>
      <c r="Q49" s="90" t="n">
        <v>3</v>
      </c>
    </row>
    <row r="50">
      <c r="A50" s="18" t="n">
        <v>37</v>
      </c>
      <c r="B50" s="19" t="inlineStr">
        <is>
          <t xml:space="preserve">        Perfil IPE 330 Acero A36/A572 (12 m) ≈49.1 kg/m</t>
        </is>
      </c>
      <c r="C50" s="20" t="inlineStr">
        <is>
          <t>Comercial / Industrial</t>
        </is>
      </c>
      <c r="D50" s="18" t="inlineStr">
        <is>
          <t>Perfiles IPE</t>
        </is>
      </c>
      <c r="E50" s="18" t="inlineStr">
        <is>
          <t>U</t>
        </is>
      </c>
      <c r="F50" s="21" t="n">
        <v>0</v>
      </c>
      <c r="G50" s="22" t="n">
        <v>913.26</v>
      </c>
      <c r="H50" s="22" t="n">
        <v>940.66</v>
      </c>
      <c r="I50" s="18" t="inlineStr">
        <is>
          <t>Megametales</t>
        </is>
      </c>
      <c r="J50" s="22" t="n">
        <v>1004.59</v>
      </c>
      <c r="K50" s="18" t="inlineStr">
        <is>
          <t>Ferrisariato</t>
        </is>
      </c>
      <c r="L50" s="8">
        <f>F50*G50</f>
        <v/>
      </c>
      <c r="M50" s="145" t="inlineStr">
        <is>
          <t>S-B10-VAC-IPE330</t>
        </is>
      </c>
      <c r="N50" s="18" t="inlineStr">
        <is>
          <t>Estructuras</t>
        </is>
      </c>
      <c r="O50" s="18" t="inlineStr">
        <is>
          <t>Estimado DION · criterio de mercado Guayaquil 2026 (no verificado en tienda)</t>
        </is>
      </c>
      <c r="P50" s="18" t="inlineStr">
        <is>
          <t>oct-2026 (est.)</t>
        </is>
      </c>
      <c r="Q50" s="18" t="n">
        <v>3</v>
      </c>
    </row>
    <row r="51">
      <c r="A51" s="90" t="n">
        <v>38</v>
      </c>
      <c r="B51" s="91" t="inlineStr">
        <is>
          <t xml:space="preserve">        Perfil IPE 360 Acero A36/A572 (12 m) ≈57.1 kg/m</t>
        </is>
      </c>
      <c r="C51" s="92" t="inlineStr">
        <is>
          <t>Comercial / Industrial</t>
        </is>
      </c>
      <c r="D51" s="90" t="inlineStr">
        <is>
          <t>Perfiles IPE</t>
        </is>
      </c>
      <c r="E51" s="90" t="inlineStr">
        <is>
          <t>U</t>
        </is>
      </c>
      <c r="F51" s="93" t="n">
        <v>0</v>
      </c>
      <c r="G51" s="94" t="n">
        <v>1062.06</v>
      </c>
      <c r="H51" s="94" t="n">
        <v>1093.92</v>
      </c>
      <c r="I51" s="90" t="inlineStr">
        <is>
          <t>Megametales</t>
        </is>
      </c>
      <c r="J51" s="94" t="n">
        <v>1136.4</v>
      </c>
      <c r="K51" s="90" t="inlineStr">
        <is>
          <t>Kywi / Megakywi</t>
        </is>
      </c>
      <c r="L51" s="95">
        <f>F51*G51</f>
        <v/>
      </c>
      <c r="M51" s="155" t="inlineStr">
        <is>
          <t>S-B10-VAC-IPE360</t>
        </is>
      </c>
      <c r="N51" s="90" t="inlineStr">
        <is>
          <t>Estructuras</t>
        </is>
      </c>
      <c r="O51" s="90" t="inlineStr">
        <is>
          <t>Estimado DION · criterio de mercado Guayaquil 2026 (no verificado en tienda)</t>
        </is>
      </c>
      <c r="P51" s="90" t="inlineStr">
        <is>
          <t>oct-2026 (est.)</t>
        </is>
      </c>
      <c r="Q51" s="90" t="n">
        <v>3</v>
      </c>
    </row>
    <row r="52">
      <c r="A52" s="18" t="n">
        <v>39</v>
      </c>
      <c r="B52" s="19" t="inlineStr">
        <is>
          <t xml:space="preserve">        Perfil IPE 400 Acero A36/A572 (12 m) ≈66.3 kg/m</t>
        </is>
      </c>
      <c r="C52" s="20" t="inlineStr">
        <is>
          <t>Comercial / Industrial</t>
        </is>
      </c>
      <c r="D52" s="18" t="inlineStr">
        <is>
          <t>Perfiles IPE</t>
        </is>
      </c>
      <c r="E52" s="18" t="inlineStr">
        <is>
          <t>U</t>
        </is>
      </c>
      <c r="F52" s="21" t="n">
        <v>0</v>
      </c>
      <c r="G52" s="22" t="n">
        <v>1233.18</v>
      </c>
      <c r="H52" s="22" t="n">
        <v>1282.51</v>
      </c>
      <c r="I52" s="18" t="inlineStr">
        <is>
          <t>Megametales</t>
        </is>
      </c>
      <c r="J52" s="22" t="n">
        <v>1368.83</v>
      </c>
      <c r="K52" s="18" t="inlineStr">
        <is>
          <t>Ferrisariato</t>
        </is>
      </c>
      <c r="L52" s="8">
        <f>F52*G52</f>
        <v/>
      </c>
      <c r="M52" s="145" t="inlineStr">
        <is>
          <t>S-B10-VAC-IPE400</t>
        </is>
      </c>
      <c r="N52" s="18" t="inlineStr">
        <is>
          <t>Estructuras</t>
        </is>
      </c>
      <c r="O52" s="18" t="inlineStr">
        <is>
          <t>Estimado DION · criterio de mercado Guayaquil 2026 (no verificado en tienda)</t>
        </is>
      </c>
      <c r="P52" s="18" t="inlineStr">
        <is>
          <t>oct-2026 (est.)</t>
        </is>
      </c>
      <c r="Q52" s="18" t="n">
        <v>3</v>
      </c>
    </row>
    <row r="53">
      <c r="A53" s="90" t="n">
        <v>40</v>
      </c>
      <c r="B53" s="91" t="inlineStr">
        <is>
          <t xml:space="preserve">        Perfil IPE 450 Acero A36/A572 (12 m) ≈77.6 kg/m</t>
        </is>
      </c>
      <c r="C53" s="92" t="inlineStr">
        <is>
          <t>Comercial / Industrial</t>
        </is>
      </c>
      <c r="D53" s="90" t="inlineStr">
        <is>
          <t>Perfiles IPE</t>
        </is>
      </c>
      <c r="E53" s="90" t="inlineStr">
        <is>
          <t>U</t>
        </is>
      </c>
      <c r="F53" s="93" t="n">
        <v>0</v>
      </c>
      <c r="G53" s="94" t="n">
        <v>1443.36</v>
      </c>
      <c r="H53" s="94" t="n">
        <v>1486.66</v>
      </c>
      <c r="I53" s="90" t="inlineStr">
        <is>
          <t>Megametales</t>
        </is>
      </c>
      <c r="J53" s="94" t="n">
        <v>1602.13</v>
      </c>
      <c r="K53" s="90" t="inlineStr">
        <is>
          <t>Kywi / Megakywi</t>
        </is>
      </c>
      <c r="L53" s="95">
        <f>F53*G53</f>
        <v/>
      </c>
      <c r="M53" s="155" t="inlineStr">
        <is>
          <t>S-B10-VAC-IPE450</t>
        </is>
      </c>
      <c r="N53" s="90" t="inlineStr">
        <is>
          <t>Estructuras</t>
        </is>
      </c>
      <c r="O53" s="90" t="inlineStr">
        <is>
          <t>Estimado DION · criterio de mercado Guayaquil 2026 (no verificado en tienda)</t>
        </is>
      </c>
      <c r="P53" s="90" t="inlineStr">
        <is>
          <t>oct-2026 (est.)</t>
        </is>
      </c>
      <c r="Q53" s="90" t="n">
        <v>3</v>
      </c>
    </row>
    <row r="54">
      <c r="A54" s="18" t="n">
        <v>41</v>
      </c>
      <c r="B54" s="19" t="inlineStr">
        <is>
          <t xml:space="preserve">        Perfil IPE 500 Acero A36/A572 (12 m) ≈90.7 kg/m</t>
        </is>
      </c>
      <c r="C54" s="20" t="inlineStr">
        <is>
          <t>Comercial / Industrial</t>
        </is>
      </c>
      <c r="D54" s="18" t="inlineStr">
        <is>
          <t>Perfiles IPE</t>
        </is>
      </c>
      <c r="E54" s="18" t="inlineStr">
        <is>
          <t>U</t>
        </is>
      </c>
      <c r="F54" s="21" t="n">
        <v>0</v>
      </c>
      <c r="G54" s="22" t="n">
        <v>1687.02</v>
      </c>
      <c r="H54" s="22" t="n">
        <v>1737.63</v>
      </c>
      <c r="I54" s="18" t="inlineStr">
        <is>
          <t>Megametales</t>
        </is>
      </c>
      <c r="J54" s="22" t="n">
        <v>1821.98</v>
      </c>
      <c r="K54" s="18" t="inlineStr">
        <is>
          <t>Ferrisariato</t>
        </is>
      </c>
      <c r="L54" s="8">
        <f>F54*G54</f>
        <v/>
      </c>
      <c r="M54" s="145" t="inlineStr">
        <is>
          <t>S-B10-VAC-IPE500</t>
        </is>
      </c>
      <c r="N54" s="18" t="inlineStr">
        <is>
          <t>Estructuras</t>
        </is>
      </c>
      <c r="O54" s="18" t="inlineStr">
        <is>
          <t>Estimado DION · criterio de mercado Guayaquil 2026 (no verificado en tienda)</t>
        </is>
      </c>
      <c r="P54" s="18" t="inlineStr">
        <is>
          <t>oct-2026 (est.)</t>
        </is>
      </c>
      <c r="Q54" s="18" t="n">
        <v>3</v>
      </c>
    </row>
    <row r="55">
      <c r="A55" s="90" t="n">
        <v>42</v>
      </c>
      <c r="B55" s="91" t="inlineStr">
        <is>
          <t xml:space="preserve">        Perfil HEA 100 Acero A572 (12 m) ≈16.7 kg/m</t>
        </is>
      </c>
      <c r="C55" s="92" t="inlineStr">
        <is>
          <t>Industrial Heavy Duty</t>
        </is>
      </c>
      <c r="D55" s="90" t="inlineStr">
        <is>
          <t>Perfiles HEA</t>
        </is>
      </c>
      <c r="E55" s="90" t="inlineStr">
        <is>
          <t>U</t>
        </is>
      </c>
      <c r="F55" s="93" t="n">
        <v>2</v>
      </c>
      <c r="G55" s="94" t="n">
        <v>310.62</v>
      </c>
      <c r="H55" s="94" t="n">
        <v>326.15</v>
      </c>
      <c r="I55" s="90" t="inlineStr">
        <is>
          <t>Megametales</t>
        </is>
      </c>
      <c r="J55" s="94" t="n">
        <v>344.79</v>
      </c>
      <c r="K55" s="90" t="inlineStr">
        <is>
          <t>Kywi / Megakywi</t>
        </is>
      </c>
      <c r="L55" s="95">
        <f>F55*G55</f>
        <v/>
      </c>
      <c r="M55" s="155" t="inlineStr">
        <is>
          <t>S-B10-VAC-HEA100</t>
        </is>
      </c>
      <c r="N55" s="90" t="inlineStr">
        <is>
          <t>Estructuras</t>
        </is>
      </c>
      <c r="O55" s="90" t="inlineStr">
        <is>
          <t>Estimado DION · criterio de mercado Guayaquil 2026 (no verificado en tienda)</t>
        </is>
      </c>
      <c r="P55" s="90" t="inlineStr">
        <is>
          <t>oct-2026 (est.)</t>
        </is>
      </c>
      <c r="Q55" s="90" t="n">
        <v>3</v>
      </c>
    </row>
    <row r="56">
      <c r="A56" s="18" t="n">
        <v>43</v>
      </c>
      <c r="B56" s="19" t="inlineStr">
        <is>
          <t xml:space="preserve">        Perfil HEA 120 Acero A572 (12 m) ≈19.9 kg/m</t>
        </is>
      </c>
      <c r="C56" s="20" t="inlineStr">
        <is>
          <t>Industrial Heavy Duty</t>
        </is>
      </c>
      <c r="D56" s="18" t="inlineStr">
        <is>
          <t>Perfiles HEA</t>
        </is>
      </c>
      <c r="E56" s="18" t="inlineStr">
        <is>
          <t>U</t>
        </is>
      </c>
      <c r="F56" s="21" t="n">
        <v>2</v>
      </c>
      <c r="G56" s="22" t="n">
        <v>370.14</v>
      </c>
      <c r="H56" s="22" t="n">
        <v>388.65</v>
      </c>
      <c r="I56" s="18" t="inlineStr">
        <is>
          <t>Megametales</t>
        </is>
      </c>
      <c r="J56" s="22" t="n">
        <v>399.75</v>
      </c>
      <c r="K56" s="18" t="inlineStr">
        <is>
          <t>Ferrisariato</t>
        </is>
      </c>
      <c r="L56" s="8">
        <f>F56*G56</f>
        <v/>
      </c>
      <c r="M56" s="145" t="inlineStr">
        <is>
          <t>S-B10-VAC-HEA120</t>
        </is>
      </c>
      <c r="N56" s="18" t="inlineStr">
        <is>
          <t>Estructuras</t>
        </is>
      </c>
      <c r="O56" s="18" t="inlineStr">
        <is>
          <t>Estimado DION · criterio de mercado Guayaquil 2026 (no verificado en tienda)</t>
        </is>
      </c>
      <c r="P56" s="18" t="inlineStr">
        <is>
          <t>oct-2026 (est.)</t>
        </is>
      </c>
      <c r="Q56" s="18" t="n">
        <v>3</v>
      </c>
    </row>
    <row r="57">
      <c r="A57" s="90" t="n">
        <v>44</v>
      </c>
      <c r="B57" s="91" t="inlineStr">
        <is>
          <t xml:space="preserve">        Perfil HEA 140 Acero A572 (12 m) ≈24.7 kg/m</t>
        </is>
      </c>
      <c r="C57" s="92" t="inlineStr">
        <is>
          <t>Industrial Heavy Duty</t>
        </is>
      </c>
      <c r="D57" s="90" t="inlineStr">
        <is>
          <t>Perfiles HEA</t>
        </is>
      </c>
      <c r="E57" s="90" t="inlineStr">
        <is>
          <t>U</t>
        </is>
      </c>
      <c r="F57" s="93" t="n">
        <v>2</v>
      </c>
      <c r="G57" s="94" t="n">
        <v>459.42</v>
      </c>
      <c r="H57" s="94" t="n">
        <v>477.8</v>
      </c>
      <c r="I57" s="90" t="inlineStr">
        <is>
          <t>Megametales</t>
        </is>
      </c>
      <c r="J57" s="94" t="n">
        <v>505.36</v>
      </c>
      <c r="K57" s="90" t="inlineStr">
        <is>
          <t>Kywi / Megakywi</t>
        </is>
      </c>
      <c r="L57" s="95">
        <f>F57*G57</f>
        <v/>
      </c>
      <c r="M57" s="155" t="inlineStr">
        <is>
          <t>S-B10-VAC-HEA140</t>
        </is>
      </c>
      <c r="N57" s="90" t="inlineStr">
        <is>
          <t>Estructuras</t>
        </is>
      </c>
      <c r="O57" s="90" t="inlineStr">
        <is>
          <t>Estimado DION · criterio de mercado Guayaquil 2026 (no verificado en tienda)</t>
        </is>
      </c>
      <c r="P57" s="90" t="inlineStr">
        <is>
          <t>oct-2026 (est.)</t>
        </is>
      </c>
      <c r="Q57" s="90" t="n">
        <v>3</v>
      </c>
    </row>
    <row r="58">
      <c r="A58" s="18" t="n">
        <v>45</v>
      </c>
      <c r="B58" s="19" t="inlineStr">
        <is>
          <t xml:space="preserve">        Perfil HEA 180 Acero A572 (12 m) ≈35.5 kg/m</t>
        </is>
      </c>
      <c r="C58" s="20" t="inlineStr">
        <is>
          <t>Industrial Heavy Duty</t>
        </is>
      </c>
      <c r="D58" s="18" t="inlineStr">
        <is>
          <t>Perfiles HEA</t>
        </is>
      </c>
      <c r="E58" s="18" t="inlineStr">
        <is>
          <t>U</t>
        </is>
      </c>
      <c r="F58" s="21" t="n">
        <v>0</v>
      </c>
      <c r="G58" s="22" t="n">
        <v>660.3</v>
      </c>
      <c r="H58" s="22" t="n">
        <v>686.71</v>
      </c>
      <c r="I58" s="18" t="inlineStr">
        <is>
          <t>Megametales</t>
        </is>
      </c>
      <c r="J58" s="22" t="n">
        <v>726.33</v>
      </c>
      <c r="K58" s="18" t="inlineStr">
        <is>
          <t>Ferrisariato</t>
        </is>
      </c>
      <c r="L58" s="8">
        <f>F58*G58</f>
        <v/>
      </c>
      <c r="M58" s="145" t="inlineStr">
        <is>
          <t>S-B10-VAC-HEA180</t>
        </is>
      </c>
      <c r="N58" s="18" t="inlineStr">
        <is>
          <t>Estructuras</t>
        </is>
      </c>
      <c r="O58" s="18" t="inlineStr">
        <is>
          <t>Estimado DION · criterio de mercado Guayaquil 2026 (no verificado en tienda)</t>
        </is>
      </c>
      <c r="P58" s="18" t="inlineStr">
        <is>
          <t>oct-2026 (est.)</t>
        </is>
      </c>
      <c r="Q58" s="18" t="n">
        <v>3</v>
      </c>
    </row>
    <row r="59">
      <c r="A59" s="90" t="n">
        <v>46</v>
      </c>
      <c r="B59" s="91" t="inlineStr">
        <is>
          <t xml:space="preserve">        Perfil HEA 200 Acero A572 (12 m) ≈42.3 kg/m</t>
        </is>
      </c>
      <c r="C59" s="92" t="inlineStr">
        <is>
          <t>Industrial Heavy Duty</t>
        </is>
      </c>
      <c r="D59" s="90" t="inlineStr">
        <is>
          <t>Perfiles HEA</t>
        </is>
      </c>
      <c r="E59" s="90" t="inlineStr">
        <is>
          <t>U</t>
        </is>
      </c>
      <c r="F59" s="93" t="n">
        <v>0</v>
      </c>
      <c r="G59" s="94" t="n">
        <v>786.78</v>
      </c>
      <c r="H59" s="94" t="n">
        <v>818.25</v>
      </c>
      <c r="I59" s="90" t="inlineStr">
        <is>
          <t>Megametales</t>
        </is>
      </c>
      <c r="J59" s="94" t="n">
        <v>873.33</v>
      </c>
      <c r="K59" s="90" t="inlineStr">
        <is>
          <t>Kywi / Megakywi</t>
        </is>
      </c>
      <c r="L59" s="95">
        <f>F59*G59</f>
        <v/>
      </c>
      <c r="M59" s="155" t="inlineStr">
        <is>
          <t>S-B10-VAC-HEA200</t>
        </is>
      </c>
      <c r="N59" s="90" t="inlineStr">
        <is>
          <t>Estructuras</t>
        </is>
      </c>
      <c r="O59" s="90" t="inlineStr">
        <is>
          <t>Estimado DION · criterio de mercado Guayaquil 2026 (no verificado en tienda)</t>
        </is>
      </c>
      <c r="P59" s="90" t="inlineStr">
        <is>
          <t>oct-2026 (est.)</t>
        </is>
      </c>
      <c r="Q59" s="90" t="n">
        <v>3</v>
      </c>
    </row>
    <row r="60">
      <c r="A60" s="18" t="n">
        <v>47</v>
      </c>
      <c r="B60" s="19" t="inlineStr">
        <is>
          <t xml:space="preserve">        Perfil HEA 220 Acero A572 (12 m) ≈50.5 kg/m</t>
        </is>
      </c>
      <c r="C60" s="20" t="inlineStr">
        <is>
          <t>Industrial Heavy Duty</t>
        </is>
      </c>
      <c r="D60" s="18" t="inlineStr">
        <is>
          <t>Perfiles HEA</t>
        </is>
      </c>
      <c r="E60" s="18" t="inlineStr">
        <is>
          <t>U</t>
        </is>
      </c>
      <c r="F60" s="21" t="n">
        <v>0</v>
      </c>
      <c r="G60" s="22" t="n">
        <v>939.3</v>
      </c>
      <c r="H60" s="22" t="n">
        <v>967.48</v>
      </c>
      <c r="I60" s="18" t="inlineStr">
        <is>
          <t>Megametales</t>
        </is>
      </c>
      <c r="J60" s="22" t="n">
        <v>1014.44</v>
      </c>
      <c r="K60" s="18" t="inlineStr">
        <is>
          <t>Ferrisariato</t>
        </is>
      </c>
      <c r="L60" s="8">
        <f>F60*G60</f>
        <v/>
      </c>
      <c r="M60" s="145" t="inlineStr">
        <is>
          <t>S-B10-VAC-HEA220</t>
        </is>
      </c>
      <c r="N60" s="18" t="inlineStr">
        <is>
          <t>Estructuras</t>
        </is>
      </c>
      <c r="O60" s="18" t="inlineStr">
        <is>
          <t>Estimado DION · criterio de mercado Guayaquil 2026 (no verificado en tienda)</t>
        </is>
      </c>
      <c r="P60" s="18" t="inlineStr">
        <is>
          <t>oct-2026 (est.)</t>
        </is>
      </c>
      <c r="Q60" s="18" t="n">
        <v>3</v>
      </c>
    </row>
    <row r="61">
      <c r="A61" s="90" t="n">
        <v>48</v>
      </c>
      <c r="B61" s="91" t="inlineStr">
        <is>
          <t xml:space="preserve">        Perfil HEA 240 Acero A572 (12 m) ≈60.3 kg/m</t>
        </is>
      </c>
      <c r="C61" s="92" t="inlineStr">
        <is>
          <t>Industrial Heavy Duty</t>
        </is>
      </c>
      <c r="D61" s="90" t="inlineStr">
        <is>
          <t>Perfiles HEA</t>
        </is>
      </c>
      <c r="E61" s="90" t="inlineStr">
        <is>
          <t>U</t>
        </is>
      </c>
      <c r="F61" s="93" t="n">
        <v>0</v>
      </c>
      <c r="G61" s="94" t="n">
        <v>1121.58</v>
      </c>
      <c r="H61" s="94" t="n">
        <v>1144.01</v>
      </c>
      <c r="I61" s="90" t="inlineStr">
        <is>
          <t>Megametales</t>
        </is>
      </c>
      <c r="J61" s="94" t="n">
        <v>1222.52</v>
      </c>
      <c r="K61" s="90" t="inlineStr">
        <is>
          <t>Kywi / Megakywi</t>
        </is>
      </c>
      <c r="L61" s="95">
        <f>F61*G61</f>
        <v/>
      </c>
      <c r="M61" s="155" t="inlineStr">
        <is>
          <t>S-B10-VAC-HEA240</t>
        </is>
      </c>
      <c r="N61" s="90" t="inlineStr">
        <is>
          <t>Estructuras</t>
        </is>
      </c>
      <c r="O61" s="90" t="inlineStr">
        <is>
          <t>Estimado DION · criterio de mercado Guayaquil 2026 (no verificado en tienda)</t>
        </is>
      </c>
      <c r="P61" s="90" t="inlineStr">
        <is>
          <t>oct-2026 (est.)</t>
        </is>
      </c>
      <c r="Q61" s="90" t="n">
        <v>3</v>
      </c>
    </row>
    <row r="62">
      <c r="A62" s="18" t="n">
        <v>49</v>
      </c>
      <c r="B62" s="19" t="inlineStr">
        <is>
          <t xml:space="preserve">        Perfil HEA 260 Acero A572 (12 m) ≈68.2 kg/m</t>
        </is>
      </c>
      <c r="C62" s="20" t="inlineStr">
        <is>
          <t>Industrial Heavy Duty</t>
        </is>
      </c>
      <c r="D62" s="18" t="inlineStr">
        <is>
          <t>Perfiles HEA</t>
        </is>
      </c>
      <c r="E62" s="18" t="inlineStr">
        <is>
          <t>U</t>
        </is>
      </c>
      <c r="F62" s="21" t="n">
        <v>0</v>
      </c>
      <c r="G62" s="22" t="n">
        <v>1268.52</v>
      </c>
      <c r="H62" s="22" t="n">
        <v>1293.89</v>
      </c>
      <c r="I62" s="18" t="inlineStr">
        <is>
          <t>Megametales</t>
        </is>
      </c>
      <c r="J62" s="22" t="n">
        <v>1370</v>
      </c>
      <c r="K62" s="18" t="inlineStr">
        <is>
          <t>Ferrisariato</t>
        </is>
      </c>
      <c r="L62" s="8">
        <f>F62*G62</f>
        <v/>
      </c>
      <c r="M62" s="145" t="inlineStr">
        <is>
          <t>S-B10-VAC-HEA260</t>
        </is>
      </c>
      <c r="N62" s="18" t="inlineStr">
        <is>
          <t>Estructuras</t>
        </is>
      </c>
      <c r="O62" s="18" t="inlineStr">
        <is>
          <t>Estimado DION · criterio de mercado Guayaquil 2026 (no verificado en tienda)</t>
        </is>
      </c>
      <c r="P62" s="18" t="inlineStr">
        <is>
          <t>oct-2026 (est.)</t>
        </is>
      </c>
      <c r="Q62" s="18" t="n">
        <v>3</v>
      </c>
    </row>
    <row r="63">
      <c r="A63" s="90" t="n">
        <v>50</v>
      </c>
      <c r="B63" s="91" t="inlineStr">
        <is>
          <t xml:space="preserve">        Perfil HEA 280 Acero A572 (12 m) ≈76.4 kg/m</t>
        </is>
      </c>
      <c r="C63" s="92" t="inlineStr">
        <is>
          <t>Industrial Heavy Duty</t>
        </is>
      </c>
      <c r="D63" s="90" t="inlineStr">
        <is>
          <t>Perfiles HEA</t>
        </is>
      </c>
      <c r="E63" s="90" t="inlineStr">
        <is>
          <t>U</t>
        </is>
      </c>
      <c r="F63" s="93" t="n">
        <v>0</v>
      </c>
      <c r="G63" s="94" t="n">
        <v>1421.04</v>
      </c>
      <c r="H63" s="94" t="n">
        <v>1477.88</v>
      </c>
      <c r="I63" s="90" t="inlineStr">
        <is>
          <t>Megametales</t>
        </is>
      </c>
      <c r="J63" s="94" t="n">
        <v>1577.35</v>
      </c>
      <c r="K63" s="90" t="inlineStr">
        <is>
          <t>Kywi / Megakywi</t>
        </is>
      </c>
      <c r="L63" s="95">
        <f>F63*G63</f>
        <v/>
      </c>
      <c r="M63" s="155" t="inlineStr">
        <is>
          <t>S-B10-VAC-HEA280</t>
        </is>
      </c>
      <c r="N63" s="90" t="inlineStr">
        <is>
          <t>Estructuras</t>
        </is>
      </c>
      <c r="O63" s="90" t="inlineStr">
        <is>
          <t>Estimado DION · criterio de mercado Guayaquil 2026 (no verificado en tienda)</t>
        </is>
      </c>
      <c r="P63" s="90" t="inlineStr">
        <is>
          <t>oct-2026 (est.)</t>
        </is>
      </c>
      <c r="Q63" s="90" t="n">
        <v>3</v>
      </c>
    </row>
    <row r="64">
      <c r="A64" s="18" t="n">
        <v>51</v>
      </c>
      <c r="B64" s="19" t="inlineStr">
        <is>
          <t xml:space="preserve">        Perfil HEA 300 Acero A572 (12 m) ≈88.3 kg/m</t>
        </is>
      </c>
      <c r="C64" s="20" t="inlineStr">
        <is>
          <t>Industrial Heavy Duty</t>
        </is>
      </c>
      <c r="D64" s="18" t="inlineStr">
        <is>
          <t>Perfiles HEA</t>
        </is>
      </c>
      <c r="E64" s="18" t="inlineStr">
        <is>
          <t>U</t>
        </is>
      </c>
      <c r="F64" s="21" t="n">
        <v>0</v>
      </c>
      <c r="G64" s="22" t="n">
        <v>1642.38</v>
      </c>
      <c r="H64" s="22" t="n">
        <v>1675.23</v>
      </c>
      <c r="I64" s="18" t="inlineStr">
        <is>
          <t>Megametales</t>
        </is>
      </c>
      <c r="J64" s="22" t="n">
        <v>1757.35</v>
      </c>
      <c r="K64" s="18" t="inlineStr">
        <is>
          <t>Ferrisariato</t>
        </is>
      </c>
      <c r="L64" s="8">
        <f>F64*G64</f>
        <v/>
      </c>
      <c r="M64" s="145" t="inlineStr">
        <is>
          <t>S-B10-VAC-HEA300</t>
        </is>
      </c>
      <c r="N64" s="18" t="inlineStr">
        <is>
          <t>Estructuras</t>
        </is>
      </c>
      <c r="O64" s="18" t="inlineStr">
        <is>
          <t>Estimado DION · criterio de mercado Guayaquil 2026 (no verificado en tienda)</t>
        </is>
      </c>
      <c r="P64" s="18" t="inlineStr">
        <is>
          <t>oct-2026 (est.)</t>
        </is>
      </c>
      <c r="Q64" s="18" t="n">
        <v>3</v>
      </c>
    </row>
    <row r="65">
      <c r="A65" s="90" t="n">
        <v>52</v>
      </c>
      <c r="B65" s="91" t="inlineStr">
        <is>
          <t xml:space="preserve">        Perfil HEB 100 Acero A572 (12 m) ≈20.4 kg/m</t>
        </is>
      </c>
      <c r="C65" s="92" t="inlineStr">
        <is>
          <t>Industrial Heavy Duty</t>
        </is>
      </c>
      <c r="D65" s="90" t="inlineStr">
        <is>
          <t>Perfiles HEB</t>
        </is>
      </c>
      <c r="E65" s="90" t="inlineStr">
        <is>
          <t>U</t>
        </is>
      </c>
      <c r="F65" s="93" t="n">
        <v>1</v>
      </c>
      <c r="G65" s="94" t="n">
        <v>379.44</v>
      </c>
      <c r="H65" s="94" t="n">
        <v>390.82</v>
      </c>
      <c r="I65" s="90" t="inlineStr">
        <is>
          <t>Megametales</t>
        </is>
      </c>
      <c r="J65" s="94" t="n">
        <v>406</v>
      </c>
      <c r="K65" s="90" t="inlineStr">
        <is>
          <t>Kywi / Megakywi</t>
        </is>
      </c>
      <c r="L65" s="95">
        <f>F65*G65</f>
        <v/>
      </c>
      <c r="M65" s="155" t="inlineStr">
        <is>
          <t>S-B10-VAC-HEB100</t>
        </is>
      </c>
      <c r="N65" s="90" t="inlineStr">
        <is>
          <t>Estructuras</t>
        </is>
      </c>
      <c r="O65" s="90" t="inlineStr">
        <is>
          <t>Estimado DION · criterio de mercado Guayaquil 2026 (no verificado en tienda)</t>
        </is>
      </c>
      <c r="P65" s="90" t="inlineStr">
        <is>
          <t>oct-2026 (est.)</t>
        </is>
      </c>
      <c r="Q65" s="90" t="n">
        <v>3</v>
      </c>
    </row>
    <row r="66">
      <c r="A66" s="18" t="n">
        <v>53</v>
      </c>
      <c r="B66" s="19" t="inlineStr">
        <is>
          <t xml:space="preserve">        Perfil HEB 120 Acero A572 (12 m) ≈26.7 kg/m</t>
        </is>
      </c>
      <c r="C66" s="20" t="inlineStr">
        <is>
          <t>Industrial Heavy Duty</t>
        </is>
      </c>
      <c r="D66" s="18" t="inlineStr">
        <is>
          <t>Perfiles HEB</t>
        </is>
      </c>
      <c r="E66" s="18" t="inlineStr">
        <is>
          <t>U</t>
        </is>
      </c>
      <c r="F66" s="21" t="n">
        <v>1</v>
      </c>
      <c r="G66" s="22" t="n">
        <v>496.62</v>
      </c>
      <c r="H66" s="22" t="n">
        <v>506.55</v>
      </c>
      <c r="I66" s="18" t="inlineStr">
        <is>
          <t>Megametales</t>
        </is>
      </c>
      <c r="J66" s="22" t="n">
        <v>546.28</v>
      </c>
      <c r="K66" s="18" t="inlineStr">
        <is>
          <t>Ferrisariato</t>
        </is>
      </c>
      <c r="L66" s="8">
        <f>F66*G66</f>
        <v/>
      </c>
      <c r="M66" s="145" t="inlineStr">
        <is>
          <t>S-B10-VAC-HEB120</t>
        </is>
      </c>
      <c r="N66" s="18" t="inlineStr">
        <is>
          <t>Estructuras</t>
        </is>
      </c>
      <c r="O66" s="18" t="inlineStr">
        <is>
          <t>Estimado DION · criterio de mercado Guayaquil 2026 (no verificado en tienda)</t>
        </is>
      </c>
      <c r="P66" s="18" t="inlineStr">
        <is>
          <t>oct-2026 (est.)</t>
        </is>
      </c>
      <c r="Q66" s="18" t="n">
        <v>3</v>
      </c>
    </row>
    <row r="67">
      <c r="A67" s="90" t="n">
        <v>54</v>
      </c>
      <c r="B67" s="91" t="inlineStr">
        <is>
          <t xml:space="preserve">        Perfil HEB 140 Acero A572 (12 m) ≈33.7 kg/m</t>
        </is>
      </c>
      <c r="C67" s="92" t="inlineStr">
        <is>
          <t>Industrial Heavy Duty</t>
        </is>
      </c>
      <c r="D67" s="90" t="inlineStr">
        <is>
          <t>Perfiles HEB</t>
        </is>
      </c>
      <c r="E67" s="90" t="inlineStr">
        <is>
          <t>U</t>
        </is>
      </c>
      <c r="F67" s="93" t="n">
        <v>0</v>
      </c>
      <c r="G67" s="94" t="n">
        <v>626.8200000000001</v>
      </c>
      <c r="H67" s="94" t="n">
        <v>651.89</v>
      </c>
      <c r="I67" s="90" t="inlineStr">
        <is>
          <t>Megametales</t>
        </is>
      </c>
      <c r="J67" s="94" t="n">
        <v>670.7</v>
      </c>
      <c r="K67" s="90" t="inlineStr">
        <is>
          <t>Kywi / Megakywi</t>
        </is>
      </c>
      <c r="L67" s="95">
        <f>F67*G67</f>
        <v/>
      </c>
      <c r="M67" s="155" t="inlineStr">
        <is>
          <t>S-B10-VAC-HEB140</t>
        </is>
      </c>
      <c r="N67" s="90" t="inlineStr">
        <is>
          <t>Estructuras</t>
        </is>
      </c>
      <c r="O67" s="90" t="inlineStr">
        <is>
          <t>Estimado DION · criterio de mercado Guayaquil 2026 (no verificado en tienda)</t>
        </is>
      </c>
      <c r="P67" s="90" t="inlineStr">
        <is>
          <t>oct-2026 (est.)</t>
        </is>
      </c>
      <c r="Q67" s="90" t="n">
        <v>3</v>
      </c>
    </row>
    <row r="68">
      <c r="A68" s="18" t="n">
        <v>55</v>
      </c>
      <c r="B68" s="19" t="inlineStr">
        <is>
          <t xml:space="preserve">        Perfil HEB 160 Acero A572 (12 m) ≈42.6 kg/m</t>
        </is>
      </c>
      <c r="C68" s="20" t="inlineStr">
        <is>
          <t>Industrial Heavy Duty</t>
        </is>
      </c>
      <c r="D68" s="18" t="inlineStr">
        <is>
          <t>Perfiles HEB</t>
        </is>
      </c>
      <c r="E68" s="18" t="inlineStr">
        <is>
          <t>U</t>
        </is>
      </c>
      <c r="F68" s="21" t="n">
        <v>0</v>
      </c>
      <c r="G68" s="22" t="n">
        <v>792.36</v>
      </c>
      <c r="H68" s="22" t="n">
        <v>808.21</v>
      </c>
      <c r="I68" s="18" t="inlineStr">
        <is>
          <t>Megametales</t>
        </is>
      </c>
      <c r="J68" s="22" t="n">
        <v>863.67</v>
      </c>
      <c r="K68" s="18" t="inlineStr">
        <is>
          <t>Ferrisariato</t>
        </is>
      </c>
      <c r="L68" s="8">
        <f>F68*G68</f>
        <v/>
      </c>
      <c r="M68" s="145" t="inlineStr">
        <is>
          <t>S-B10-VAC-HEB160</t>
        </is>
      </c>
      <c r="N68" s="18" t="inlineStr">
        <is>
          <t>Estructuras</t>
        </is>
      </c>
      <c r="O68" s="18" t="inlineStr">
        <is>
          <t>Estimado DION · criterio de mercado Guayaquil 2026 (no verificado en tienda)</t>
        </is>
      </c>
      <c r="P68" s="18" t="inlineStr">
        <is>
          <t>oct-2026 (est.)</t>
        </is>
      </c>
      <c r="Q68" s="18" t="n">
        <v>3</v>
      </c>
    </row>
    <row r="69">
      <c r="A69" s="90" t="n">
        <v>56</v>
      </c>
      <c r="B69" s="91" t="inlineStr">
        <is>
          <t xml:space="preserve">        Perfil HEB 180 Acero A572 (12 m) ≈51.2 kg/m</t>
        </is>
      </c>
      <c r="C69" s="92" t="inlineStr">
        <is>
          <t>Industrial Heavy Duty</t>
        </is>
      </c>
      <c r="D69" s="90" t="inlineStr">
        <is>
          <t>Perfiles HEB</t>
        </is>
      </c>
      <c r="E69" s="90" t="inlineStr">
        <is>
          <t>U</t>
        </is>
      </c>
      <c r="F69" s="93" t="n">
        <v>0</v>
      </c>
      <c r="G69" s="94" t="n">
        <v>952.3200000000001</v>
      </c>
      <c r="H69" s="94" t="n">
        <v>971.37</v>
      </c>
      <c r="I69" s="90" t="inlineStr">
        <is>
          <t>Megametales</t>
        </is>
      </c>
      <c r="J69" s="94" t="n">
        <v>1018.98</v>
      </c>
      <c r="K69" s="90" t="inlineStr">
        <is>
          <t>Kywi / Megakywi</t>
        </is>
      </c>
      <c r="L69" s="95">
        <f>F69*G69</f>
        <v/>
      </c>
      <c r="M69" s="155" t="inlineStr">
        <is>
          <t>S-B10-VAC-HEB180</t>
        </is>
      </c>
      <c r="N69" s="90" t="inlineStr">
        <is>
          <t>Estructuras</t>
        </is>
      </c>
      <c r="O69" s="90" t="inlineStr">
        <is>
          <t>Estimado DION · criterio de mercado Guayaquil 2026 (no verificado en tienda)</t>
        </is>
      </c>
      <c r="P69" s="90" t="inlineStr">
        <is>
          <t>oct-2026 (est.)</t>
        </is>
      </c>
      <c r="Q69" s="90" t="n">
        <v>3</v>
      </c>
    </row>
    <row r="70">
      <c r="A70" s="18" t="n">
        <v>57</v>
      </c>
      <c r="B70" s="19" t="inlineStr">
        <is>
          <t xml:space="preserve">        Perfil HEB 200 Acero A572 (12 m) ≈61.3 kg/m</t>
        </is>
      </c>
      <c r="C70" s="20" t="inlineStr">
        <is>
          <t>Industrial Heavy Duty</t>
        </is>
      </c>
      <c r="D70" s="18" t="inlineStr">
        <is>
          <t>Perfiles HEB</t>
        </is>
      </c>
      <c r="E70" s="18" t="inlineStr">
        <is>
          <t>U</t>
        </is>
      </c>
      <c r="F70" s="21" t="n">
        <v>0</v>
      </c>
      <c r="G70" s="22" t="n">
        <v>1140.18</v>
      </c>
      <c r="H70" s="22" t="n">
        <v>1174.39</v>
      </c>
      <c r="I70" s="18" t="inlineStr">
        <is>
          <t>Megametales</t>
        </is>
      </c>
      <c r="J70" s="22" t="n">
        <v>1254.2</v>
      </c>
      <c r="K70" s="18" t="inlineStr">
        <is>
          <t>Ferrisariato</t>
        </is>
      </c>
      <c r="L70" s="8">
        <f>F70*G70</f>
        <v/>
      </c>
      <c r="M70" s="145" t="inlineStr">
        <is>
          <t>S-B10-VAC-HEB200</t>
        </is>
      </c>
      <c r="N70" s="18" t="inlineStr">
        <is>
          <t>Estructuras</t>
        </is>
      </c>
      <c r="O70" s="18" t="inlineStr">
        <is>
          <t>Estimado DION · criterio de mercado Guayaquil 2026 (no verificado en tienda)</t>
        </is>
      </c>
      <c r="P70" s="18" t="inlineStr">
        <is>
          <t>oct-2026 (est.)</t>
        </is>
      </c>
      <c r="Q70" s="18" t="n">
        <v>3</v>
      </c>
    </row>
    <row r="71">
      <c r="A71" s="90" t="n">
        <v>58</v>
      </c>
      <c r="B71" s="91" t="inlineStr">
        <is>
          <t xml:space="preserve">        Perfil HEB 220 Acero A572 (12 m) ≈71.5 kg/m</t>
        </is>
      </c>
      <c r="C71" s="92" t="inlineStr">
        <is>
          <t>Industrial Heavy Duty</t>
        </is>
      </c>
      <c r="D71" s="90" t="inlineStr">
        <is>
          <t>Perfiles HEB</t>
        </is>
      </c>
      <c r="E71" s="90" t="inlineStr">
        <is>
          <t>U</t>
        </is>
      </c>
      <c r="F71" s="93" t="n">
        <v>0</v>
      </c>
      <c r="G71" s="94" t="n">
        <v>1329.9</v>
      </c>
      <c r="H71" s="94" t="n">
        <v>1396.4</v>
      </c>
      <c r="I71" s="90" t="inlineStr">
        <is>
          <t>Megametales</t>
        </is>
      </c>
      <c r="J71" s="94" t="n">
        <v>1462.89</v>
      </c>
      <c r="K71" s="90" t="inlineStr">
        <is>
          <t>Kywi / Megakywi</t>
        </is>
      </c>
      <c r="L71" s="95">
        <f>F71*G71</f>
        <v/>
      </c>
      <c r="M71" s="155" t="inlineStr">
        <is>
          <t>S-B10-VAC-HEB220</t>
        </is>
      </c>
      <c r="N71" s="90" t="inlineStr">
        <is>
          <t>Estructuras</t>
        </is>
      </c>
      <c r="O71" s="90" t="inlineStr">
        <is>
          <t>Estimado DION · criterio de mercado Guayaquil 2026 (no verificado en tienda)</t>
        </is>
      </c>
      <c r="P71" s="90" t="inlineStr">
        <is>
          <t>oct-2026 (est.)</t>
        </is>
      </c>
      <c r="Q71" s="90" t="n">
        <v>3</v>
      </c>
    </row>
    <row r="72">
      <c r="A72" s="18" t="n">
        <v>59</v>
      </c>
      <c r="B72" s="19" t="inlineStr">
        <is>
          <t xml:space="preserve">        Perfil HEB 240 Acero A572 (12 m) ≈83.2 kg/m</t>
        </is>
      </c>
      <c r="C72" s="20" t="inlineStr">
        <is>
          <t>Industrial Heavy Duty</t>
        </is>
      </c>
      <c r="D72" s="18" t="inlineStr">
        <is>
          <t>Perfiles HEB</t>
        </is>
      </c>
      <c r="E72" s="18" t="inlineStr">
        <is>
          <t>U</t>
        </is>
      </c>
      <c r="F72" s="21" t="n">
        <v>0</v>
      </c>
      <c r="G72" s="22" t="n">
        <v>1547.52</v>
      </c>
      <c r="H72" s="22" t="n">
        <v>1609.42</v>
      </c>
      <c r="I72" s="18" t="inlineStr">
        <is>
          <t>Megametales</t>
        </is>
      </c>
      <c r="J72" s="22" t="n">
        <v>1671.32</v>
      </c>
      <c r="K72" s="18" t="inlineStr">
        <is>
          <t>Ferrisariato</t>
        </is>
      </c>
      <c r="L72" s="8">
        <f>F72*G72</f>
        <v/>
      </c>
      <c r="M72" s="145" t="inlineStr">
        <is>
          <t>S-B10-VAC-HEB240</t>
        </is>
      </c>
      <c r="N72" s="18" t="inlineStr">
        <is>
          <t>Estructuras</t>
        </is>
      </c>
      <c r="O72" s="18" t="inlineStr">
        <is>
          <t>Estimado DION · criterio de mercado Guayaquil 2026 (no verificado en tienda)</t>
        </is>
      </c>
      <c r="P72" s="18" t="inlineStr">
        <is>
          <t>oct-2026 (est.)</t>
        </is>
      </c>
      <c r="Q72" s="18" t="n">
        <v>3</v>
      </c>
    </row>
    <row r="73">
      <c r="A73" s="90" t="n">
        <v>60</v>
      </c>
      <c r="B73" s="91" t="inlineStr">
        <is>
          <t xml:space="preserve">        Perfil UPN 80 Acero A36 (6 m) ≈8.64 kg/m</t>
        </is>
      </c>
      <c r="C73" s="92" t="inlineStr">
        <is>
          <t>Comercial / Industrial</t>
        </is>
      </c>
      <c r="D73" s="90" t="inlineStr">
        <is>
          <t>Perfiles UPN</t>
        </is>
      </c>
      <c r="E73" s="90" t="inlineStr">
        <is>
          <t>U</t>
        </is>
      </c>
      <c r="F73" s="93" t="n">
        <v>2</v>
      </c>
      <c r="G73" s="94" t="n">
        <v>80.34999999999999</v>
      </c>
      <c r="H73" s="94" t="n">
        <v>83.56</v>
      </c>
      <c r="I73" s="90" t="inlineStr">
        <is>
          <t>Megametales</t>
        </is>
      </c>
      <c r="J73" s="94" t="n">
        <v>86.78</v>
      </c>
      <c r="K73" s="90" t="inlineStr">
        <is>
          <t>Kywi / Megakywi</t>
        </is>
      </c>
      <c r="L73" s="95">
        <f>F73*G73</f>
        <v/>
      </c>
      <c r="M73" s="155" t="inlineStr">
        <is>
          <t>S-B10-VAC-UPN80</t>
        </is>
      </c>
      <c r="N73" s="90" t="inlineStr">
        <is>
          <t>Estructuras</t>
        </is>
      </c>
      <c r="O73" s="90" t="inlineStr">
        <is>
          <t>Estimado DION · criterio de mercado Guayaquil 2026 (no verificado en tienda)</t>
        </is>
      </c>
      <c r="P73" s="90" t="inlineStr">
        <is>
          <t>oct-2026 (est.)</t>
        </is>
      </c>
      <c r="Q73" s="90" t="n">
        <v>3</v>
      </c>
    </row>
    <row r="74">
      <c r="A74" s="18" t="n">
        <v>61</v>
      </c>
      <c r="B74" s="19" t="inlineStr">
        <is>
          <t xml:space="preserve">        Perfil UPN 100 Acero A36 (6 m) ≈10.6 kg/m</t>
        </is>
      </c>
      <c r="C74" s="20" t="inlineStr">
        <is>
          <t>Comercial / Industrial</t>
        </is>
      </c>
      <c r="D74" s="18" t="inlineStr">
        <is>
          <t>Perfiles UPN</t>
        </is>
      </c>
      <c r="E74" s="18" t="inlineStr">
        <is>
          <t>U</t>
        </is>
      </c>
      <c r="F74" s="21" t="n">
        <v>2</v>
      </c>
      <c r="G74" s="22" t="n">
        <v>98.58</v>
      </c>
      <c r="H74" s="22" t="n">
        <v>102.52</v>
      </c>
      <c r="I74" s="18" t="inlineStr">
        <is>
          <t>Megametales</t>
        </is>
      </c>
      <c r="J74" s="22" t="n">
        <v>106.47</v>
      </c>
      <c r="K74" s="18" t="inlineStr">
        <is>
          <t>Ferrisariato</t>
        </is>
      </c>
      <c r="L74" s="8">
        <f>F74*G74</f>
        <v/>
      </c>
      <c r="M74" s="145" t="inlineStr">
        <is>
          <t>S-B10-VAC-UPN100</t>
        </is>
      </c>
      <c r="N74" s="18" t="inlineStr">
        <is>
          <t>Estructuras</t>
        </is>
      </c>
      <c r="O74" s="18" t="inlineStr">
        <is>
          <t>Estimado DION · criterio de mercado Guayaquil 2026 (no verificado en tienda)</t>
        </is>
      </c>
      <c r="P74" s="18" t="inlineStr">
        <is>
          <t>oct-2026 (est.)</t>
        </is>
      </c>
      <c r="Q74" s="18" t="n">
        <v>3</v>
      </c>
    </row>
    <row r="75">
      <c r="A75" s="90" t="n">
        <v>62</v>
      </c>
      <c r="B75" s="91" t="inlineStr">
        <is>
          <t xml:space="preserve">        Perfil UPN 120 Acero A36 (6 m) ≈13.4 kg/m</t>
        </is>
      </c>
      <c r="C75" s="92" t="inlineStr">
        <is>
          <t>Comercial / Industrial</t>
        </is>
      </c>
      <c r="D75" s="90" t="inlineStr">
        <is>
          <t>Perfiles UPN</t>
        </is>
      </c>
      <c r="E75" s="90" t="inlineStr">
        <is>
          <t>U</t>
        </is>
      </c>
      <c r="F75" s="93" t="n">
        <v>2</v>
      </c>
      <c r="G75" s="94" t="n">
        <v>124.62</v>
      </c>
      <c r="H75" s="94" t="n">
        <v>128.36</v>
      </c>
      <c r="I75" s="90" t="inlineStr">
        <is>
          <t>Megametales</t>
        </is>
      </c>
      <c r="J75" s="94" t="n">
        <v>135.84</v>
      </c>
      <c r="K75" s="90" t="inlineStr">
        <is>
          <t>Kywi / Megakywi</t>
        </is>
      </c>
      <c r="L75" s="95">
        <f>F75*G75</f>
        <v/>
      </c>
      <c r="M75" s="155" t="inlineStr">
        <is>
          <t>S-B10-VAC-UPN120</t>
        </is>
      </c>
      <c r="N75" s="90" t="inlineStr">
        <is>
          <t>Estructuras</t>
        </is>
      </c>
      <c r="O75" s="90" t="inlineStr">
        <is>
          <t>Estimado DION · criterio de mercado Guayaquil 2026 (no verificado en tienda)</t>
        </is>
      </c>
      <c r="P75" s="90" t="inlineStr">
        <is>
          <t>oct-2026 (est.)</t>
        </is>
      </c>
      <c r="Q75" s="90" t="n">
        <v>3</v>
      </c>
    </row>
    <row r="76">
      <c r="A76" s="18" t="n">
        <v>63</v>
      </c>
      <c r="B76" s="19" t="inlineStr">
        <is>
          <t xml:space="preserve">        Perfil UPN 140 Acero A36 (6 m) ≈16 kg/m</t>
        </is>
      </c>
      <c r="C76" s="20" t="inlineStr">
        <is>
          <t>Comercial / Industrial</t>
        </is>
      </c>
      <c r="D76" s="18" t="inlineStr">
        <is>
          <t>Perfiles UPN</t>
        </is>
      </c>
      <c r="E76" s="18" t="inlineStr">
        <is>
          <t>U</t>
        </is>
      </c>
      <c r="F76" s="21" t="n">
        <v>2</v>
      </c>
      <c r="G76" s="22" t="n">
        <v>148.8</v>
      </c>
      <c r="H76" s="22" t="n">
        <v>151.78</v>
      </c>
      <c r="I76" s="18" t="inlineStr">
        <is>
          <t>Megametales</t>
        </is>
      </c>
      <c r="J76" s="22" t="n">
        <v>163.68</v>
      </c>
      <c r="K76" s="18" t="inlineStr">
        <is>
          <t>Ferrisariato</t>
        </is>
      </c>
      <c r="L76" s="8">
        <f>F76*G76</f>
        <v/>
      </c>
      <c r="M76" s="145" t="inlineStr">
        <is>
          <t>S-B10-VAC-UPN140</t>
        </is>
      </c>
      <c r="N76" s="18" t="inlineStr">
        <is>
          <t>Estructuras</t>
        </is>
      </c>
      <c r="O76" s="18" t="inlineStr">
        <is>
          <t>Estimado DION · criterio de mercado Guayaquil 2026 (no verificado en tienda)</t>
        </is>
      </c>
      <c r="P76" s="18" t="inlineStr">
        <is>
          <t>oct-2026 (est.)</t>
        </is>
      </c>
      <c r="Q76" s="18" t="n">
        <v>3</v>
      </c>
    </row>
    <row r="77">
      <c r="A77" s="90" t="n">
        <v>64</v>
      </c>
      <c r="B77" s="91" t="inlineStr">
        <is>
          <t xml:space="preserve">        Perfil UPN 160 Acero A36 (6 m) ≈18.8 kg/m</t>
        </is>
      </c>
      <c r="C77" s="92" t="inlineStr">
        <is>
          <t>Comercial / Industrial</t>
        </is>
      </c>
      <c r="D77" s="90" t="inlineStr">
        <is>
          <t>Perfiles UPN</t>
        </is>
      </c>
      <c r="E77" s="90" t="inlineStr">
        <is>
          <t>U</t>
        </is>
      </c>
      <c r="F77" s="93" t="n">
        <v>2</v>
      </c>
      <c r="G77" s="94" t="n">
        <v>174.84</v>
      </c>
      <c r="H77" s="94" t="n">
        <v>183.58</v>
      </c>
      <c r="I77" s="90" t="inlineStr">
        <is>
          <t>Megametales</t>
        </is>
      </c>
      <c r="J77" s="94" t="n">
        <v>194.07</v>
      </c>
      <c r="K77" s="90" t="inlineStr">
        <is>
          <t>Kywi / Megakywi</t>
        </is>
      </c>
      <c r="L77" s="95">
        <f>F77*G77</f>
        <v/>
      </c>
      <c r="M77" s="155" t="inlineStr">
        <is>
          <t>S-B10-VAC-UPN160</t>
        </is>
      </c>
      <c r="N77" s="90" t="inlineStr">
        <is>
          <t>Estructuras</t>
        </is>
      </c>
      <c r="O77" s="90" t="inlineStr">
        <is>
          <t>Estimado DION · criterio de mercado Guayaquil 2026 (no verificado en tienda)</t>
        </is>
      </c>
      <c r="P77" s="90" t="inlineStr">
        <is>
          <t>oct-2026 (est.)</t>
        </is>
      </c>
      <c r="Q77" s="90" t="n">
        <v>3</v>
      </c>
    </row>
    <row r="78">
      <c r="A78" s="18" t="n">
        <v>65</v>
      </c>
      <c r="B78" s="19" t="inlineStr">
        <is>
          <t xml:space="preserve">        Perfil UPN 180 Acero A36 (6 m) ≈22 kg/m</t>
        </is>
      </c>
      <c r="C78" s="20" t="inlineStr">
        <is>
          <t>Comercial / Industrial</t>
        </is>
      </c>
      <c r="D78" s="18" t="inlineStr">
        <is>
          <t>Perfiles UPN</t>
        </is>
      </c>
      <c r="E78" s="18" t="inlineStr">
        <is>
          <t>U</t>
        </is>
      </c>
      <c r="F78" s="21" t="n">
        <v>2</v>
      </c>
      <c r="G78" s="22" t="n">
        <v>204.6</v>
      </c>
      <c r="H78" s="22" t="n">
        <v>212.78</v>
      </c>
      <c r="I78" s="18" t="inlineStr">
        <is>
          <t>Megametales</t>
        </is>
      </c>
      <c r="J78" s="22" t="n">
        <v>223.01</v>
      </c>
      <c r="K78" s="18" t="inlineStr">
        <is>
          <t>Ferrisariato</t>
        </is>
      </c>
      <c r="L78" s="8">
        <f>F78*G78</f>
        <v/>
      </c>
      <c r="M78" s="145" t="inlineStr">
        <is>
          <t>S-B10-VAC-UPN180</t>
        </is>
      </c>
      <c r="N78" s="18" t="inlineStr">
        <is>
          <t>Estructuras</t>
        </is>
      </c>
      <c r="O78" s="18" t="inlineStr">
        <is>
          <t>Estimado DION · criterio de mercado Guayaquil 2026 (no verificado en tienda)</t>
        </is>
      </c>
      <c r="P78" s="18" t="inlineStr">
        <is>
          <t>oct-2026 (est.)</t>
        </is>
      </c>
      <c r="Q78" s="18" t="n">
        <v>3</v>
      </c>
    </row>
    <row r="79">
      <c r="A79" s="90" t="n">
        <v>66</v>
      </c>
      <c r="B79" s="91" t="inlineStr">
        <is>
          <t xml:space="preserve">        Perfil UPN 200 Acero A36 (6 m) ≈25.3 kg/m</t>
        </is>
      </c>
      <c r="C79" s="92" t="inlineStr">
        <is>
          <t>Comercial / Industrial</t>
        </is>
      </c>
      <c r="D79" s="90" t="inlineStr">
        <is>
          <t>Perfiles UPN</t>
        </is>
      </c>
      <c r="E79" s="90" t="inlineStr">
        <is>
          <t>U</t>
        </is>
      </c>
      <c r="F79" s="93" t="n">
        <v>2</v>
      </c>
      <c r="G79" s="94" t="n">
        <v>235.29</v>
      </c>
      <c r="H79" s="94" t="n">
        <v>244.7</v>
      </c>
      <c r="I79" s="90" t="inlineStr">
        <is>
          <t>Megametales</t>
        </is>
      </c>
      <c r="J79" s="94" t="n">
        <v>261.17</v>
      </c>
      <c r="K79" s="90" t="inlineStr">
        <is>
          <t>Kywi / Megakywi</t>
        </is>
      </c>
      <c r="L79" s="95">
        <f>F79*G79</f>
        <v/>
      </c>
      <c r="M79" s="155" t="inlineStr">
        <is>
          <t>S-B10-VAC-UPN200</t>
        </is>
      </c>
      <c r="N79" s="90" t="inlineStr">
        <is>
          <t>Estructuras</t>
        </is>
      </c>
      <c r="O79" s="90" t="inlineStr">
        <is>
          <t>Estimado DION · criterio de mercado Guayaquil 2026 (no verificado en tienda)</t>
        </is>
      </c>
      <c r="P79" s="90" t="inlineStr">
        <is>
          <t>oct-2026 (est.)</t>
        </is>
      </c>
      <c r="Q79" s="90" t="n">
        <v>3</v>
      </c>
    </row>
    <row r="80">
      <c r="A80" s="18" t="n">
        <v>67</v>
      </c>
      <c r="B80" s="19" t="inlineStr">
        <is>
          <t xml:space="preserve">        Perfil UPN 220 Acero A36 (6 m) ≈29.4 kg/m</t>
        </is>
      </c>
      <c r="C80" s="20" t="inlineStr">
        <is>
          <t>Comercial / Industrial</t>
        </is>
      </c>
      <c r="D80" s="18" t="inlineStr">
        <is>
          <t>Perfiles UPN</t>
        </is>
      </c>
      <c r="E80" s="18" t="inlineStr">
        <is>
          <t>U</t>
        </is>
      </c>
      <c r="F80" s="21" t="n">
        <v>2</v>
      </c>
      <c r="G80" s="22" t="n">
        <v>273.42</v>
      </c>
      <c r="H80" s="22" t="n">
        <v>284.36</v>
      </c>
      <c r="I80" s="18" t="inlineStr">
        <is>
          <t>Megametales</t>
        </is>
      </c>
      <c r="J80" s="22" t="n">
        <v>292.56</v>
      </c>
      <c r="K80" s="18" t="inlineStr">
        <is>
          <t>Ferrisariato</t>
        </is>
      </c>
      <c r="L80" s="8">
        <f>F80*G80</f>
        <v/>
      </c>
      <c r="M80" s="145" t="inlineStr">
        <is>
          <t>S-B10-VAC-UPN220</t>
        </is>
      </c>
      <c r="N80" s="18" t="inlineStr">
        <is>
          <t>Estructuras</t>
        </is>
      </c>
      <c r="O80" s="18" t="inlineStr">
        <is>
          <t>Estimado DION · criterio de mercado Guayaquil 2026 (no verificado en tienda)</t>
        </is>
      </c>
      <c r="P80" s="18" t="inlineStr">
        <is>
          <t>oct-2026 (est.)</t>
        </is>
      </c>
      <c r="Q80" s="18" t="n">
        <v>3</v>
      </c>
    </row>
    <row r="81">
      <c r="A81" s="90" t="n">
        <v>68</v>
      </c>
      <c r="B81" s="91" t="inlineStr">
        <is>
          <t xml:space="preserve">        Perfil UPN 240 Acero A36 (6 m) ≈33.2 kg/m</t>
        </is>
      </c>
      <c r="C81" s="92" t="inlineStr">
        <is>
          <t>Comercial / Industrial</t>
        </is>
      </c>
      <c r="D81" s="90" t="inlineStr">
        <is>
          <t>Perfiles UPN</t>
        </is>
      </c>
      <c r="E81" s="90" t="inlineStr">
        <is>
          <t>U</t>
        </is>
      </c>
      <c r="F81" s="93" t="n">
        <v>2</v>
      </c>
      <c r="G81" s="94" t="n">
        <v>308.76</v>
      </c>
      <c r="H81" s="94" t="n">
        <v>314.94</v>
      </c>
      <c r="I81" s="90" t="inlineStr">
        <is>
          <t>Megametales</t>
        </is>
      </c>
      <c r="J81" s="94" t="n">
        <v>339.64</v>
      </c>
      <c r="K81" s="90" t="inlineStr">
        <is>
          <t>Kywi / Megakywi</t>
        </is>
      </c>
      <c r="L81" s="95">
        <f>F81*G81</f>
        <v/>
      </c>
      <c r="M81" s="155" t="inlineStr">
        <is>
          <t>S-B10-VAC-UPN240</t>
        </is>
      </c>
      <c r="N81" s="90" t="inlineStr">
        <is>
          <t>Estructuras</t>
        </is>
      </c>
      <c r="O81" s="90" t="inlineStr">
        <is>
          <t>Estimado DION · criterio de mercado Guayaquil 2026 (no verificado en tienda)</t>
        </is>
      </c>
      <c r="P81" s="90" t="inlineStr">
        <is>
          <t>oct-2026 (est.)</t>
        </is>
      </c>
      <c r="Q81" s="90" t="n">
        <v>3</v>
      </c>
    </row>
    <row r="82">
      <c r="A82" s="18" t="n">
        <v>69</v>
      </c>
      <c r="B82" s="19" t="inlineStr">
        <is>
          <t xml:space="preserve">        Perfil UPN 260 Acero A36 (6 m) ≈37.9 kg/m</t>
        </is>
      </c>
      <c r="C82" s="20" t="inlineStr">
        <is>
          <t>Comercial / Industrial</t>
        </is>
      </c>
      <c r="D82" s="18" t="inlineStr">
        <is>
          <t>Perfiles UPN</t>
        </is>
      </c>
      <c r="E82" s="18" t="inlineStr">
        <is>
          <t>U</t>
        </is>
      </c>
      <c r="F82" s="21" t="n">
        <v>2</v>
      </c>
      <c r="G82" s="22" t="n">
        <v>352.47</v>
      </c>
      <c r="H82" s="22" t="n">
        <v>366.57</v>
      </c>
      <c r="I82" s="18" t="inlineStr">
        <is>
          <t>Megametales</t>
        </is>
      </c>
      <c r="J82" s="22" t="n">
        <v>377.14</v>
      </c>
      <c r="K82" s="18" t="inlineStr">
        <is>
          <t>Ferrisariato</t>
        </is>
      </c>
      <c r="L82" s="8">
        <f>F82*G82</f>
        <v/>
      </c>
      <c r="M82" s="145" t="inlineStr">
        <is>
          <t>S-B10-VAC-UPN260</t>
        </is>
      </c>
      <c r="N82" s="18" t="inlineStr">
        <is>
          <t>Estructuras</t>
        </is>
      </c>
      <c r="O82" s="18" t="inlineStr">
        <is>
          <t>Estimado DION · criterio de mercado Guayaquil 2026 (no verificado en tienda)</t>
        </is>
      </c>
      <c r="P82" s="18" t="inlineStr">
        <is>
          <t>oct-2026 (est.)</t>
        </is>
      </c>
      <c r="Q82" s="18" t="n">
        <v>3</v>
      </c>
    </row>
    <row r="83">
      <c r="A83" s="90" t="n">
        <v>70</v>
      </c>
      <c r="B83" s="91" t="inlineStr">
        <is>
          <t xml:space="preserve">        Perfil UPN 300 Acero A36 (6 m) ≈46.2 kg/m</t>
        </is>
      </c>
      <c r="C83" s="92" t="inlineStr">
        <is>
          <t>Comercial / Industrial</t>
        </is>
      </c>
      <c r="D83" s="90" t="inlineStr">
        <is>
          <t>Perfiles UPN</t>
        </is>
      </c>
      <c r="E83" s="90" t="inlineStr">
        <is>
          <t>U</t>
        </is>
      </c>
      <c r="F83" s="93" t="n">
        <v>2</v>
      </c>
      <c r="G83" s="94" t="n">
        <v>429.66</v>
      </c>
      <c r="H83" s="94" t="n">
        <v>451.14</v>
      </c>
      <c r="I83" s="90" t="inlineStr">
        <is>
          <t>Megametales</t>
        </is>
      </c>
      <c r="J83" s="94" t="n">
        <v>476.92</v>
      </c>
      <c r="K83" s="90" t="inlineStr">
        <is>
          <t>Kywi / Megakywi</t>
        </is>
      </c>
      <c r="L83" s="95">
        <f>F83*G83</f>
        <v/>
      </c>
      <c r="M83" s="155" t="inlineStr">
        <is>
          <t>S-B10-VAC-UPN300</t>
        </is>
      </c>
      <c r="N83" s="90" t="inlineStr">
        <is>
          <t>Estructuras</t>
        </is>
      </c>
      <c r="O83" s="90" t="inlineStr">
        <is>
          <t>Estimado DION · criterio de mercado Guayaquil 2026 (no verificado en tienda)</t>
        </is>
      </c>
      <c r="P83" s="90" t="inlineStr">
        <is>
          <t>oct-2026 (est.)</t>
        </is>
      </c>
      <c r="Q83" s="90" t="n">
        <v>3</v>
      </c>
    </row>
    <row r="84">
      <c r="A84" s="18" t="n">
        <v>71</v>
      </c>
      <c r="B84" s="19" t="inlineStr">
        <is>
          <t xml:space="preserve">        Tubo Estructural Cuadrado 50x50x2 mm (6 m)</t>
        </is>
      </c>
      <c r="C84" s="20" t="inlineStr">
        <is>
          <t>Residencial / Comercial / Ind</t>
        </is>
      </c>
      <c r="D84" s="18" t="inlineStr">
        <is>
          <t>Tubos Cuadrados</t>
        </is>
      </c>
      <c r="E84" s="18" t="inlineStr">
        <is>
          <t>U</t>
        </is>
      </c>
      <c r="F84" s="21" t="n">
        <v>4</v>
      </c>
      <c r="G84" s="22" t="n">
        <v>29.44</v>
      </c>
      <c r="H84" s="22" t="n">
        <v>30.91</v>
      </c>
      <c r="I84" s="18" t="inlineStr">
        <is>
          <t>Megametales</t>
        </is>
      </c>
      <c r="J84" s="22" t="n">
        <v>32.09</v>
      </c>
      <c r="K84" s="18" t="inlineStr">
        <is>
          <t>Ferrisariato</t>
        </is>
      </c>
      <c r="L84" s="8">
        <f>F84*G84</f>
        <v/>
      </c>
      <c r="M84" s="145" t="inlineStr">
        <is>
          <t>S-B10-TUB-CU-50X50X2</t>
        </is>
      </c>
      <c r="N84" s="18" t="inlineStr">
        <is>
          <t>Estructuras</t>
        </is>
      </c>
      <c r="O84" s="18" t="inlineStr">
        <is>
          <t>Estimado DION · criterio de mercado Guayaquil 2026 (no verificado en tienda)</t>
        </is>
      </c>
      <c r="P84" s="18" t="inlineStr">
        <is>
          <t>oct-2026 (est.)</t>
        </is>
      </c>
      <c r="Q84" s="18" t="n">
        <v>3</v>
      </c>
    </row>
    <row r="85">
      <c r="A85" s="90" t="n">
        <v>72</v>
      </c>
      <c r="B85" s="91" t="inlineStr">
        <is>
          <t xml:space="preserve">        Tubo Estructural Cuadrado 50x50x3 mm (6 m)</t>
        </is>
      </c>
      <c r="C85" s="92" t="inlineStr">
        <is>
          <t>Residencial / Comercial / Ind</t>
        </is>
      </c>
      <c r="D85" s="90" t="inlineStr">
        <is>
          <t>Tubos Cuadrados</t>
        </is>
      </c>
      <c r="E85" s="90" t="inlineStr">
        <is>
          <t>U</t>
        </is>
      </c>
      <c r="F85" s="93" t="n">
        <v>4</v>
      </c>
      <c r="G85" s="94" t="n">
        <v>43.23</v>
      </c>
      <c r="H85" s="94" t="n">
        <v>44.96</v>
      </c>
      <c r="I85" s="90" t="inlineStr">
        <is>
          <t>Megametales</t>
        </is>
      </c>
      <c r="J85" s="94" t="n">
        <v>46.26</v>
      </c>
      <c r="K85" s="90" t="inlineStr">
        <is>
          <t>Kywi / Megakywi</t>
        </is>
      </c>
      <c r="L85" s="95">
        <f>F85*G85</f>
        <v/>
      </c>
      <c r="M85" s="155" t="inlineStr">
        <is>
          <t>S-B10-TUB-CU-50X50X3</t>
        </is>
      </c>
      <c r="N85" s="90" t="inlineStr">
        <is>
          <t>Estructuras</t>
        </is>
      </c>
      <c r="O85" s="90" t="inlineStr">
        <is>
          <t>Estimado DION · criterio de mercado Guayaquil 2026 (no verificado en tienda)</t>
        </is>
      </c>
      <c r="P85" s="90" t="inlineStr">
        <is>
          <t>oct-2026 (est.)</t>
        </is>
      </c>
      <c r="Q85" s="90" t="n">
        <v>3</v>
      </c>
    </row>
    <row r="86">
      <c r="A86" s="18" t="n">
        <v>73</v>
      </c>
      <c r="B86" s="19" t="inlineStr">
        <is>
          <t xml:space="preserve">        Tubo Estructural Cuadrado 75x75x3 mm (6 m)</t>
        </is>
      </c>
      <c r="C86" s="20" t="inlineStr">
        <is>
          <t>Residencial / Comercial / Ind</t>
        </is>
      </c>
      <c r="D86" s="18" t="inlineStr">
        <is>
          <t>Tubos Cuadrados</t>
        </is>
      </c>
      <c r="E86" s="18" t="inlineStr">
        <is>
          <t>U</t>
        </is>
      </c>
      <c r="F86" s="21" t="n">
        <v>4</v>
      </c>
      <c r="G86" s="22" t="n">
        <v>66.23</v>
      </c>
      <c r="H86" s="22" t="n">
        <v>69.54000000000001</v>
      </c>
      <c r="I86" s="18" t="inlineStr">
        <is>
          <t>Megametales</t>
        </is>
      </c>
      <c r="J86" s="22" t="n">
        <v>70.87</v>
      </c>
      <c r="K86" s="18" t="inlineStr">
        <is>
          <t>Ferrisariato</t>
        </is>
      </c>
      <c r="L86" s="8">
        <f>F86*G86</f>
        <v/>
      </c>
      <c r="M86" s="145" t="inlineStr">
        <is>
          <t>S-B10-TUB-CU-75X75X3</t>
        </is>
      </c>
      <c r="N86" s="18" t="inlineStr">
        <is>
          <t>Estructuras</t>
        </is>
      </c>
      <c r="O86" s="18" t="inlineStr">
        <is>
          <t>Estimado DION · criterio de mercado Guayaquil 2026 (no verificado en tienda)</t>
        </is>
      </c>
      <c r="P86" s="18" t="inlineStr">
        <is>
          <t>oct-2026 (est.)</t>
        </is>
      </c>
      <c r="Q86" s="18" t="n">
        <v>3</v>
      </c>
    </row>
    <row r="87">
      <c r="A87" s="90" t="n">
        <v>74</v>
      </c>
      <c r="B87" s="91" t="inlineStr">
        <is>
          <t xml:space="preserve">        Tubo Estructural Cuadrado 100x100x4 mm (6 m)</t>
        </is>
      </c>
      <c r="C87" s="92" t="inlineStr">
        <is>
          <t>Residencial / Comercial / Ind</t>
        </is>
      </c>
      <c r="D87" s="90" t="inlineStr">
        <is>
          <t>Tubos Cuadrados</t>
        </is>
      </c>
      <c r="E87" s="90" t="inlineStr">
        <is>
          <t>U</t>
        </is>
      </c>
      <c r="F87" s="93" t="n">
        <v>4</v>
      </c>
      <c r="G87" s="94" t="n">
        <v>117.74</v>
      </c>
      <c r="H87" s="94" t="n">
        <v>123.63</v>
      </c>
      <c r="I87" s="90" t="inlineStr">
        <is>
          <t>Megametales</t>
        </is>
      </c>
      <c r="J87" s="94" t="n">
        <v>127.16</v>
      </c>
      <c r="K87" s="90" t="inlineStr">
        <is>
          <t>Kywi / Megakywi</t>
        </is>
      </c>
      <c r="L87" s="95">
        <f>F87*G87</f>
        <v/>
      </c>
      <c r="M87" s="155" t="inlineStr">
        <is>
          <t>S-B10-TUB-CU-100X100X4</t>
        </is>
      </c>
      <c r="N87" s="90" t="inlineStr">
        <is>
          <t>Estructuras</t>
        </is>
      </c>
      <c r="O87" s="90" t="inlineStr">
        <is>
          <t>Estimado DION · criterio de mercado Guayaquil 2026 (no verificado en tienda)</t>
        </is>
      </c>
      <c r="P87" s="90" t="inlineStr">
        <is>
          <t>oct-2026 (est.)</t>
        </is>
      </c>
      <c r="Q87" s="90" t="n">
        <v>3</v>
      </c>
    </row>
    <row r="88">
      <c r="A88" s="18" t="n">
        <v>75</v>
      </c>
      <c r="B88" s="19" t="inlineStr">
        <is>
          <t xml:space="preserve">        Tubo Estructural Cuadrado 100x100x6 mm (6 m)</t>
        </is>
      </c>
      <c r="C88" s="20" t="inlineStr">
        <is>
          <t>Residencial / Comercial / Ind</t>
        </is>
      </c>
      <c r="D88" s="18" t="inlineStr">
        <is>
          <t>Tubos Cuadrados</t>
        </is>
      </c>
      <c r="E88" s="18" t="inlineStr">
        <is>
          <t>U</t>
        </is>
      </c>
      <c r="F88" s="21" t="n">
        <v>4</v>
      </c>
      <c r="G88" s="22" t="n">
        <v>172.93</v>
      </c>
      <c r="H88" s="22" t="n">
        <v>181.58</v>
      </c>
      <c r="I88" s="18" t="inlineStr">
        <is>
          <t>Megametales</t>
        </is>
      </c>
      <c r="J88" s="22" t="n">
        <v>191.95</v>
      </c>
      <c r="K88" s="18" t="inlineStr">
        <is>
          <t>Ferrisariato</t>
        </is>
      </c>
      <c r="L88" s="8">
        <f>F88*G88</f>
        <v/>
      </c>
      <c r="M88" s="145" t="inlineStr">
        <is>
          <t>S-B10-TUB-CU-100X100X6</t>
        </is>
      </c>
      <c r="N88" s="18" t="inlineStr">
        <is>
          <t>Estructuras</t>
        </is>
      </c>
      <c r="O88" s="18" t="inlineStr">
        <is>
          <t>Estimado DION · criterio de mercado Guayaquil 2026 (no verificado en tienda)</t>
        </is>
      </c>
      <c r="P88" s="18" t="inlineStr">
        <is>
          <t>oct-2026 (est.)</t>
        </is>
      </c>
      <c r="Q88" s="18" t="n">
        <v>3</v>
      </c>
    </row>
    <row r="89">
      <c r="A89" s="90" t="n">
        <v>76</v>
      </c>
      <c r="B89" s="91" t="inlineStr">
        <is>
          <t xml:space="preserve">        Tubo Estructural Cuadrado 125x125x4 mm (6 m)</t>
        </is>
      </c>
      <c r="C89" s="92" t="inlineStr">
        <is>
          <t>Residencial / Comercial / Ind</t>
        </is>
      </c>
      <c r="D89" s="90" t="inlineStr">
        <is>
          <t>Tubos Cuadrados</t>
        </is>
      </c>
      <c r="E89" s="90" t="inlineStr">
        <is>
          <t>U</t>
        </is>
      </c>
      <c r="F89" s="93" t="n">
        <v>4</v>
      </c>
      <c r="G89" s="94" t="n">
        <v>148.4</v>
      </c>
      <c r="H89" s="94" t="n">
        <v>154.34</v>
      </c>
      <c r="I89" s="90" t="inlineStr">
        <is>
          <t>Megametales</t>
        </is>
      </c>
      <c r="J89" s="94" t="n">
        <v>160.27</v>
      </c>
      <c r="K89" s="90" t="inlineStr">
        <is>
          <t>Kywi / Megakywi</t>
        </is>
      </c>
      <c r="L89" s="95">
        <f>F89*G89</f>
        <v/>
      </c>
      <c r="M89" s="155" t="inlineStr">
        <is>
          <t>S-B10-TUB-CU-125X125X4</t>
        </is>
      </c>
      <c r="N89" s="90" t="inlineStr">
        <is>
          <t>Estructuras</t>
        </is>
      </c>
      <c r="O89" s="90" t="inlineStr">
        <is>
          <t>Estimado DION · criterio de mercado Guayaquil 2026 (no verificado en tienda)</t>
        </is>
      </c>
      <c r="P89" s="90" t="inlineStr">
        <is>
          <t>oct-2026 (est.)</t>
        </is>
      </c>
      <c r="Q89" s="90" t="n">
        <v>3</v>
      </c>
    </row>
    <row r="90">
      <c r="A90" s="18" t="n">
        <v>77</v>
      </c>
      <c r="B90" s="19" t="inlineStr">
        <is>
          <t xml:space="preserve">        Tubo Estructural Cuadrado 150x150x4 mm (6 m)</t>
        </is>
      </c>
      <c r="C90" s="20" t="inlineStr">
        <is>
          <t>Residencial / Comercial / Ind</t>
        </is>
      </c>
      <c r="D90" s="18" t="inlineStr">
        <is>
          <t>Tubos Cuadrados</t>
        </is>
      </c>
      <c r="E90" s="18" t="inlineStr">
        <is>
          <t>U</t>
        </is>
      </c>
      <c r="F90" s="21" t="n">
        <v>4</v>
      </c>
      <c r="G90" s="22" t="n">
        <v>179.07</v>
      </c>
      <c r="H90" s="22" t="n">
        <v>182.65</v>
      </c>
      <c r="I90" s="18" t="inlineStr">
        <is>
          <t>Megametales</t>
        </is>
      </c>
      <c r="J90" s="22" t="n">
        <v>191.6</v>
      </c>
      <c r="K90" s="18" t="inlineStr">
        <is>
          <t>Ferrisariato</t>
        </is>
      </c>
      <c r="L90" s="8">
        <f>F90*G90</f>
        <v/>
      </c>
      <c r="M90" s="145" t="inlineStr">
        <is>
          <t>S-B10-TUB-CU-150X150X4</t>
        </is>
      </c>
      <c r="N90" s="18" t="inlineStr">
        <is>
          <t>Estructuras</t>
        </is>
      </c>
      <c r="O90" s="18" t="inlineStr">
        <is>
          <t>Estimado DION · criterio de mercado Guayaquil 2026 (no verificado en tienda)</t>
        </is>
      </c>
      <c r="P90" s="18" t="inlineStr">
        <is>
          <t>oct-2026 (est.)</t>
        </is>
      </c>
      <c r="Q90" s="18" t="n">
        <v>3</v>
      </c>
    </row>
    <row r="91">
      <c r="A91" s="90" t="n">
        <v>78</v>
      </c>
      <c r="B91" s="91" t="inlineStr">
        <is>
          <t xml:space="preserve">        Tubo Estructural Cuadrado 150x150x6 mm (6 m)</t>
        </is>
      </c>
      <c r="C91" s="92" t="inlineStr">
        <is>
          <t>Residencial / Comercial / Ind</t>
        </is>
      </c>
      <c r="D91" s="90" t="inlineStr">
        <is>
          <t>Tubos Cuadrados</t>
        </is>
      </c>
      <c r="E91" s="90" t="inlineStr">
        <is>
          <t>U</t>
        </is>
      </c>
      <c r="F91" s="93" t="n">
        <v>4</v>
      </c>
      <c r="G91" s="94" t="n">
        <v>264.92</v>
      </c>
      <c r="H91" s="94" t="n">
        <v>270.22</v>
      </c>
      <c r="I91" s="90" t="inlineStr">
        <is>
          <t>Megametales</t>
        </is>
      </c>
      <c r="J91" s="94" t="n">
        <v>286.11</v>
      </c>
      <c r="K91" s="90" t="inlineStr">
        <is>
          <t>Kywi / Megakywi</t>
        </is>
      </c>
      <c r="L91" s="95">
        <f>F91*G91</f>
        <v/>
      </c>
      <c r="M91" s="155" t="inlineStr">
        <is>
          <t>S-B10-TUB-CU-150X150X6</t>
        </is>
      </c>
      <c r="N91" s="90" t="inlineStr">
        <is>
          <t>Estructuras</t>
        </is>
      </c>
      <c r="O91" s="90" t="inlineStr">
        <is>
          <t>Estimado DION · criterio de mercado Guayaquil 2026 (no verificado en tienda)</t>
        </is>
      </c>
      <c r="P91" s="90" t="inlineStr">
        <is>
          <t>oct-2026 (est.)</t>
        </is>
      </c>
      <c r="Q91" s="90" t="n">
        <v>3</v>
      </c>
    </row>
    <row r="92">
      <c r="A92" s="18" t="n">
        <v>79</v>
      </c>
      <c r="B92" s="19" t="inlineStr">
        <is>
          <t xml:space="preserve">        Tubo Estructural Cuadrado 200x200x6 mm (6 m)</t>
        </is>
      </c>
      <c r="C92" s="20" t="inlineStr">
        <is>
          <t>Residencial / Comercial / Ind</t>
        </is>
      </c>
      <c r="D92" s="18" t="inlineStr">
        <is>
          <t>Tubos Cuadrados</t>
        </is>
      </c>
      <c r="E92" s="18" t="inlineStr">
        <is>
          <t>U</t>
        </is>
      </c>
      <c r="F92" s="21" t="n">
        <v>4</v>
      </c>
      <c r="G92" s="22" t="n">
        <v>356.91</v>
      </c>
      <c r="H92" s="22" t="n">
        <v>367.62</v>
      </c>
      <c r="I92" s="18" t="inlineStr">
        <is>
          <t>Megametales</t>
        </is>
      </c>
      <c r="J92" s="22" t="n">
        <v>389.03</v>
      </c>
      <c r="K92" s="18" t="inlineStr">
        <is>
          <t>Ferrisariato</t>
        </is>
      </c>
      <c r="L92" s="8">
        <f>F92*G92</f>
        <v/>
      </c>
      <c r="M92" s="145" t="inlineStr">
        <is>
          <t>S-B10-TUB-CU-200X200X6</t>
        </is>
      </c>
      <c r="N92" s="18" t="inlineStr">
        <is>
          <t>Estructuras</t>
        </is>
      </c>
      <c r="O92" s="18" t="inlineStr">
        <is>
          <t>Estimado DION · criterio de mercado Guayaquil 2026 (no verificado en tienda)</t>
        </is>
      </c>
      <c r="P92" s="18" t="inlineStr">
        <is>
          <t>oct-2026 (est.)</t>
        </is>
      </c>
      <c r="Q92" s="18" t="n">
        <v>3</v>
      </c>
    </row>
    <row r="93">
      <c r="A93" s="90" t="n">
        <v>80</v>
      </c>
      <c r="B93" s="91" t="inlineStr">
        <is>
          <t xml:space="preserve">        Tubo Estructural Cuadrado 200x200x8 mm (6 m)</t>
        </is>
      </c>
      <c r="C93" s="92" t="inlineStr">
        <is>
          <t>Residencial / Comercial / Ind</t>
        </is>
      </c>
      <c r="D93" s="90" t="inlineStr">
        <is>
          <t>Tubos Cuadrados</t>
        </is>
      </c>
      <c r="E93" s="90" t="inlineStr">
        <is>
          <t>U</t>
        </is>
      </c>
      <c r="F93" s="93" t="n">
        <v>4</v>
      </c>
      <c r="G93" s="94" t="n">
        <v>470.97</v>
      </c>
      <c r="H93" s="94" t="n">
        <v>494.52</v>
      </c>
      <c r="I93" s="90" t="inlineStr">
        <is>
          <t>Megametales</t>
        </is>
      </c>
      <c r="J93" s="94" t="n">
        <v>513.36</v>
      </c>
      <c r="K93" s="90" t="inlineStr">
        <is>
          <t>Kywi / Megakywi</t>
        </is>
      </c>
      <c r="L93" s="95">
        <f>F93*G93</f>
        <v/>
      </c>
      <c r="M93" s="155" t="inlineStr">
        <is>
          <t>S-B10-TUB-CU-200X200X8</t>
        </is>
      </c>
      <c r="N93" s="90" t="inlineStr">
        <is>
          <t>Estructuras</t>
        </is>
      </c>
      <c r="O93" s="90" t="inlineStr">
        <is>
          <t>Estimado DION · criterio de mercado Guayaquil 2026 (no verificado en tienda)</t>
        </is>
      </c>
      <c r="P93" s="90" t="inlineStr">
        <is>
          <t>oct-2026 (est.)</t>
        </is>
      </c>
      <c r="Q93" s="90" t="n">
        <v>3</v>
      </c>
    </row>
    <row r="94">
      <c r="A94" s="18" t="n">
        <v>81</v>
      </c>
      <c r="B94" s="19" t="inlineStr">
        <is>
          <t xml:space="preserve">        Tubo Estructural Cuadrado 250x250x8 mm (6 m)</t>
        </is>
      </c>
      <c r="C94" s="20" t="inlineStr">
        <is>
          <t>Residencial / Comercial / Ind</t>
        </is>
      </c>
      <c r="D94" s="18" t="inlineStr">
        <is>
          <t>Tubos Cuadrados</t>
        </is>
      </c>
      <c r="E94" s="18" t="inlineStr">
        <is>
          <t>U</t>
        </is>
      </c>
      <c r="F94" s="21" t="n">
        <v>0</v>
      </c>
      <c r="G94" s="22" t="n">
        <v>593.62</v>
      </c>
      <c r="H94" s="22" t="n">
        <v>605.49</v>
      </c>
      <c r="I94" s="18" t="inlineStr">
        <is>
          <t>Megametales</t>
        </is>
      </c>
      <c r="J94" s="22" t="n">
        <v>652.98</v>
      </c>
      <c r="K94" s="18" t="inlineStr">
        <is>
          <t>Ferrisariato</t>
        </is>
      </c>
      <c r="L94" s="8">
        <f>F94*G94</f>
        <v/>
      </c>
      <c r="M94" s="145" t="inlineStr">
        <is>
          <t>S-B10-TUB-CU-250X250X8</t>
        </is>
      </c>
      <c r="N94" s="18" t="inlineStr">
        <is>
          <t>Estructuras</t>
        </is>
      </c>
      <c r="O94" s="18" t="inlineStr">
        <is>
          <t>Estimado DION · criterio de mercado Guayaquil 2026 (no verificado en tienda)</t>
        </is>
      </c>
      <c r="P94" s="18" t="inlineStr">
        <is>
          <t>oct-2026 (est.)</t>
        </is>
      </c>
      <c r="Q94" s="18" t="n">
        <v>3</v>
      </c>
    </row>
    <row r="95">
      <c r="A95" s="90" t="n">
        <v>82</v>
      </c>
      <c r="B95" s="91" t="inlineStr">
        <is>
          <t xml:space="preserve">        Tubo Estructural Cuadrado 300x300x10 mm (6 m)</t>
        </is>
      </c>
      <c r="C95" s="92" t="inlineStr">
        <is>
          <t>Residencial / Comercial / Ind</t>
        </is>
      </c>
      <c r="D95" s="90" t="inlineStr">
        <is>
          <t>Tubos Cuadrados</t>
        </is>
      </c>
      <c r="E95" s="90" t="inlineStr">
        <is>
          <t>U</t>
        </is>
      </c>
      <c r="F95" s="93" t="n">
        <v>0</v>
      </c>
      <c r="G95" s="94" t="n">
        <v>889.2</v>
      </c>
      <c r="H95" s="94" t="n">
        <v>915.88</v>
      </c>
      <c r="I95" s="90" t="inlineStr">
        <is>
          <t>Megametales</t>
        </is>
      </c>
      <c r="J95" s="94" t="n">
        <v>978.12</v>
      </c>
      <c r="K95" s="90" t="inlineStr">
        <is>
          <t>Kywi / Megakywi</t>
        </is>
      </c>
      <c r="L95" s="95">
        <f>F95*G95</f>
        <v/>
      </c>
      <c r="M95" s="155" t="inlineStr">
        <is>
          <t>S-B10-TUB-CU-300X300X10</t>
        </is>
      </c>
      <c r="N95" s="90" t="inlineStr">
        <is>
          <t>Estructuras</t>
        </is>
      </c>
      <c r="O95" s="90" t="inlineStr">
        <is>
          <t>Estimado DION · criterio de mercado Guayaquil 2026 (no verificado en tienda)</t>
        </is>
      </c>
      <c r="P95" s="90" t="inlineStr">
        <is>
          <t>oct-2026 (est.)</t>
        </is>
      </c>
      <c r="Q95" s="90" t="n">
        <v>3</v>
      </c>
    </row>
    <row r="96">
      <c r="A96" s="18" t="n">
        <v>83</v>
      </c>
      <c r="B96" s="19" t="inlineStr">
        <is>
          <t xml:space="preserve">        Tubo Estructural Rectangular 40x20x2 mm (6 m)</t>
        </is>
      </c>
      <c r="C96" s="20" t="inlineStr">
        <is>
          <t>Residencial / Comercial / Ind</t>
        </is>
      </c>
      <c r="D96" s="18" t="inlineStr">
        <is>
          <t>Tubos Rectangulares</t>
        </is>
      </c>
      <c r="E96" s="18" t="inlineStr">
        <is>
          <t>U</t>
        </is>
      </c>
      <c r="F96" s="21" t="n">
        <v>4</v>
      </c>
      <c r="G96" s="22" t="n">
        <v>17.17</v>
      </c>
      <c r="H96" s="22" t="n">
        <v>17.69</v>
      </c>
      <c r="I96" s="18" t="inlineStr">
        <is>
          <t>Megametales</t>
        </is>
      </c>
      <c r="J96" s="22" t="n">
        <v>18.72</v>
      </c>
      <c r="K96" s="18" t="inlineStr">
        <is>
          <t>Ferrisariato</t>
        </is>
      </c>
      <c r="L96" s="8">
        <f>F96*G96</f>
        <v/>
      </c>
      <c r="M96" s="145" t="inlineStr">
        <is>
          <t>S-B10-TUB-RE-40X20X2</t>
        </is>
      </c>
      <c r="N96" s="18" t="inlineStr">
        <is>
          <t>Estructuras</t>
        </is>
      </c>
      <c r="O96" s="18" t="inlineStr">
        <is>
          <t>Estimado DION · criterio de mercado Guayaquil 2026 (no verificado en tienda)</t>
        </is>
      </c>
      <c r="P96" s="18" t="inlineStr">
        <is>
          <t>oct-2026 (est.)</t>
        </is>
      </c>
      <c r="Q96" s="18" t="n">
        <v>3</v>
      </c>
    </row>
    <row r="97">
      <c r="A97" s="90" t="n">
        <v>84</v>
      </c>
      <c r="B97" s="91" t="inlineStr">
        <is>
          <t xml:space="preserve">        Tubo Estructural Rectangular 50x25x2 mm (6 m)</t>
        </is>
      </c>
      <c r="C97" s="92" t="inlineStr">
        <is>
          <t>Residencial / Comercial / Ind</t>
        </is>
      </c>
      <c r="D97" s="90" t="inlineStr">
        <is>
          <t>Tubos Rectangulares</t>
        </is>
      </c>
      <c r="E97" s="90" t="inlineStr">
        <is>
          <t>U</t>
        </is>
      </c>
      <c r="F97" s="93" t="n">
        <v>4</v>
      </c>
      <c r="G97" s="94" t="n">
        <v>21.77</v>
      </c>
      <c r="H97" s="94" t="n">
        <v>22.42</v>
      </c>
      <c r="I97" s="90" t="inlineStr">
        <is>
          <t>Megametales</t>
        </is>
      </c>
      <c r="J97" s="94" t="n">
        <v>23.95</v>
      </c>
      <c r="K97" s="90" t="inlineStr">
        <is>
          <t>Kywi / Megakywi</t>
        </is>
      </c>
      <c r="L97" s="95">
        <f>F97*G97</f>
        <v/>
      </c>
      <c r="M97" s="155" t="inlineStr">
        <is>
          <t>S-B10-TUB-RE-50X25X2</t>
        </is>
      </c>
      <c r="N97" s="90" t="inlineStr">
        <is>
          <t>Estructuras</t>
        </is>
      </c>
      <c r="O97" s="90" t="inlineStr">
        <is>
          <t>Estimado DION · criterio de mercado Guayaquil 2026 (no verificado en tienda)</t>
        </is>
      </c>
      <c r="P97" s="90" t="inlineStr">
        <is>
          <t>oct-2026 (est.)</t>
        </is>
      </c>
      <c r="Q97" s="90" t="n">
        <v>3</v>
      </c>
    </row>
    <row r="98">
      <c r="A98" s="18" t="n">
        <v>85</v>
      </c>
      <c r="B98" s="19" t="inlineStr">
        <is>
          <t xml:space="preserve">        Tubo Estructural Rectangular 75x50x2 mm (6 m)</t>
        </is>
      </c>
      <c r="C98" s="20" t="inlineStr">
        <is>
          <t>Residencial / Comercial / Ind</t>
        </is>
      </c>
      <c r="D98" s="18" t="inlineStr">
        <is>
          <t>Tubos Rectangulares</t>
        </is>
      </c>
      <c r="E98" s="18" t="inlineStr">
        <is>
          <t>U</t>
        </is>
      </c>
      <c r="F98" s="21" t="n">
        <v>4</v>
      </c>
      <c r="G98" s="22" t="n">
        <v>37.1</v>
      </c>
      <c r="H98" s="22" t="n">
        <v>38.21</v>
      </c>
      <c r="I98" s="18" t="inlineStr">
        <is>
          <t>Megametales</t>
        </is>
      </c>
      <c r="J98" s="22" t="n">
        <v>40.44</v>
      </c>
      <c r="K98" s="18" t="inlineStr">
        <is>
          <t>Ferrisariato</t>
        </is>
      </c>
      <c r="L98" s="8">
        <f>F98*G98</f>
        <v/>
      </c>
      <c r="M98" s="145" t="inlineStr">
        <is>
          <t>S-B10-TUB-RE-75X50X2</t>
        </is>
      </c>
      <c r="N98" s="18" t="inlineStr">
        <is>
          <t>Estructuras</t>
        </is>
      </c>
      <c r="O98" s="18" t="inlineStr">
        <is>
          <t>Estimado DION · criterio de mercado Guayaquil 2026 (no verificado en tienda)</t>
        </is>
      </c>
      <c r="P98" s="18" t="inlineStr">
        <is>
          <t>oct-2026 (est.)</t>
        </is>
      </c>
      <c r="Q98" s="18" t="n">
        <v>3</v>
      </c>
    </row>
    <row r="99">
      <c r="A99" s="90" t="n">
        <v>86</v>
      </c>
      <c r="B99" s="91" t="inlineStr">
        <is>
          <t xml:space="preserve">        Tubo Estructural Rectangular 100x50x2 mm (6 m)</t>
        </is>
      </c>
      <c r="C99" s="92" t="inlineStr">
        <is>
          <t>Residencial / Comercial / Ind</t>
        </is>
      </c>
      <c r="D99" s="90" t="inlineStr">
        <is>
          <t>Tubos Rectangulares</t>
        </is>
      </c>
      <c r="E99" s="90" t="inlineStr">
        <is>
          <t>U</t>
        </is>
      </c>
      <c r="F99" s="93" t="n">
        <v>4</v>
      </c>
      <c r="G99" s="94" t="n">
        <v>44.77</v>
      </c>
      <c r="H99" s="94" t="n">
        <v>47.01</v>
      </c>
      <c r="I99" s="90" t="inlineStr">
        <is>
          <t>Megametales</t>
        </is>
      </c>
      <c r="J99" s="94" t="n">
        <v>48.35</v>
      </c>
      <c r="K99" s="90" t="inlineStr">
        <is>
          <t>Kywi / Megakywi</t>
        </is>
      </c>
      <c r="L99" s="95">
        <f>F99*G99</f>
        <v/>
      </c>
      <c r="M99" s="155" t="inlineStr">
        <is>
          <t>S-B10-TUB-RE-100X50X2</t>
        </is>
      </c>
      <c r="N99" s="90" t="inlineStr">
        <is>
          <t>Estructuras</t>
        </is>
      </c>
      <c r="O99" s="90" t="inlineStr">
        <is>
          <t>Estimado DION · criterio de mercado Guayaquil 2026 (no verificado en tienda)</t>
        </is>
      </c>
      <c r="P99" s="90" t="inlineStr">
        <is>
          <t>oct-2026 (est.)</t>
        </is>
      </c>
      <c r="Q99" s="90" t="n">
        <v>3</v>
      </c>
    </row>
    <row r="100">
      <c r="A100" s="18" t="n">
        <v>87</v>
      </c>
      <c r="B100" s="19" t="inlineStr">
        <is>
          <t xml:space="preserve">        Tubo Estructural Rectangular 100x50x3 mm (6 m)</t>
        </is>
      </c>
      <c r="C100" s="20" t="inlineStr">
        <is>
          <t>Residencial / Comercial / Ind</t>
        </is>
      </c>
      <c r="D100" s="18" t="inlineStr">
        <is>
          <t>Tubos Rectangulares</t>
        </is>
      </c>
      <c r="E100" s="18" t="inlineStr">
        <is>
          <t>U</t>
        </is>
      </c>
      <c r="F100" s="21" t="n">
        <v>4</v>
      </c>
      <c r="G100" s="22" t="n">
        <v>66.23</v>
      </c>
      <c r="H100" s="22" t="n">
        <v>67.55</v>
      </c>
      <c r="I100" s="18" t="inlineStr">
        <is>
          <t>Megametales</t>
        </is>
      </c>
      <c r="J100" s="22" t="n">
        <v>72.19</v>
      </c>
      <c r="K100" s="18" t="inlineStr">
        <is>
          <t>Ferrisariato</t>
        </is>
      </c>
      <c r="L100" s="8">
        <f>F100*G100</f>
        <v/>
      </c>
      <c r="M100" s="145" t="inlineStr">
        <is>
          <t>S-B10-TUB-RE-100X50X3</t>
        </is>
      </c>
      <c r="N100" s="18" t="inlineStr">
        <is>
          <t>Estructuras</t>
        </is>
      </c>
      <c r="O100" s="18" t="inlineStr">
        <is>
          <t>Estimado DION · criterio de mercado Guayaquil 2026 (no verificado en tienda)</t>
        </is>
      </c>
      <c r="P100" s="18" t="inlineStr">
        <is>
          <t>oct-2026 (est.)</t>
        </is>
      </c>
      <c r="Q100" s="18" t="n">
        <v>3</v>
      </c>
    </row>
    <row r="101">
      <c r="A101" s="90" t="n">
        <v>88</v>
      </c>
      <c r="B101" s="91" t="inlineStr">
        <is>
          <t xml:space="preserve">        Tubo Estructural Rectangular 150x50x3 mm (6 m)</t>
        </is>
      </c>
      <c r="C101" s="92" t="inlineStr">
        <is>
          <t>Residencial / Comercial / Ind</t>
        </is>
      </c>
      <c r="D101" s="90" t="inlineStr">
        <is>
          <t>Tubos Rectangulares</t>
        </is>
      </c>
      <c r="E101" s="90" t="inlineStr">
        <is>
          <t>U</t>
        </is>
      </c>
      <c r="F101" s="93" t="n">
        <v>4</v>
      </c>
      <c r="G101" s="94" t="n">
        <v>89.23</v>
      </c>
      <c r="H101" s="94" t="n">
        <v>92.8</v>
      </c>
      <c r="I101" s="90" t="inlineStr">
        <is>
          <t>Megametales</t>
        </is>
      </c>
      <c r="J101" s="94" t="n">
        <v>98.15000000000001</v>
      </c>
      <c r="K101" s="90" t="inlineStr">
        <is>
          <t>Kywi / Megakywi</t>
        </is>
      </c>
      <c r="L101" s="95">
        <f>F101*G101</f>
        <v/>
      </c>
      <c r="M101" s="155" t="inlineStr">
        <is>
          <t>S-B10-TUB-RE-150X50X3</t>
        </is>
      </c>
      <c r="N101" s="90" t="inlineStr">
        <is>
          <t>Estructuras</t>
        </is>
      </c>
      <c r="O101" s="90" t="inlineStr">
        <is>
          <t>Estimado DION · criterio de mercado Guayaquil 2026 (no verificado en tienda)</t>
        </is>
      </c>
      <c r="P101" s="90" t="inlineStr">
        <is>
          <t>oct-2026 (est.)</t>
        </is>
      </c>
      <c r="Q101" s="90" t="n">
        <v>3</v>
      </c>
    </row>
    <row r="102">
      <c r="A102" s="18" t="n">
        <v>89</v>
      </c>
      <c r="B102" s="19" t="inlineStr">
        <is>
          <t xml:space="preserve">        Tubo Estructural Rectangular 150x100x4 mm (6 m)</t>
        </is>
      </c>
      <c r="C102" s="20" t="inlineStr">
        <is>
          <t>Residencial / Comercial / Ind</t>
        </is>
      </c>
      <c r="D102" s="18" t="inlineStr">
        <is>
          <t>Tubos Rectangulares</t>
        </is>
      </c>
      <c r="E102" s="18" t="inlineStr">
        <is>
          <t>U</t>
        </is>
      </c>
      <c r="F102" s="21" t="n">
        <v>4</v>
      </c>
      <c r="G102" s="22" t="n">
        <v>148.4</v>
      </c>
      <c r="H102" s="22" t="n">
        <v>152.85</v>
      </c>
      <c r="I102" s="18" t="inlineStr">
        <is>
          <t>Megametales</t>
        </is>
      </c>
      <c r="J102" s="22" t="n">
        <v>158.79</v>
      </c>
      <c r="K102" s="18" t="inlineStr">
        <is>
          <t>Ferrisariato</t>
        </is>
      </c>
      <c r="L102" s="8">
        <f>F102*G102</f>
        <v/>
      </c>
      <c r="M102" s="145" t="inlineStr">
        <is>
          <t>S-B10-TUB-RE-150X100X4</t>
        </is>
      </c>
      <c r="N102" s="18" t="inlineStr">
        <is>
          <t>Estructuras</t>
        </is>
      </c>
      <c r="O102" s="18" t="inlineStr">
        <is>
          <t>Estimado DION · criterio de mercado Guayaquil 2026 (no verificado en tienda)</t>
        </is>
      </c>
      <c r="P102" s="18" t="inlineStr">
        <is>
          <t>oct-2026 (est.)</t>
        </is>
      </c>
      <c r="Q102" s="18" t="n">
        <v>3</v>
      </c>
    </row>
    <row r="103">
      <c r="A103" s="90" t="n">
        <v>90</v>
      </c>
      <c r="B103" s="91" t="inlineStr">
        <is>
          <t xml:space="preserve">        Tubo Estructural Rectangular 200x100x4 mm (6 m)</t>
        </is>
      </c>
      <c r="C103" s="92" t="inlineStr">
        <is>
          <t>Residencial / Comercial / Ind</t>
        </is>
      </c>
      <c r="D103" s="90" t="inlineStr">
        <is>
          <t>Tubos Rectangulares</t>
        </is>
      </c>
      <c r="E103" s="90" t="inlineStr">
        <is>
          <t>U</t>
        </is>
      </c>
      <c r="F103" s="93" t="n">
        <v>4</v>
      </c>
      <c r="G103" s="94" t="n">
        <v>179.07</v>
      </c>
      <c r="H103" s="94" t="n">
        <v>186.23</v>
      </c>
      <c r="I103" s="90" t="inlineStr">
        <is>
          <t>Megametales</t>
        </is>
      </c>
      <c r="J103" s="94" t="n">
        <v>191.6</v>
      </c>
      <c r="K103" s="90" t="inlineStr">
        <is>
          <t>Kywi / Megakywi</t>
        </is>
      </c>
      <c r="L103" s="95">
        <f>F103*G103</f>
        <v/>
      </c>
      <c r="M103" s="155" t="inlineStr">
        <is>
          <t>S-B10-TUB-RE-200X100X4</t>
        </is>
      </c>
      <c r="N103" s="90" t="inlineStr">
        <is>
          <t>Estructuras</t>
        </is>
      </c>
      <c r="O103" s="90" t="inlineStr">
        <is>
          <t>Estimado DION · criterio de mercado Guayaquil 2026 (no verificado en tienda)</t>
        </is>
      </c>
      <c r="P103" s="90" t="inlineStr">
        <is>
          <t>oct-2026 (est.)</t>
        </is>
      </c>
      <c r="Q103" s="90" t="n">
        <v>3</v>
      </c>
    </row>
    <row r="104">
      <c r="A104" s="18" t="n">
        <v>91</v>
      </c>
      <c r="B104" s="19" t="inlineStr">
        <is>
          <t xml:space="preserve">        Tubo Estructural Rectangular 200x100x6 mm (6 m)</t>
        </is>
      </c>
      <c r="C104" s="20" t="inlineStr">
        <is>
          <t>Residencial / Comercial / Ind</t>
        </is>
      </c>
      <c r="D104" s="18" t="inlineStr">
        <is>
          <t>Tubos Rectangulares</t>
        </is>
      </c>
      <c r="E104" s="18" t="inlineStr">
        <is>
          <t>U</t>
        </is>
      </c>
      <c r="F104" s="21" t="n">
        <v>4</v>
      </c>
      <c r="G104" s="22" t="n">
        <v>264.92</v>
      </c>
      <c r="H104" s="22" t="n">
        <v>278.17</v>
      </c>
      <c r="I104" s="18" t="inlineStr">
        <is>
          <t>Megametales</t>
        </is>
      </c>
      <c r="J104" s="22" t="n">
        <v>294.06</v>
      </c>
      <c r="K104" s="18" t="inlineStr">
        <is>
          <t>Ferrisariato</t>
        </is>
      </c>
      <c r="L104" s="8">
        <f>F104*G104</f>
        <v/>
      </c>
      <c r="M104" s="145" t="inlineStr">
        <is>
          <t>S-B10-TUB-RE-200X100X6</t>
        </is>
      </c>
      <c r="N104" s="18" t="inlineStr">
        <is>
          <t>Estructuras</t>
        </is>
      </c>
      <c r="O104" s="18" t="inlineStr">
        <is>
          <t>Estimado DION · criterio de mercado Guayaquil 2026 (no verificado en tienda)</t>
        </is>
      </c>
      <c r="P104" s="18" t="inlineStr">
        <is>
          <t>oct-2026 (est.)</t>
        </is>
      </c>
      <c r="Q104" s="18" t="n">
        <v>3</v>
      </c>
    </row>
    <row r="105">
      <c r="A105" s="90" t="n">
        <v>92</v>
      </c>
      <c r="B105" s="91" t="inlineStr">
        <is>
          <t xml:space="preserve">        Tubo Estructural Rectangular 250x150x6 mm (6 m)</t>
        </is>
      </c>
      <c r="C105" s="92" t="inlineStr">
        <is>
          <t>Residencial / Comercial / Ind</t>
        </is>
      </c>
      <c r="D105" s="90" t="inlineStr">
        <is>
          <t>Tubos Rectangulares</t>
        </is>
      </c>
      <c r="E105" s="90" t="inlineStr">
        <is>
          <t>U</t>
        </is>
      </c>
      <c r="F105" s="93" t="n">
        <v>4</v>
      </c>
      <c r="G105" s="94" t="n">
        <v>356.91</v>
      </c>
      <c r="H105" s="94" t="n">
        <v>367.62</v>
      </c>
      <c r="I105" s="90" t="inlineStr">
        <is>
          <t>Megametales</t>
        </is>
      </c>
      <c r="J105" s="94" t="n">
        <v>385.46</v>
      </c>
      <c r="K105" s="90" t="inlineStr">
        <is>
          <t>Kywi / Megakywi</t>
        </is>
      </c>
      <c r="L105" s="95">
        <f>F105*G105</f>
        <v/>
      </c>
      <c r="M105" s="155" t="inlineStr">
        <is>
          <t>S-B10-TUB-RE-250X150X6</t>
        </is>
      </c>
      <c r="N105" s="90" t="inlineStr">
        <is>
          <t>Estructuras</t>
        </is>
      </c>
      <c r="O105" s="90" t="inlineStr">
        <is>
          <t>Estimado DION · criterio de mercado Guayaquil 2026 (no verificado en tienda)</t>
        </is>
      </c>
      <c r="P105" s="90" t="inlineStr">
        <is>
          <t>oct-2026 (est.)</t>
        </is>
      </c>
      <c r="Q105" s="90" t="n">
        <v>3</v>
      </c>
    </row>
    <row r="106">
      <c r="A106" s="18" t="n">
        <v>93</v>
      </c>
      <c r="B106" s="19" t="inlineStr">
        <is>
          <t xml:space="preserve">        Tubo Estructural Rectangular 300x200x8 mm (6 m)</t>
        </is>
      </c>
      <c r="C106" s="20" t="inlineStr">
        <is>
          <t>Residencial / Comercial / Ind</t>
        </is>
      </c>
      <c r="D106" s="18" t="inlineStr">
        <is>
          <t>Tubos Rectangulares</t>
        </is>
      </c>
      <c r="E106" s="18" t="inlineStr">
        <is>
          <t>U</t>
        </is>
      </c>
      <c r="F106" s="21" t="n">
        <v>0</v>
      </c>
      <c r="G106" s="22" t="n">
        <v>593.62</v>
      </c>
      <c r="H106" s="22" t="n">
        <v>623.3</v>
      </c>
      <c r="I106" s="18" t="inlineStr">
        <is>
          <t>Megametales</t>
        </is>
      </c>
      <c r="J106" s="22" t="n">
        <v>647.05</v>
      </c>
      <c r="K106" s="18" t="inlineStr">
        <is>
          <t>Ferrisariato</t>
        </is>
      </c>
      <c r="L106" s="8">
        <f>F106*G106</f>
        <v/>
      </c>
      <c r="M106" s="145" t="inlineStr">
        <is>
          <t>S-B10-TUB-RE-300X200X8</t>
        </is>
      </c>
      <c r="N106" s="18" t="inlineStr">
        <is>
          <t>Estructuras</t>
        </is>
      </c>
      <c r="O106" s="18" t="inlineStr">
        <is>
          <t>Estimado DION · criterio de mercado Guayaquil 2026 (no verificado en tienda)</t>
        </is>
      </c>
      <c r="P106" s="18" t="inlineStr">
        <is>
          <t>oct-2026 (est.)</t>
        </is>
      </c>
      <c r="Q106" s="18" t="n">
        <v>3</v>
      </c>
    </row>
    <row r="107">
      <c r="A107" s="90" t="n">
        <v>94</v>
      </c>
      <c r="B107" s="91" t="inlineStr">
        <is>
          <t xml:space="preserve">        Tubo Estructural Redondo 1" e=3 mm (6 m)</t>
        </is>
      </c>
      <c r="C107" s="92" t="inlineStr">
        <is>
          <t>Residencial / Comercial</t>
        </is>
      </c>
      <c r="D107" s="90" t="inlineStr">
        <is>
          <t>Tubos Redondos</t>
        </is>
      </c>
      <c r="E107" s="90" t="inlineStr">
        <is>
          <t>U</t>
        </is>
      </c>
      <c r="F107" s="93" t="n">
        <v>4</v>
      </c>
      <c r="G107" s="94" t="n">
        <v>22</v>
      </c>
      <c r="H107" s="94" t="n">
        <v>22.44</v>
      </c>
      <c r="I107" s="90" t="inlineStr">
        <is>
          <t>Megametales</t>
        </is>
      </c>
      <c r="J107" s="94" t="n">
        <v>23.98</v>
      </c>
      <c r="K107" s="90" t="inlineStr">
        <is>
          <t>Kywi / Megakywi</t>
        </is>
      </c>
      <c r="L107" s="95">
        <f>F107*G107</f>
        <v/>
      </c>
      <c r="M107" s="155" t="inlineStr">
        <is>
          <t>S-B10-TUB-RD-DN25</t>
        </is>
      </c>
      <c r="N107" s="90" t="inlineStr">
        <is>
          <t>Estructuras</t>
        </is>
      </c>
      <c r="O107" s="90" t="inlineStr">
        <is>
          <t>Estimado DION · criterio de mercado Guayaquil 2026 (no verificado en tienda)</t>
        </is>
      </c>
      <c r="P107" s="90" t="inlineStr">
        <is>
          <t>oct-2026 (est.)</t>
        </is>
      </c>
      <c r="Q107" s="90" t="n">
        <v>3</v>
      </c>
    </row>
    <row r="108">
      <c r="A108" s="18" t="n">
        <v>95</v>
      </c>
      <c r="B108" s="19" t="inlineStr">
        <is>
          <t xml:space="preserve">        Tubo Estructural Redondo 1½" e=3 mm (6 m)</t>
        </is>
      </c>
      <c r="C108" s="20" t="inlineStr">
        <is>
          <t>Residencial / Comercial</t>
        </is>
      </c>
      <c r="D108" s="18" t="inlineStr">
        <is>
          <t>Tubos Redondos</t>
        </is>
      </c>
      <c r="E108" s="18" t="inlineStr">
        <is>
          <t>U</t>
        </is>
      </c>
      <c r="F108" s="21" t="n">
        <v>4</v>
      </c>
      <c r="G108" s="22" t="n">
        <v>34</v>
      </c>
      <c r="H108" s="22" t="n">
        <v>35.02</v>
      </c>
      <c r="I108" s="18" t="inlineStr">
        <is>
          <t>Megametales</t>
        </is>
      </c>
      <c r="J108" s="22" t="n">
        <v>36.38</v>
      </c>
      <c r="K108" s="18" t="inlineStr">
        <is>
          <t>Ferrisariato</t>
        </is>
      </c>
      <c r="L108" s="8">
        <f>F108*G108</f>
        <v/>
      </c>
      <c r="M108" s="145" t="inlineStr">
        <is>
          <t>S-B10-TUB-RD-DN40</t>
        </is>
      </c>
      <c r="N108" s="18" t="inlineStr">
        <is>
          <t>Estructuras</t>
        </is>
      </c>
      <c r="O108" s="18" t="inlineStr">
        <is>
          <t>Estimado DION · criterio de mercado Guayaquil 2026 (no verificado en tienda)</t>
        </is>
      </c>
      <c r="P108" s="18" t="inlineStr">
        <is>
          <t>oct-2026 (est.)</t>
        </is>
      </c>
      <c r="Q108" s="18" t="n">
        <v>3</v>
      </c>
    </row>
    <row r="109">
      <c r="A109" s="90" t="n">
        <v>96</v>
      </c>
      <c r="B109" s="91" t="inlineStr">
        <is>
          <t xml:space="preserve">        Tubo Estructural Redondo 2" e=3 mm (6 m)</t>
        </is>
      </c>
      <c r="C109" s="92" t="inlineStr">
        <is>
          <t>Residencial / Comercial</t>
        </is>
      </c>
      <c r="D109" s="90" t="inlineStr">
        <is>
          <t>Tubos Redondos</t>
        </is>
      </c>
      <c r="E109" s="90" t="inlineStr">
        <is>
          <t>U</t>
        </is>
      </c>
      <c r="F109" s="93" t="n">
        <v>4</v>
      </c>
      <c r="G109" s="94" t="n">
        <v>46</v>
      </c>
      <c r="H109" s="94" t="n">
        <v>47.84</v>
      </c>
      <c r="I109" s="90" t="inlineStr">
        <is>
          <t>Megametales</t>
        </is>
      </c>
      <c r="J109" s="94" t="n">
        <v>50.6</v>
      </c>
      <c r="K109" s="90" t="inlineStr">
        <is>
          <t>Kywi / Megakywi</t>
        </is>
      </c>
      <c r="L109" s="95">
        <f>F109*G109</f>
        <v/>
      </c>
      <c r="M109" s="155" t="inlineStr">
        <is>
          <t>S-B10-TUB-RD-DN50</t>
        </is>
      </c>
      <c r="N109" s="90" t="inlineStr">
        <is>
          <t>Estructuras</t>
        </is>
      </c>
      <c r="O109" s="90" t="inlineStr">
        <is>
          <t>Estimado DION · criterio de mercado Guayaquil 2026 (no verificado en tienda)</t>
        </is>
      </c>
      <c r="P109" s="90" t="inlineStr">
        <is>
          <t>oct-2026 (est.)</t>
        </is>
      </c>
      <c r="Q109" s="90" t="n">
        <v>3</v>
      </c>
    </row>
    <row r="110">
      <c r="A110" s="18" t="n">
        <v>97</v>
      </c>
      <c r="B110" s="19" t="inlineStr">
        <is>
          <t xml:space="preserve">        Tubo Estructural Redondo 3" e=3 mm (6 m)</t>
        </is>
      </c>
      <c r="C110" s="20" t="inlineStr">
        <is>
          <t>Residencial / Comercial</t>
        </is>
      </c>
      <c r="D110" s="18" t="inlineStr">
        <is>
          <t>Tubos Redondos</t>
        </is>
      </c>
      <c r="E110" s="18" t="inlineStr">
        <is>
          <t>U</t>
        </is>
      </c>
      <c r="F110" s="21" t="n">
        <v>4</v>
      </c>
      <c r="G110" s="22" t="n">
        <v>88</v>
      </c>
      <c r="H110" s="22" t="n">
        <v>89.76000000000001</v>
      </c>
      <c r="I110" s="18" t="inlineStr">
        <is>
          <t>Megametales</t>
        </is>
      </c>
      <c r="J110" s="22" t="n">
        <v>95.92</v>
      </c>
      <c r="K110" s="18" t="inlineStr">
        <is>
          <t>Ferrisariato</t>
        </is>
      </c>
      <c r="L110" s="8">
        <f>F110*G110</f>
        <v/>
      </c>
      <c r="M110" s="145" t="inlineStr">
        <is>
          <t>S-B10-TUB-RD-DN80</t>
        </is>
      </c>
      <c r="N110" s="18" t="inlineStr">
        <is>
          <t>Estructuras</t>
        </is>
      </c>
      <c r="O110" s="18" t="inlineStr">
        <is>
          <t>Estimado DION · criterio de mercado Guayaquil 2026 (no verificado en tienda)</t>
        </is>
      </c>
      <c r="P110" s="18" t="inlineStr">
        <is>
          <t>oct-2026 (est.)</t>
        </is>
      </c>
      <c r="Q110" s="18" t="n">
        <v>3</v>
      </c>
    </row>
    <row r="111">
      <c r="A111" s="90" t="n">
        <v>98</v>
      </c>
      <c r="B111" s="91" t="inlineStr">
        <is>
          <t xml:space="preserve">        Tubo Estructural Redondo 4" e=3 mm (6 m)</t>
        </is>
      </c>
      <c r="C111" s="92" t="inlineStr">
        <is>
          <t>Residencial / Comercial</t>
        </is>
      </c>
      <c r="D111" s="90" t="inlineStr">
        <is>
          <t>Tubos Redondos</t>
        </is>
      </c>
      <c r="E111" s="90" t="inlineStr">
        <is>
          <t>U</t>
        </is>
      </c>
      <c r="F111" s="93" t="n">
        <v>4</v>
      </c>
      <c r="G111" s="94" t="n">
        <v>128</v>
      </c>
      <c r="H111" s="94" t="n">
        <v>133.12</v>
      </c>
      <c r="I111" s="90" t="inlineStr">
        <is>
          <t>Megametales</t>
        </is>
      </c>
      <c r="J111" s="94" t="n">
        <v>138.24</v>
      </c>
      <c r="K111" s="90" t="inlineStr">
        <is>
          <t>Kywi / Megakywi</t>
        </is>
      </c>
      <c r="L111" s="95">
        <f>F111*G111</f>
        <v/>
      </c>
      <c r="M111" s="155" t="inlineStr">
        <is>
          <t>S-B10-TUB-RD-DN100</t>
        </is>
      </c>
      <c r="N111" s="90" t="inlineStr">
        <is>
          <t>Estructuras</t>
        </is>
      </c>
      <c r="O111" s="90" t="inlineStr">
        <is>
          <t>Estimado DION · criterio de mercado Guayaquil 2026 (no verificado en tienda)</t>
        </is>
      </c>
      <c r="P111" s="90" t="inlineStr">
        <is>
          <t>oct-2026 (est.)</t>
        </is>
      </c>
      <c r="Q111" s="90" t="n">
        <v>3</v>
      </c>
    </row>
    <row r="112">
      <c r="A112" s="18" t="n">
        <v>99</v>
      </c>
      <c r="B112" s="19" t="inlineStr">
        <is>
          <t xml:space="preserve">        Tubo Estructural Redondo 6" e=3 mm (6 m)</t>
        </is>
      </c>
      <c r="C112" s="20" t="inlineStr">
        <is>
          <t>Residencial / Comercial</t>
        </is>
      </c>
      <c r="D112" s="18" t="inlineStr">
        <is>
          <t>Tubos Redondos</t>
        </is>
      </c>
      <c r="E112" s="18" t="inlineStr">
        <is>
          <t>U</t>
        </is>
      </c>
      <c r="F112" s="21" t="n">
        <v>4</v>
      </c>
      <c r="G112" s="22" t="n">
        <v>240</v>
      </c>
      <c r="H112" s="22" t="n">
        <v>249.6</v>
      </c>
      <c r="I112" s="18" t="inlineStr">
        <is>
          <t>Megametales</t>
        </is>
      </c>
      <c r="J112" s="22" t="n">
        <v>264</v>
      </c>
      <c r="K112" s="18" t="inlineStr">
        <is>
          <t>Ferrisariato</t>
        </is>
      </c>
      <c r="L112" s="8">
        <f>F112*G112</f>
        <v/>
      </c>
      <c r="M112" s="145" t="inlineStr">
        <is>
          <t>S-B10-TUB-RD-DN150</t>
        </is>
      </c>
      <c r="N112" s="18" t="inlineStr">
        <is>
          <t>Estructuras</t>
        </is>
      </c>
      <c r="O112" s="18" t="inlineStr">
        <is>
          <t>Estimado DION · criterio de mercado Guayaquil 2026 (no verificado en tienda)</t>
        </is>
      </c>
      <c r="P112" s="18" t="inlineStr">
        <is>
          <t>oct-2026 (est.)</t>
        </is>
      </c>
      <c r="Q112" s="18" t="n">
        <v>3</v>
      </c>
    </row>
    <row r="113">
      <c r="A113" s="90" t="n">
        <v>100</v>
      </c>
      <c r="B113" s="91" t="inlineStr">
        <is>
          <t xml:space="preserve">        Correa G Galvanizada 80x40x15x2 mm (6 m)</t>
        </is>
      </c>
      <c r="C113" s="92" t="inlineStr">
        <is>
          <t>Residencial / Comercial / Ind</t>
        </is>
      </c>
      <c r="D113" s="90" t="inlineStr">
        <is>
          <t>Correas G</t>
        </is>
      </c>
      <c r="E113" s="90" t="inlineStr">
        <is>
          <t>U</t>
        </is>
      </c>
      <c r="F113" s="93" t="n">
        <v>10</v>
      </c>
      <c r="G113" s="94" t="n">
        <v>11.5</v>
      </c>
      <c r="H113" s="94" t="n">
        <v>11.73</v>
      </c>
      <c r="I113" s="90" t="inlineStr">
        <is>
          <t>Megametales</t>
        </is>
      </c>
      <c r="J113" s="94" t="n">
        <v>12.31</v>
      </c>
      <c r="K113" s="90" t="inlineStr">
        <is>
          <t>Kywi / Megakywi</t>
        </is>
      </c>
      <c r="L113" s="95">
        <f>F113*G113</f>
        <v/>
      </c>
      <c r="M113" s="155" t="inlineStr">
        <is>
          <t>S-B10-COR-G80X40X15X2</t>
        </is>
      </c>
      <c r="N113" s="90" t="inlineStr">
        <is>
          <t>Estructuras</t>
        </is>
      </c>
      <c r="O113" s="90" t="inlineStr">
        <is>
          <t>Estimado DION · criterio de mercado Guayaquil 2026 (no verificado en tienda)</t>
        </is>
      </c>
      <c r="P113" s="90" t="inlineStr">
        <is>
          <t>oct-2026 (est.)</t>
        </is>
      </c>
      <c r="Q113" s="90" t="n">
        <v>3</v>
      </c>
    </row>
    <row r="114">
      <c r="A114" s="18" t="n">
        <v>101</v>
      </c>
      <c r="B114" s="19" t="inlineStr">
        <is>
          <t xml:space="preserve">        Correa G Galvanizada 100x50x15x2 mm (6 m)</t>
        </is>
      </c>
      <c r="C114" s="20" t="inlineStr">
        <is>
          <t>Residencial / Comercial / Ind</t>
        </is>
      </c>
      <c r="D114" s="18" t="inlineStr">
        <is>
          <t>Correas G</t>
        </is>
      </c>
      <c r="E114" s="18" t="inlineStr">
        <is>
          <t>U</t>
        </is>
      </c>
      <c r="F114" s="21" t="n">
        <v>10</v>
      </c>
      <c r="G114" s="22" t="n">
        <v>14.2</v>
      </c>
      <c r="H114" s="22" t="n">
        <v>14.91</v>
      </c>
      <c r="I114" s="18" t="inlineStr">
        <is>
          <t>Megametales</t>
        </is>
      </c>
      <c r="J114" s="22" t="n">
        <v>15.62</v>
      </c>
      <c r="K114" s="18" t="inlineStr">
        <is>
          <t>Ferrisariato</t>
        </is>
      </c>
      <c r="L114" s="8">
        <f>F114*G114</f>
        <v/>
      </c>
      <c r="M114" s="145" t="inlineStr">
        <is>
          <t>S-B10-COR-G100X50X15X2</t>
        </is>
      </c>
      <c r="N114" s="18" t="inlineStr">
        <is>
          <t>Estructuras</t>
        </is>
      </c>
      <c r="O114" s="18" t="inlineStr">
        <is>
          <t>Estimado DION · criterio de mercado Guayaquil 2026 (no verificado en tienda)</t>
        </is>
      </c>
      <c r="P114" s="18" t="inlineStr">
        <is>
          <t>oct-2026 (est.)</t>
        </is>
      </c>
      <c r="Q114" s="18" t="n">
        <v>3</v>
      </c>
    </row>
    <row r="115">
      <c r="A115" s="90" t="n">
        <v>102</v>
      </c>
      <c r="B115" s="91" t="inlineStr">
        <is>
          <t xml:space="preserve">        Correa G Galvanizada 100x50x15x3 mm (6 m)</t>
        </is>
      </c>
      <c r="C115" s="92" t="inlineStr">
        <is>
          <t>Residencial / Comercial / Ind</t>
        </is>
      </c>
      <c r="D115" s="90" t="inlineStr">
        <is>
          <t>Correas G</t>
        </is>
      </c>
      <c r="E115" s="90" t="inlineStr">
        <is>
          <t>U</t>
        </is>
      </c>
      <c r="F115" s="93" t="n">
        <v>10</v>
      </c>
      <c r="G115" s="94" t="n">
        <v>20.5</v>
      </c>
      <c r="H115" s="94" t="n">
        <v>21.53</v>
      </c>
      <c r="I115" s="90" t="inlineStr">
        <is>
          <t>Megametales</t>
        </is>
      </c>
      <c r="J115" s="94" t="n">
        <v>22.55</v>
      </c>
      <c r="K115" s="90" t="inlineStr">
        <is>
          <t>Kywi / Megakywi</t>
        </is>
      </c>
      <c r="L115" s="95">
        <f>F115*G115</f>
        <v/>
      </c>
      <c r="M115" s="155" t="inlineStr">
        <is>
          <t>S-B10-COR-G100X50X15X3</t>
        </is>
      </c>
      <c r="N115" s="90" t="inlineStr">
        <is>
          <t>Estructuras</t>
        </is>
      </c>
      <c r="O115" s="90" t="inlineStr">
        <is>
          <t>Estimado DION · criterio de mercado Guayaquil 2026 (no verificado en tienda)</t>
        </is>
      </c>
      <c r="P115" s="90" t="inlineStr">
        <is>
          <t>oct-2026 (est.)</t>
        </is>
      </c>
      <c r="Q115" s="90" t="n">
        <v>3</v>
      </c>
    </row>
    <row r="116">
      <c r="A116" s="18" t="n">
        <v>103</v>
      </c>
      <c r="B116" s="19" t="inlineStr">
        <is>
          <t xml:space="preserve">        Correa G Galvanizada 125x50x15x2 mm (6 m)</t>
        </is>
      </c>
      <c r="C116" s="20" t="inlineStr">
        <is>
          <t>Residencial / Comercial / Ind</t>
        </is>
      </c>
      <c r="D116" s="18" t="inlineStr">
        <is>
          <t>Correas G</t>
        </is>
      </c>
      <c r="E116" s="18" t="inlineStr">
        <is>
          <t>U</t>
        </is>
      </c>
      <c r="F116" s="21" t="n">
        <v>10</v>
      </c>
      <c r="G116" s="22" t="n">
        <v>15.9</v>
      </c>
      <c r="H116" s="22" t="n">
        <v>16.22</v>
      </c>
      <c r="I116" s="18" t="inlineStr">
        <is>
          <t>Megametales</t>
        </is>
      </c>
      <c r="J116" s="22" t="n">
        <v>17.01</v>
      </c>
      <c r="K116" s="18" t="inlineStr">
        <is>
          <t>Ferrisariato</t>
        </is>
      </c>
      <c r="L116" s="8">
        <f>F116*G116</f>
        <v/>
      </c>
      <c r="M116" s="145" t="inlineStr">
        <is>
          <t>S-B10-COR-G125X50X15X2</t>
        </is>
      </c>
      <c r="N116" s="18" t="inlineStr">
        <is>
          <t>Estructuras</t>
        </is>
      </c>
      <c r="O116" s="18" t="inlineStr">
        <is>
          <t>Estimado DION · criterio de mercado Guayaquil 2026 (no verificado en tienda)</t>
        </is>
      </c>
      <c r="P116" s="18" t="inlineStr">
        <is>
          <t>oct-2026 (est.)</t>
        </is>
      </c>
      <c r="Q116" s="18" t="n">
        <v>3</v>
      </c>
    </row>
    <row r="117">
      <c r="A117" s="90" t="n">
        <v>104</v>
      </c>
      <c r="B117" s="91" t="inlineStr">
        <is>
          <t xml:space="preserve">        Correa G Galvanizada 125x50x15x3 mm (6 m)</t>
        </is>
      </c>
      <c r="C117" s="92" t="inlineStr">
        <is>
          <t>Residencial / Comercial / Ind</t>
        </is>
      </c>
      <c r="D117" s="90" t="inlineStr">
        <is>
          <t>Correas G</t>
        </is>
      </c>
      <c r="E117" s="90" t="inlineStr">
        <is>
          <t>U</t>
        </is>
      </c>
      <c r="F117" s="93" t="n">
        <v>10</v>
      </c>
      <c r="G117" s="94" t="n">
        <v>22.8</v>
      </c>
      <c r="H117" s="94" t="n">
        <v>23.26</v>
      </c>
      <c r="I117" s="90" t="inlineStr">
        <is>
          <t>Megametales</t>
        </is>
      </c>
      <c r="J117" s="94" t="n">
        <v>25.31</v>
      </c>
      <c r="K117" s="90" t="inlineStr">
        <is>
          <t>Kywi / Megakywi</t>
        </is>
      </c>
      <c r="L117" s="95">
        <f>F117*G117</f>
        <v/>
      </c>
      <c r="M117" s="155" t="inlineStr">
        <is>
          <t>S-B10-COR-G125X50X15X3</t>
        </is>
      </c>
      <c r="N117" s="90" t="inlineStr">
        <is>
          <t>Estructuras</t>
        </is>
      </c>
      <c r="O117" s="90" t="inlineStr">
        <is>
          <t>Estimado DION · criterio de mercado Guayaquil 2026 (no verificado en tienda)</t>
        </is>
      </c>
      <c r="P117" s="90" t="inlineStr">
        <is>
          <t>oct-2026 (est.)</t>
        </is>
      </c>
      <c r="Q117" s="90" t="n">
        <v>3</v>
      </c>
    </row>
    <row r="118">
      <c r="A118" s="18" t="n">
        <v>105</v>
      </c>
      <c r="B118" s="19" t="inlineStr">
        <is>
          <t xml:space="preserve">        Correa G Galvanizada 150x50x15x3 mm (6 m)</t>
        </is>
      </c>
      <c r="C118" s="20" t="inlineStr">
        <is>
          <t>Residencial / Comercial / Ind</t>
        </is>
      </c>
      <c r="D118" s="18" t="inlineStr">
        <is>
          <t>Correas G</t>
        </is>
      </c>
      <c r="E118" s="18" t="inlineStr">
        <is>
          <t>U</t>
        </is>
      </c>
      <c r="F118" s="21" t="n">
        <v>10</v>
      </c>
      <c r="G118" s="22" t="n">
        <v>25.5</v>
      </c>
      <c r="H118" s="22" t="n">
        <v>26.01</v>
      </c>
      <c r="I118" s="18" t="inlineStr">
        <is>
          <t>Megametales</t>
        </is>
      </c>
      <c r="J118" s="22" t="n">
        <v>28.31</v>
      </c>
      <c r="K118" s="18" t="inlineStr">
        <is>
          <t>Ferrisariato</t>
        </is>
      </c>
      <c r="L118" s="8">
        <f>F118*G118</f>
        <v/>
      </c>
      <c r="M118" s="145" t="inlineStr">
        <is>
          <t>S-B10-COR-G150X50X15X3</t>
        </is>
      </c>
      <c r="N118" s="18" t="inlineStr">
        <is>
          <t>Estructuras</t>
        </is>
      </c>
      <c r="O118" s="18" t="inlineStr">
        <is>
          <t>Estimado DION · criterio de mercado Guayaquil 2026 (no verificado en tienda)</t>
        </is>
      </c>
      <c r="P118" s="18" t="inlineStr">
        <is>
          <t>oct-2026 (est.)</t>
        </is>
      </c>
      <c r="Q118" s="18" t="n">
        <v>3</v>
      </c>
    </row>
    <row r="119">
      <c r="A119" s="90" t="n">
        <v>106</v>
      </c>
      <c r="B119" s="91" t="inlineStr">
        <is>
          <t xml:space="preserve">        Correa G Galvanizada 150x50x15x4 mm (6 m)</t>
        </is>
      </c>
      <c r="C119" s="92" t="inlineStr">
        <is>
          <t>Residencial / Comercial / Ind</t>
        </is>
      </c>
      <c r="D119" s="90" t="inlineStr">
        <is>
          <t>Correas G</t>
        </is>
      </c>
      <c r="E119" s="90" t="inlineStr">
        <is>
          <t>U</t>
        </is>
      </c>
      <c r="F119" s="93" t="n">
        <v>10</v>
      </c>
      <c r="G119" s="94" t="n">
        <v>33.5</v>
      </c>
      <c r="H119" s="94" t="n">
        <v>34.51</v>
      </c>
      <c r="I119" s="90" t="inlineStr">
        <is>
          <t>Megametales</t>
        </is>
      </c>
      <c r="J119" s="94" t="n">
        <v>36.85</v>
      </c>
      <c r="K119" s="90" t="inlineStr">
        <is>
          <t>Kywi / Megakywi</t>
        </is>
      </c>
      <c r="L119" s="95">
        <f>F119*G119</f>
        <v/>
      </c>
      <c r="M119" s="155" t="inlineStr">
        <is>
          <t>S-B10-COR-G150X50X15X4</t>
        </is>
      </c>
      <c r="N119" s="90" t="inlineStr">
        <is>
          <t>Estructuras</t>
        </is>
      </c>
      <c r="O119" s="90" t="inlineStr">
        <is>
          <t>Estimado DION · criterio de mercado Guayaquil 2026 (no verificado en tienda)</t>
        </is>
      </c>
      <c r="P119" s="90" t="inlineStr">
        <is>
          <t>oct-2026 (est.)</t>
        </is>
      </c>
      <c r="Q119" s="90" t="n">
        <v>3</v>
      </c>
    </row>
    <row r="120">
      <c r="A120" s="18" t="n">
        <v>107</v>
      </c>
      <c r="B120" s="19" t="inlineStr">
        <is>
          <t xml:space="preserve">        Correa G Galvanizada 175x50x15x3 mm (6 m)</t>
        </is>
      </c>
      <c r="C120" s="20" t="inlineStr">
        <is>
          <t>Residencial / Comercial / Ind</t>
        </is>
      </c>
      <c r="D120" s="18" t="inlineStr">
        <is>
          <t>Correas G</t>
        </is>
      </c>
      <c r="E120" s="18" t="inlineStr">
        <is>
          <t>U</t>
        </is>
      </c>
      <c r="F120" s="21" t="n">
        <v>10</v>
      </c>
      <c r="G120" s="22" t="n">
        <v>28.5</v>
      </c>
      <c r="H120" s="22" t="n">
        <v>29.93</v>
      </c>
      <c r="I120" s="18" t="inlineStr">
        <is>
          <t>Megametales</t>
        </is>
      </c>
      <c r="J120" s="22" t="n">
        <v>30.5</v>
      </c>
      <c r="K120" s="18" t="inlineStr">
        <is>
          <t>Ferrisariato</t>
        </is>
      </c>
      <c r="L120" s="8">
        <f>F120*G120</f>
        <v/>
      </c>
      <c r="M120" s="145" t="inlineStr">
        <is>
          <t>S-B10-COR-G175X50X15X3</t>
        </is>
      </c>
      <c r="N120" s="18" t="inlineStr">
        <is>
          <t>Estructuras</t>
        </is>
      </c>
      <c r="O120" s="18" t="inlineStr">
        <is>
          <t>Estimado DION · criterio de mercado Guayaquil 2026 (no verificado en tienda)</t>
        </is>
      </c>
      <c r="P120" s="18" t="inlineStr">
        <is>
          <t>oct-2026 (est.)</t>
        </is>
      </c>
      <c r="Q120" s="18" t="n">
        <v>3</v>
      </c>
    </row>
    <row r="121">
      <c r="A121" s="90" t="n">
        <v>108</v>
      </c>
      <c r="B121" s="91" t="inlineStr">
        <is>
          <t xml:space="preserve">        Correa G Galvanizada 200x50x15x3 mm (6 m)</t>
        </is>
      </c>
      <c r="C121" s="92" t="inlineStr">
        <is>
          <t>Residencial / Comercial / Ind</t>
        </is>
      </c>
      <c r="D121" s="90" t="inlineStr">
        <is>
          <t>Correas G</t>
        </is>
      </c>
      <c r="E121" s="90" t="inlineStr">
        <is>
          <t>U</t>
        </is>
      </c>
      <c r="F121" s="93" t="n">
        <v>10</v>
      </c>
      <c r="G121" s="94" t="n">
        <v>31.5</v>
      </c>
      <c r="H121" s="94" t="n">
        <v>32.76</v>
      </c>
      <c r="I121" s="90" t="inlineStr">
        <is>
          <t>Megametales</t>
        </is>
      </c>
      <c r="J121" s="94" t="n">
        <v>34.65</v>
      </c>
      <c r="K121" s="90" t="inlineStr">
        <is>
          <t>Kywi / Megakywi</t>
        </is>
      </c>
      <c r="L121" s="95">
        <f>F121*G121</f>
        <v/>
      </c>
      <c r="M121" s="155" t="inlineStr">
        <is>
          <t>S-B10-COR-G200X50X15X3</t>
        </is>
      </c>
      <c r="N121" s="90" t="inlineStr">
        <is>
          <t>Estructuras</t>
        </is>
      </c>
      <c r="O121" s="90" t="inlineStr">
        <is>
          <t>Estimado DION · criterio de mercado Guayaquil 2026 (no verificado en tienda)</t>
        </is>
      </c>
      <c r="P121" s="90" t="inlineStr">
        <is>
          <t>oct-2026 (est.)</t>
        </is>
      </c>
      <c r="Q121" s="90" t="n">
        <v>3</v>
      </c>
    </row>
    <row r="122">
      <c r="A122" s="18" t="n">
        <v>109</v>
      </c>
      <c r="B122" s="19" t="inlineStr">
        <is>
          <t xml:space="preserve">        Correa G Galvanizada 200x50x15x4 mm (6 m)</t>
        </is>
      </c>
      <c r="C122" s="20" t="inlineStr">
        <is>
          <t>Residencial / Comercial / Ind</t>
        </is>
      </c>
      <c r="D122" s="18" t="inlineStr">
        <is>
          <t>Correas G</t>
        </is>
      </c>
      <c r="E122" s="18" t="inlineStr">
        <is>
          <t>U</t>
        </is>
      </c>
      <c r="F122" s="21" t="n">
        <v>10</v>
      </c>
      <c r="G122" s="22" t="n">
        <v>41.5</v>
      </c>
      <c r="H122" s="22" t="n">
        <v>43.58</v>
      </c>
      <c r="I122" s="18" t="inlineStr">
        <is>
          <t>Megametales</t>
        </is>
      </c>
      <c r="J122" s="22" t="n">
        <v>45.24</v>
      </c>
      <c r="K122" s="18" t="inlineStr">
        <is>
          <t>Ferrisariato</t>
        </is>
      </c>
      <c r="L122" s="8">
        <f>F122*G122</f>
        <v/>
      </c>
      <c r="M122" s="145" t="inlineStr">
        <is>
          <t>S-B10-COR-G200X50X15X4</t>
        </is>
      </c>
      <c r="N122" s="18" t="inlineStr">
        <is>
          <t>Estructuras</t>
        </is>
      </c>
      <c r="O122" s="18" t="inlineStr">
        <is>
          <t>Estimado DION · criterio de mercado Guayaquil 2026 (no verificado en tienda)</t>
        </is>
      </c>
      <c r="P122" s="18" t="inlineStr">
        <is>
          <t>oct-2026 (est.)</t>
        </is>
      </c>
      <c r="Q122" s="18" t="n">
        <v>3</v>
      </c>
    </row>
    <row r="123">
      <c r="A123" s="90" t="n">
        <v>110</v>
      </c>
      <c r="B123" s="91" t="inlineStr">
        <is>
          <t xml:space="preserve">        Correa G Galvanizada 250x75x25x4 mm (6 m)</t>
        </is>
      </c>
      <c r="C123" s="92" t="inlineStr">
        <is>
          <t>Residencial / Comercial / Ind</t>
        </is>
      </c>
      <c r="D123" s="90" t="inlineStr">
        <is>
          <t>Correas G</t>
        </is>
      </c>
      <c r="E123" s="90" t="inlineStr">
        <is>
          <t>U</t>
        </is>
      </c>
      <c r="F123" s="93" t="n">
        <v>10</v>
      </c>
      <c r="G123" s="94" t="n">
        <v>58</v>
      </c>
      <c r="H123" s="94" t="n">
        <v>60.9</v>
      </c>
      <c r="I123" s="90" t="inlineStr">
        <is>
          <t>Megametales</t>
        </is>
      </c>
      <c r="J123" s="94" t="n">
        <v>63.22</v>
      </c>
      <c r="K123" s="90" t="inlineStr">
        <is>
          <t>Kywi / Megakywi</t>
        </is>
      </c>
      <c r="L123" s="95">
        <f>F123*G123</f>
        <v/>
      </c>
      <c r="M123" s="155" t="inlineStr">
        <is>
          <t>S-B10-COR-G250X75X25X4</t>
        </is>
      </c>
      <c r="N123" s="90" t="inlineStr">
        <is>
          <t>Estructuras</t>
        </is>
      </c>
      <c r="O123" s="90" t="inlineStr">
        <is>
          <t>Estimado DION · criterio de mercado Guayaquil 2026 (no verificado en tienda)</t>
        </is>
      </c>
      <c r="P123" s="90" t="inlineStr">
        <is>
          <t>oct-2026 (est.)</t>
        </is>
      </c>
      <c r="Q123" s="90" t="n">
        <v>3</v>
      </c>
    </row>
    <row r="124">
      <c r="A124" s="18" t="n">
        <v>111</v>
      </c>
      <c r="B124" s="19" t="inlineStr">
        <is>
          <t xml:space="preserve">        Correa G Galvanizada 300x75x25x4 mm (6 m)</t>
        </is>
      </c>
      <c r="C124" s="20" t="inlineStr">
        <is>
          <t>Residencial / Comercial / Ind</t>
        </is>
      </c>
      <c r="D124" s="18" t="inlineStr">
        <is>
          <t>Correas G</t>
        </is>
      </c>
      <c r="E124" s="18" t="inlineStr">
        <is>
          <t>U</t>
        </is>
      </c>
      <c r="F124" s="21" t="n">
        <v>10</v>
      </c>
      <c r="G124" s="22" t="n">
        <v>66</v>
      </c>
      <c r="H124" s="22" t="n">
        <v>69.3</v>
      </c>
      <c r="I124" s="18" t="inlineStr">
        <is>
          <t>Megametales</t>
        </is>
      </c>
      <c r="J124" s="22" t="n">
        <v>70.62</v>
      </c>
      <c r="K124" s="18" t="inlineStr">
        <is>
          <t>Ferrisariato</t>
        </is>
      </c>
      <c r="L124" s="8">
        <f>F124*G124</f>
        <v/>
      </c>
      <c r="M124" s="145" t="inlineStr">
        <is>
          <t>S-B10-COR-G300X75X25X4</t>
        </is>
      </c>
      <c r="N124" s="18" t="inlineStr">
        <is>
          <t>Estructuras</t>
        </is>
      </c>
      <c r="O124" s="18" t="inlineStr">
        <is>
          <t>Estimado DION · criterio de mercado Guayaquil 2026 (no verificado en tienda)</t>
        </is>
      </c>
      <c r="P124" s="18" t="inlineStr">
        <is>
          <t>oct-2026 (est.)</t>
        </is>
      </c>
      <c r="Q124" s="18" t="n">
        <v>3</v>
      </c>
    </row>
    <row r="125">
      <c r="A125" s="90" t="n">
        <v>112</v>
      </c>
      <c r="B125" s="91" t="inlineStr">
        <is>
          <t xml:space="preserve">        Ángulo L 25x25x3 mm (6 m)</t>
        </is>
      </c>
      <c r="C125" s="92" t="inlineStr">
        <is>
          <t>Residencial / Comercial / Ind</t>
        </is>
      </c>
      <c r="D125" s="90" t="inlineStr">
        <is>
          <t>Perfiles Livianos</t>
        </is>
      </c>
      <c r="E125" s="90" t="inlineStr">
        <is>
          <t>U</t>
        </is>
      </c>
      <c r="F125" s="93" t="n">
        <v>4</v>
      </c>
      <c r="G125" s="94" t="n">
        <v>9.5</v>
      </c>
      <c r="H125" s="94" t="n">
        <v>9.69</v>
      </c>
      <c r="I125" s="90" t="inlineStr">
        <is>
          <t>Megametales</t>
        </is>
      </c>
      <c r="J125" s="94" t="n">
        <v>10.55</v>
      </c>
      <c r="K125" s="90" t="inlineStr">
        <is>
          <t>Kywi / Megakywi</t>
        </is>
      </c>
      <c r="L125" s="95">
        <f>F125*G125</f>
        <v/>
      </c>
      <c r="M125" s="155" t="inlineStr">
        <is>
          <t>S-B10-COR-L25X3</t>
        </is>
      </c>
      <c r="N125" s="90" t="inlineStr">
        <is>
          <t>Estructuras</t>
        </is>
      </c>
      <c r="O125" s="90" t="inlineStr">
        <is>
          <t>Estimado DION · criterio de mercado Guayaquil 2026 (no verificado en tienda)</t>
        </is>
      </c>
      <c r="P125" s="90" t="inlineStr">
        <is>
          <t>oct-2026 (est.)</t>
        </is>
      </c>
      <c r="Q125" s="90" t="n">
        <v>3</v>
      </c>
    </row>
    <row r="126">
      <c r="A126" s="18" t="n">
        <v>113</v>
      </c>
      <c r="B126" s="19" t="inlineStr">
        <is>
          <t xml:space="preserve">        Ángulo L 40x40x4 mm (6 m)</t>
        </is>
      </c>
      <c r="C126" s="20" t="inlineStr">
        <is>
          <t>Residencial / Comercial / Ind</t>
        </is>
      </c>
      <c r="D126" s="18" t="inlineStr">
        <is>
          <t>Perfiles Livianos</t>
        </is>
      </c>
      <c r="E126" s="18" t="inlineStr">
        <is>
          <t>U</t>
        </is>
      </c>
      <c r="F126" s="21" t="n">
        <v>4</v>
      </c>
      <c r="G126" s="22" t="n">
        <v>19.5</v>
      </c>
      <c r="H126" s="22" t="n">
        <v>19.89</v>
      </c>
      <c r="I126" s="18" t="inlineStr">
        <is>
          <t>Megametales</t>
        </is>
      </c>
      <c r="J126" s="22" t="n">
        <v>20.87</v>
      </c>
      <c r="K126" s="18" t="inlineStr">
        <is>
          <t>Ferrisariato</t>
        </is>
      </c>
      <c r="L126" s="8">
        <f>F126*G126</f>
        <v/>
      </c>
      <c r="M126" s="145" t="inlineStr">
        <is>
          <t>S-B10-COR-L40X4</t>
        </is>
      </c>
      <c r="N126" s="18" t="inlineStr">
        <is>
          <t>Estructuras</t>
        </is>
      </c>
      <c r="O126" s="18" t="inlineStr">
        <is>
          <t>Estimado DION · criterio de mercado Guayaquil 2026 (no verificado en tienda)</t>
        </is>
      </c>
      <c r="P126" s="18" t="inlineStr">
        <is>
          <t>oct-2026 (est.)</t>
        </is>
      </c>
      <c r="Q126" s="18" t="n">
        <v>3</v>
      </c>
    </row>
    <row r="127">
      <c r="A127" s="90" t="n">
        <v>114</v>
      </c>
      <c r="B127" s="91" t="inlineStr">
        <is>
          <t xml:space="preserve">        Ángulo L 50x50x5 mm (6 m)</t>
        </is>
      </c>
      <c r="C127" s="92" t="inlineStr">
        <is>
          <t>Residencial / Comercial / Ind</t>
        </is>
      </c>
      <c r="D127" s="90" t="inlineStr">
        <is>
          <t>Perfiles Livianos</t>
        </is>
      </c>
      <c r="E127" s="90" t="inlineStr">
        <is>
          <t>U</t>
        </is>
      </c>
      <c r="F127" s="93" t="n">
        <v>4</v>
      </c>
      <c r="G127" s="94" t="n">
        <v>30</v>
      </c>
      <c r="H127" s="94" t="n">
        <v>31.5</v>
      </c>
      <c r="I127" s="90" t="inlineStr">
        <is>
          <t>Megametales</t>
        </is>
      </c>
      <c r="J127" s="94" t="n">
        <v>32.4</v>
      </c>
      <c r="K127" s="90" t="inlineStr">
        <is>
          <t>Kywi / Megakywi</t>
        </is>
      </c>
      <c r="L127" s="95">
        <f>F127*G127</f>
        <v/>
      </c>
      <c r="M127" s="155" t="inlineStr">
        <is>
          <t>S-B10-COR-L50X5</t>
        </is>
      </c>
      <c r="N127" s="90" t="inlineStr">
        <is>
          <t>Estructuras</t>
        </is>
      </c>
      <c r="O127" s="90" t="inlineStr">
        <is>
          <t>Estimado DION · criterio de mercado Guayaquil 2026 (no verificado en tienda)</t>
        </is>
      </c>
      <c r="P127" s="90" t="inlineStr">
        <is>
          <t>oct-2026 (est.)</t>
        </is>
      </c>
      <c r="Q127" s="90" t="n">
        <v>3</v>
      </c>
    </row>
    <row r="128">
      <c r="A128" s="18" t="n">
        <v>115</v>
      </c>
      <c r="B128" s="19" t="inlineStr">
        <is>
          <t xml:space="preserve">        Ángulo L 75x75x6 mm (6 m)</t>
        </is>
      </c>
      <c r="C128" s="20" t="inlineStr">
        <is>
          <t>Residencial / Comercial / Ind</t>
        </is>
      </c>
      <c r="D128" s="18" t="inlineStr">
        <is>
          <t>Perfiles Livianos</t>
        </is>
      </c>
      <c r="E128" s="18" t="inlineStr">
        <is>
          <t>U</t>
        </is>
      </c>
      <c r="F128" s="21" t="n">
        <v>4</v>
      </c>
      <c r="G128" s="22" t="n">
        <v>56</v>
      </c>
      <c r="H128" s="22" t="n">
        <v>57.68</v>
      </c>
      <c r="I128" s="18" t="inlineStr">
        <is>
          <t>Megametales</t>
        </is>
      </c>
      <c r="J128" s="22" t="n">
        <v>61.6</v>
      </c>
      <c r="K128" s="18" t="inlineStr">
        <is>
          <t>Ferrisariato</t>
        </is>
      </c>
      <c r="L128" s="8">
        <f>F128*G128</f>
        <v/>
      </c>
      <c r="M128" s="145" t="inlineStr">
        <is>
          <t>S-B10-COR-L75X6</t>
        </is>
      </c>
      <c r="N128" s="18" t="inlineStr">
        <is>
          <t>Estructuras</t>
        </is>
      </c>
      <c r="O128" s="18" t="inlineStr">
        <is>
          <t>Estimado DION · criterio de mercado Guayaquil 2026 (no verificado en tienda)</t>
        </is>
      </c>
      <c r="P128" s="18" t="inlineStr">
        <is>
          <t>oct-2026 (est.)</t>
        </is>
      </c>
      <c r="Q128" s="18" t="n">
        <v>3</v>
      </c>
    </row>
    <row r="129">
      <c r="A129" s="90" t="n">
        <v>116</v>
      </c>
      <c r="B129" s="91" t="inlineStr">
        <is>
          <t xml:space="preserve">        Ángulo L 100x100x8 mm (6 m)</t>
        </is>
      </c>
      <c r="C129" s="92" t="inlineStr">
        <is>
          <t>Residencial / Comercial / Ind</t>
        </is>
      </c>
      <c r="D129" s="90" t="inlineStr">
        <is>
          <t>Perfiles Livianos</t>
        </is>
      </c>
      <c r="E129" s="90" t="inlineStr">
        <is>
          <t>U</t>
        </is>
      </c>
      <c r="F129" s="93" t="n">
        <v>4</v>
      </c>
      <c r="G129" s="94" t="n">
        <v>98</v>
      </c>
      <c r="H129" s="94" t="n">
        <v>101.92</v>
      </c>
      <c r="I129" s="90" t="inlineStr">
        <is>
          <t>Megametales</t>
        </is>
      </c>
      <c r="J129" s="94" t="n">
        <v>108.78</v>
      </c>
      <c r="K129" s="90" t="inlineStr">
        <is>
          <t>Kywi / Megakywi</t>
        </is>
      </c>
      <c r="L129" s="95">
        <f>F129*G129</f>
        <v/>
      </c>
      <c r="M129" s="155" t="inlineStr">
        <is>
          <t>S-B10-COR-L100X8</t>
        </is>
      </c>
      <c r="N129" s="90" t="inlineStr">
        <is>
          <t>Estructuras</t>
        </is>
      </c>
      <c r="O129" s="90" t="inlineStr">
        <is>
          <t>Estimado DION · criterio de mercado Guayaquil 2026 (no verificado en tienda)</t>
        </is>
      </c>
      <c r="P129" s="90" t="inlineStr">
        <is>
          <t>oct-2026 (est.)</t>
        </is>
      </c>
      <c r="Q129" s="90" t="n">
        <v>3</v>
      </c>
    </row>
    <row r="130">
      <c r="A130" s="18" t="n">
        <v>117</v>
      </c>
      <c r="B130" s="19" t="inlineStr">
        <is>
          <t xml:space="preserve">        Platina 38x4 mm (6 m)</t>
        </is>
      </c>
      <c r="C130" s="20" t="inlineStr">
        <is>
          <t>Residencial / Comercial / Ind</t>
        </is>
      </c>
      <c r="D130" s="18" t="inlineStr">
        <is>
          <t>Perfiles Livianos</t>
        </is>
      </c>
      <c r="E130" s="18" t="inlineStr">
        <is>
          <t>U</t>
        </is>
      </c>
      <c r="F130" s="21" t="n">
        <v>4</v>
      </c>
      <c r="G130" s="22" t="n">
        <v>9.800000000000001</v>
      </c>
      <c r="H130" s="22" t="n">
        <v>10.09</v>
      </c>
      <c r="I130" s="18" t="inlineStr">
        <is>
          <t>Megametales</t>
        </is>
      </c>
      <c r="J130" s="22" t="n">
        <v>10.68</v>
      </c>
      <c r="K130" s="18" t="inlineStr">
        <is>
          <t>Ferrisariato</t>
        </is>
      </c>
      <c r="L130" s="8">
        <f>F130*G130</f>
        <v/>
      </c>
      <c r="M130" s="145" t="inlineStr">
        <is>
          <t>S-B10-COR-PLT-38X4</t>
        </is>
      </c>
      <c r="N130" s="18" t="inlineStr">
        <is>
          <t>Estructuras</t>
        </is>
      </c>
      <c r="O130" s="18" t="inlineStr">
        <is>
          <t>Estimado DION · criterio de mercado Guayaquil 2026 (no verificado en tienda)</t>
        </is>
      </c>
      <c r="P130" s="18" t="inlineStr">
        <is>
          <t>oct-2026 (est.)</t>
        </is>
      </c>
      <c r="Q130" s="18" t="n">
        <v>3</v>
      </c>
    </row>
    <row r="131">
      <c r="A131" s="90" t="n">
        <v>118</v>
      </c>
      <c r="B131" s="91" t="inlineStr">
        <is>
          <t xml:space="preserve">        Platina 50x6 mm (6 m)</t>
        </is>
      </c>
      <c r="C131" s="92" t="inlineStr">
        <is>
          <t>Residencial / Comercial / Ind</t>
        </is>
      </c>
      <c r="D131" s="90" t="inlineStr">
        <is>
          <t>Perfiles Livianos</t>
        </is>
      </c>
      <c r="E131" s="90" t="inlineStr">
        <is>
          <t>U</t>
        </is>
      </c>
      <c r="F131" s="93" t="n">
        <v>4</v>
      </c>
      <c r="G131" s="94" t="n">
        <v>19.5</v>
      </c>
      <c r="H131" s="94" t="n">
        <v>20.48</v>
      </c>
      <c r="I131" s="90" t="inlineStr">
        <is>
          <t>Megametales</t>
        </is>
      </c>
      <c r="J131" s="94" t="n">
        <v>21.06</v>
      </c>
      <c r="K131" s="90" t="inlineStr">
        <is>
          <t>Kywi / Megakywi</t>
        </is>
      </c>
      <c r="L131" s="95">
        <f>F131*G131</f>
        <v/>
      </c>
      <c r="M131" s="155" t="inlineStr">
        <is>
          <t>S-B10-COR-PLT-50X6</t>
        </is>
      </c>
      <c r="N131" s="90" t="inlineStr">
        <is>
          <t>Estructuras</t>
        </is>
      </c>
      <c r="O131" s="90" t="inlineStr">
        <is>
          <t>Estimado DION · criterio de mercado Guayaquil 2026 (no verificado en tienda)</t>
        </is>
      </c>
      <c r="P131" s="90" t="inlineStr">
        <is>
          <t>oct-2026 (est.)</t>
        </is>
      </c>
      <c r="Q131" s="90" t="n">
        <v>3</v>
      </c>
    </row>
    <row r="132">
      <c r="A132" s="18" t="n">
        <v>119</v>
      </c>
      <c r="B132" s="19" t="inlineStr">
        <is>
          <t xml:space="preserve">        Platina 100x10 mm (6 m)</t>
        </is>
      </c>
      <c r="C132" s="20" t="inlineStr">
        <is>
          <t>Residencial / Comercial / Ind</t>
        </is>
      </c>
      <c r="D132" s="18" t="inlineStr">
        <is>
          <t>Perfiles Livianos</t>
        </is>
      </c>
      <c r="E132" s="18" t="inlineStr">
        <is>
          <t>U</t>
        </is>
      </c>
      <c r="F132" s="21" t="n">
        <v>4</v>
      </c>
      <c r="G132" s="22" t="n">
        <v>64</v>
      </c>
      <c r="H132" s="22" t="n">
        <v>67.2</v>
      </c>
      <c r="I132" s="18" t="inlineStr">
        <is>
          <t>Megametales</t>
        </is>
      </c>
      <c r="J132" s="22" t="n">
        <v>71.04000000000001</v>
      </c>
      <c r="K132" s="18" t="inlineStr">
        <is>
          <t>Ferrisariato</t>
        </is>
      </c>
      <c r="L132" s="8">
        <f>F132*G132</f>
        <v/>
      </c>
      <c r="M132" s="145" t="inlineStr">
        <is>
          <t>S-B10-COR-PLT-100X10</t>
        </is>
      </c>
      <c r="N132" s="18" t="inlineStr">
        <is>
          <t>Estructuras</t>
        </is>
      </c>
      <c r="O132" s="18" t="inlineStr">
        <is>
          <t>Estimado DION · criterio de mercado Guayaquil 2026 (no verificado en tienda)</t>
        </is>
      </c>
      <c r="P132" s="18" t="inlineStr">
        <is>
          <t>oct-2026 (est.)</t>
        </is>
      </c>
      <c r="Q132" s="18" t="n">
        <v>3</v>
      </c>
    </row>
    <row r="133">
      <c r="A133" s="90" t="n">
        <v>120</v>
      </c>
      <c r="B133" s="91" t="inlineStr">
        <is>
          <t xml:space="preserve">        Canal C 100x50x3 mm (6 m)</t>
        </is>
      </c>
      <c r="C133" s="92" t="inlineStr">
        <is>
          <t>Residencial / Comercial / Ind</t>
        </is>
      </c>
      <c r="D133" s="90" t="inlineStr">
        <is>
          <t>Perfiles Livianos</t>
        </is>
      </c>
      <c r="E133" s="90" t="inlineStr">
        <is>
          <t>U</t>
        </is>
      </c>
      <c r="F133" s="93" t="n">
        <v>4</v>
      </c>
      <c r="G133" s="94" t="n">
        <v>23</v>
      </c>
      <c r="H133" s="94" t="n">
        <v>23.69</v>
      </c>
      <c r="I133" s="90" t="inlineStr">
        <is>
          <t>Megametales</t>
        </is>
      </c>
      <c r="J133" s="94" t="n">
        <v>25.53</v>
      </c>
      <c r="K133" s="90" t="inlineStr">
        <is>
          <t>Kywi / Megakywi</t>
        </is>
      </c>
      <c r="L133" s="95">
        <f>F133*G133</f>
        <v/>
      </c>
      <c r="M133" s="155" t="inlineStr">
        <is>
          <t>S-B10-COR-C100X50X3</t>
        </is>
      </c>
      <c r="N133" s="90" t="inlineStr">
        <is>
          <t>Estructuras</t>
        </is>
      </c>
      <c r="O133" s="90" t="inlineStr">
        <is>
          <t>Estimado DION · criterio de mercado Guayaquil 2026 (no verificado en tienda)</t>
        </is>
      </c>
      <c r="P133" s="90" t="inlineStr">
        <is>
          <t>oct-2026 (est.)</t>
        </is>
      </c>
      <c r="Q133" s="90" t="n">
        <v>3</v>
      </c>
    </row>
    <row r="134">
      <c r="A134" s="18" t="n">
        <v>121</v>
      </c>
      <c r="B134" s="19" t="inlineStr">
        <is>
          <t xml:space="preserve">        Perfil Steel Framing Montante 89 mm 0.84 mm (6 m)</t>
        </is>
      </c>
      <c r="C134" s="20" t="inlineStr">
        <is>
          <t>Residencial / Comercial / Ind</t>
        </is>
      </c>
      <c r="D134" s="18" t="inlineStr">
        <is>
          <t>Perfiles Livianos</t>
        </is>
      </c>
      <c r="E134" s="18" t="inlineStr">
        <is>
          <t>U</t>
        </is>
      </c>
      <c r="F134" s="21" t="n">
        <v>4</v>
      </c>
      <c r="G134" s="22" t="n">
        <v>14.5</v>
      </c>
      <c r="H134" s="22" t="n">
        <v>14.79</v>
      </c>
      <c r="I134" s="18" t="inlineStr">
        <is>
          <t>Megametales</t>
        </is>
      </c>
      <c r="J134" s="22" t="n">
        <v>15.66</v>
      </c>
      <c r="K134" s="18" t="inlineStr">
        <is>
          <t>Ferrisariato</t>
        </is>
      </c>
      <c r="L134" s="8">
        <f>F134*G134</f>
        <v/>
      </c>
      <c r="M134" s="145" t="inlineStr">
        <is>
          <t>S-B10-COR-STF-89</t>
        </is>
      </c>
      <c r="N134" s="18" t="inlineStr">
        <is>
          <t>Estructuras</t>
        </is>
      </c>
      <c r="O134" s="18" t="inlineStr">
        <is>
          <t>Estimado DION · criterio de mercado Guayaquil 2026 (no verificado en tienda)</t>
        </is>
      </c>
      <c r="P134" s="18" t="inlineStr">
        <is>
          <t>oct-2026 (est.)</t>
        </is>
      </c>
      <c r="Q134" s="18" t="n">
        <v>3</v>
      </c>
    </row>
    <row r="135">
      <c r="A135" s="90" t="n">
        <v>122</v>
      </c>
      <c r="B135" s="91" t="inlineStr">
        <is>
          <t xml:space="preserve">        Placa Colaborante Steel Deck 0.65 mm (m²)</t>
        </is>
      </c>
      <c r="C135" s="92" t="inlineStr">
        <is>
          <t>Comercial / Industrial</t>
        </is>
      </c>
      <c r="D135" s="90" t="inlineStr">
        <is>
          <t>Placa Colaborante</t>
        </is>
      </c>
      <c r="E135" s="90" t="inlineStr">
        <is>
          <t>m2</t>
        </is>
      </c>
      <c r="F135" s="93" t="n">
        <v>50</v>
      </c>
      <c r="G135" s="94" t="n">
        <v>11.5</v>
      </c>
      <c r="H135" s="94" t="n">
        <v>11.96</v>
      </c>
      <c r="I135" s="90" t="inlineStr">
        <is>
          <t>Megametales</t>
        </is>
      </c>
      <c r="J135" s="94" t="n">
        <v>12.42</v>
      </c>
      <c r="K135" s="90" t="inlineStr">
        <is>
          <t>Kywi / Megakywi</t>
        </is>
      </c>
      <c r="L135" s="95">
        <f>F135*G135</f>
        <v/>
      </c>
      <c r="M135" s="155" t="inlineStr">
        <is>
          <t>S-B10-LOS-DECK-0P65-005</t>
        </is>
      </c>
      <c r="N135" s="90" t="inlineStr">
        <is>
          <t>Estructuras</t>
        </is>
      </c>
      <c r="O135" s="90" t="inlineStr">
        <is>
          <t>Estimado DION · criterio de mercado Guayaquil 2026 (no verificado en tienda)</t>
        </is>
      </c>
      <c r="P135" s="90" t="inlineStr">
        <is>
          <t>oct-2026 (est.)</t>
        </is>
      </c>
      <c r="Q135" s="90" t="n">
        <v>5</v>
      </c>
    </row>
    <row r="136">
      <c r="A136" s="18" t="n">
        <v>123</v>
      </c>
      <c r="B136" s="19" t="inlineStr">
        <is>
          <t xml:space="preserve">        Placa Colaborante Steel Deck 0.76 mm (m²)</t>
        </is>
      </c>
      <c r="C136" s="20" t="inlineStr">
        <is>
          <t>Comercial / Industrial</t>
        </is>
      </c>
      <c r="D136" s="18" t="inlineStr">
        <is>
          <t>Placa Colaborante</t>
        </is>
      </c>
      <c r="E136" s="18" t="inlineStr">
        <is>
          <t>m2</t>
        </is>
      </c>
      <c r="F136" s="21" t="n">
        <v>50</v>
      </c>
      <c r="G136" s="22" t="n">
        <v>13.2</v>
      </c>
      <c r="H136" s="22" t="n">
        <v>13.86</v>
      </c>
      <c r="I136" s="18" t="inlineStr">
        <is>
          <t>Megametales</t>
        </is>
      </c>
      <c r="J136" s="22" t="n">
        <v>14.12</v>
      </c>
      <c r="K136" s="18" t="inlineStr">
        <is>
          <t>Ferrisariato</t>
        </is>
      </c>
      <c r="L136" s="8">
        <f>F136*G136</f>
        <v/>
      </c>
      <c r="M136" s="145" t="inlineStr">
        <is>
          <t>S-B10-LOS-DECK-0P76-006</t>
        </is>
      </c>
      <c r="N136" s="18" t="inlineStr">
        <is>
          <t>Estructuras</t>
        </is>
      </c>
      <c r="O136" s="18" t="inlineStr">
        <is>
          <t>Estimado DION · criterio de mercado Guayaquil 2026 (no verificado en tienda)</t>
        </is>
      </c>
      <c r="P136" s="18" t="inlineStr">
        <is>
          <t>oct-2026 (est.)</t>
        </is>
      </c>
      <c r="Q136" s="18" t="n">
        <v>5</v>
      </c>
    </row>
    <row r="137">
      <c r="A137" s="90" t="n">
        <v>124</v>
      </c>
      <c r="B137" s="91" t="inlineStr">
        <is>
          <t xml:space="preserve">        Placa Colaborante Steel Deck 1.00 mm (m²)</t>
        </is>
      </c>
      <c r="C137" s="92" t="inlineStr">
        <is>
          <t>Industrial</t>
        </is>
      </c>
      <c r="D137" s="90" t="inlineStr">
        <is>
          <t>Placa Colaborante</t>
        </is>
      </c>
      <c r="E137" s="90" t="inlineStr">
        <is>
          <t>m2</t>
        </is>
      </c>
      <c r="F137" s="93" t="n">
        <v>50</v>
      </c>
      <c r="G137" s="94" t="n">
        <v>17.5</v>
      </c>
      <c r="H137" s="94" t="n">
        <v>17.85</v>
      </c>
      <c r="I137" s="90" t="inlineStr">
        <is>
          <t>Megametales</t>
        </is>
      </c>
      <c r="J137" s="94" t="n">
        <v>19.43</v>
      </c>
      <c r="K137" s="90" t="inlineStr">
        <is>
          <t>Kywi / Megakywi</t>
        </is>
      </c>
      <c r="L137" s="95">
        <f>F137*G137</f>
        <v/>
      </c>
      <c r="M137" s="155" t="inlineStr">
        <is>
          <t>S-B10-LOS-DECK-1P00-008</t>
        </is>
      </c>
      <c r="N137" s="90" t="inlineStr">
        <is>
          <t>Estructuras</t>
        </is>
      </c>
      <c r="O137" s="90" t="inlineStr">
        <is>
          <t>Estimado DION · criterio de mercado Guayaquil 2026 (no verificado en tienda)</t>
        </is>
      </c>
      <c r="P137" s="90" t="inlineStr">
        <is>
          <t>oct-2026 (est.)</t>
        </is>
      </c>
      <c r="Q137" s="90" t="n">
        <v>5</v>
      </c>
    </row>
    <row r="138">
      <c r="A138" s="18" t="n">
        <v>125</v>
      </c>
      <c r="B138" s="19" t="inlineStr">
        <is>
          <t xml:space="preserve">        Conector de Corte Stud Ø19 mm x 100 mm (Steel Deck)</t>
        </is>
      </c>
      <c r="C138" s="20" t="inlineStr">
        <is>
          <t>Comercial / Industrial</t>
        </is>
      </c>
      <c r="D138" s="18" t="inlineStr">
        <is>
          <t>Conectores de Corte</t>
        </is>
      </c>
      <c r="E138" s="18" t="inlineStr">
        <is>
          <t>U</t>
        </is>
      </c>
      <c r="F138" s="21" t="n">
        <v>100</v>
      </c>
      <c r="G138" s="22" t="n">
        <v>1.35</v>
      </c>
      <c r="H138" s="22" t="n">
        <v>1.4</v>
      </c>
      <c r="I138" s="18" t="inlineStr">
        <is>
          <t>Megametales</t>
        </is>
      </c>
      <c r="J138" s="22" t="n">
        <v>1.46</v>
      </c>
      <c r="K138" s="18" t="inlineStr">
        <is>
          <t>Ferrisariato</t>
        </is>
      </c>
      <c r="L138" s="8">
        <f>F138*G138</f>
        <v/>
      </c>
      <c r="M138" s="145" t="inlineStr">
        <is>
          <t>S-B10-CNX-STD-19</t>
        </is>
      </c>
      <c r="N138" s="18" t="inlineStr">
        <is>
          <t>Estructuras</t>
        </is>
      </c>
      <c r="O138" s="18" t="inlineStr">
        <is>
          <t>Estimado DION · criterio de mercado Guayaquil 2026 (no verificado en tienda)</t>
        </is>
      </c>
      <c r="P138" s="18" t="inlineStr">
        <is>
          <t>oct-2026 (est.)</t>
        </is>
      </c>
      <c r="Q138" s="18" t="n"/>
    </row>
    <row r="139">
      <c r="A139" s="88" t="inlineStr">
        <is>
          <t>EQUIPOS</t>
        </is>
      </c>
      <c r="B139" s="143" t="n"/>
      <c r="C139" s="143" t="n"/>
      <c r="D139" s="143" t="n"/>
      <c r="E139" s="143" t="n"/>
      <c r="F139" s="143" t="n"/>
      <c r="G139" s="143" t="n"/>
      <c r="H139" s="143" t="n"/>
      <c r="I139" s="143" t="n"/>
      <c r="J139" s="143" t="n"/>
      <c r="K139" s="143" t="n"/>
      <c r="L139" s="143" t="n"/>
      <c r="M139" s="143" t="n"/>
      <c r="N139" s="143" t="n"/>
      <c r="O139" s="143" t="n"/>
      <c r="P139" s="143" t="n"/>
      <c r="Q139" s="144" t="n"/>
    </row>
    <row r="140">
      <c r="A140" s="50" t="inlineStr">
        <is>
          <t xml:space="preserve">  ► CATEGORÍA: SISTEMAS DE MONTAJE Y GRÚAS</t>
        </is>
      </c>
      <c r="B140" s="143" t="n"/>
      <c r="C140" s="143" t="n"/>
      <c r="D140" s="143" t="n"/>
      <c r="E140" s="143" t="n"/>
      <c r="F140" s="143" t="n"/>
      <c r="G140" s="143" t="n"/>
      <c r="H140" s="143" t="n"/>
      <c r="I140" s="143" t="n"/>
      <c r="J140" s="143" t="n"/>
      <c r="K140" s="143" t="n"/>
      <c r="L140" s="143" t="n"/>
      <c r="M140" s="143" t="n"/>
      <c r="N140" s="143" t="n"/>
      <c r="O140" s="143" t="n"/>
      <c r="P140" s="143" t="n"/>
      <c r="Q140" s="144" t="n"/>
    </row>
    <row r="141">
      <c r="A141" s="89" t="inlineStr">
        <is>
          <t xml:space="preserve">      • Subcategoría Especificada: Equipos de Elevación</t>
        </is>
      </c>
      <c r="B141" s="143" t="n"/>
      <c r="C141" s="143" t="n"/>
      <c r="D141" s="143" t="n"/>
      <c r="E141" s="143" t="n"/>
      <c r="F141" s="143" t="n"/>
      <c r="G141" s="143" t="n"/>
      <c r="H141" s="143" t="n"/>
      <c r="I141" s="143" t="n"/>
      <c r="J141" s="143" t="n"/>
      <c r="K141" s="143" t="n"/>
      <c r="L141" s="143" t="n"/>
      <c r="M141" s="143" t="n"/>
      <c r="N141" s="143" t="n"/>
      <c r="O141" s="143" t="n"/>
      <c r="P141" s="143" t="n"/>
      <c r="Q141" s="144" t="n"/>
    </row>
    <row r="142">
      <c r="A142" s="90" t="n">
        <v>126</v>
      </c>
      <c r="B142" s="91" t="inlineStr">
        <is>
          <t xml:space="preserve">        Polipasto Eléctrico de Cadena 2 Toneladas 380V</t>
        </is>
      </c>
      <c r="C142" s="92" t="inlineStr">
        <is>
          <t>Industrial</t>
        </is>
      </c>
      <c r="D142" s="90" t="inlineStr">
        <is>
          <t>Polipastos</t>
        </is>
      </c>
      <c r="E142" s="90" t="inlineStr">
        <is>
          <t>U</t>
        </is>
      </c>
      <c r="F142" s="93" t="n">
        <v>1</v>
      </c>
      <c r="G142" s="94" t="n">
        <v>850</v>
      </c>
      <c r="H142" s="94" t="n">
        <v>880</v>
      </c>
      <c r="I142" s="90" t="inlineStr">
        <is>
          <t>Megametales</t>
        </is>
      </c>
      <c r="J142" s="94" t="n">
        <v>930</v>
      </c>
      <c r="K142" s="90" t="inlineStr">
        <is>
          <t>Kywi / Megakywi</t>
        </is>
      </c>
      <c r="L142" s="95">
        <f>F142*G142</f>
        <v/>
      </c>
      <c r="M142" s="155" t="inlineStr">
        <is>
          <t>Z-Z10-EQH-POL-2T</t>
        </is>
      </c>
      <c r="N142" s="90" t="inlineStr">
        <is>
          <t>General / coordinación multidisciplinar</t>
        </is>
      </c>
      <c r="O142" s="90" t="inlineStr">
        <is>
          <t>Estimado · base original del usuario (sin cotización verificada)</t>
        </is>
      </c>
      <c r="P142" s="90" t="inlineStr">
        <is>
          <t>oct-2026 (est.)</t>
        </is>
      </c>
      <c r="Q142" s="90" t="n"/>
    </row>
    <row r="143">
      <c r="A143" s="89" t="inlineStr">
        <is>
          <t xml:space="preserve">      • Subcategoría Especificada: Soldadoras y Corte</t>
        </is>
      </c>
      <c r="B143" s="143" t="n"/>
      <c r="C143" s="143" t="n"/>
      <c r="D143" s="143" t="n"/>
      <c r="E143" s="143" t="n"/>
      <c r="F143" s="143" t="n"/>
      <c r="G143" s="143" t="n"/>
      <c r="H143" s="143" t="n"/>
      <c r="I143" s="143" t="n"/>
      <c r="J143" s="143" t="n"/>
      <c r="K143" s="143" t="n"/>
      <c r="L143" s="143" t="n"/>
      <c r="M143" s="143" t="n"/>
      <c r="N143" s="143" t="n"/>
      <c r="O143" s="143" t="n"/>
      <c r="P143" s="143" t="n"/>
      <c r="Q143" s="144" t="n"/>
    </row>
    <row r="144">
      <c r="A144" s="18" t="n">
        <v>127</v>
      </c>
      <c r="B144" s="19" t="inlineStr">
        <is>
          <t xml:space="preserve">        Soldadora Inverter MMA/TIG 200A</t>
        </is>
      </c>
      <c r="C144" s="20" t="inlineStr">
        <is>
          <t>Residencial / Comercial / Ind</t>
        </is>
      </c>
      <c r="D144" s="18" t="inlineStr">
        <is>
          <t>Soldadoras</t>
        </is>
      </c>
      <c r="E144" s="18" t="inlineStr">
        <is>
          <t>U</t>
        </is>
      </c>
      <c r="F144" s="21" t="n">
        <v>1</v>
      </c>
      <c r="G144" s="22" t="n">
        <v>385</v>
      </c>
      <c r="H144" s="22" t="n">
        <v>392.7</v>
      </c>
      <c r="I144" s="18" t="inlineStr">
        <is>
          <t>Megametales</t>
        </is>
      </c>
      <c r="J144" s="22" t="n">
        <v>411.95</v>
      </c>
      <c r="K144" s="18" t="inlineStr">
        <is>
          <t>Ferrisariato</t>
        </is>
      </c>
      <c r="L144" s="8">
        <f>F144*G144</f>
        <v/>
      </c>
      <c r="M144" s="145" t="inlineStr">
        <is>
          <t>Z-Z10-EQH-SOL-200A</t>
        </is>
      </c>
      <c r="N144" s="18" t="inlineStr">
        <is>
          <t>General / coordinación multidisciplinar</t>
        </is>
      </c>
      <c r="O144" s="18" t="inlineStr">
        <is>
          <t>Estimado DION · criterio de mercado Guayaquil 2026 (no verificado en tienda)</t>
        </is>
      </c>
      <c r="P144" s="18" t="inlineStr">
        <is>
          <t>oct-2026 (est.)</t>
        </is>
      </c>
      <c r="Q144" s="18" t="n"/>
    </row>
    <row r="145">
      <c r="A145" s="90" t="n">
        <v>128</v>
      </c>
      <c r="B145" s="91" t="inlineStr">
        <is>
          <t xml:space="preserve">        Soldadora MIG/MAG 300A Industrial</t>
        </is>
      </c>
      <c r="C145" s="92" t="inlineStr">
        <is>
          <t>Industrial</t>
        </is>
      </c>
      <c r="D145" s="90" t="inlineStr">
        <is>
          <t>Soldadoras</t>
        </is>
      </c>
      <c r="E145" s="90" t="inlineStr">
        <is>
          <t>U</t>
        </is>
      </c>
      <c r="F145" s="93" t="n">
        <v>0</v>
      </c>
      <c r="G145" s="94" t="n">
        <v>1650</v>
      </c>
      <c r="H145" s="94" t="n">
        <v>1716</v>
      </c>
      <c r="I145" s="90" t="inlineStr">
        <is>
          <t>Megametales</t>
        </is>
      </c>
      <c r="J145" s="94" t="n">
        <v>1782</v>
      </c>
      <c r="K145" s="90" t="inlineStr">
        <is>
          <t>Kywi / Megakywi</t>
        </is>
      </c>
      <c r="L145" s="95">
        <f>F145*G145</f>
        <v/>
      </c>
      <c r="M145" s="155" t="inlineStr">
        <is>
          <t>Z-Z10-EQH-SOL-MIG</t>
        </is>
      </c>
      <c r="N145" s="90" t="inlineStr">
        <is>
          <t>General / coordinación multidisciplinar</t>
        </is>
      </c>
      <c r="O145" s="90" t="inlineStr">
        <is>
          <t>Estimado DION · criterio de mercado Guayaquil 2026 (no verificado en tienda)</t>
        </is>
      </c>
      <c r="P145" s="90" t="inlineStr">
        <is>
          <t>oct-2026 (est.)</t>
        </is>
      </c>
      <c r="Q145" s="90" t="n"/>
    </row>
    <row r="146">
      <c r="A146" s="18" t="n">
        <v>129</v>
      </c>
      <c r="B146" s="19" t="inlineStr">
        <is>
          <t xml:space="preserve">        Equipo Oxicorte Completo (Reguladores + Soplete + Mangueras)</t>
        </is>
      </c>
      <c r="C146" s="20" t="inlineStr">
        <is>
          <t>Comercial / Industrial</t>
        </is>
      </c>
      <c r="D146" s="18" t="inlineStr">
        <is>
          <t>Oxicorte</t>
        </is>
      </c>
      <c r="E146" s="18" t="inlineStr">
        <is>
          <t>Juego</t>
        </is>
      </c>
      <c r="F146" s="21" t="n">
        <v>1</v>
      </c>
      <c r="G146" s="22" t="n">
        <v>420</v>
      </c>
      <c r="H146" s="22" t="n">
        <v>441</v>
      </c>
      <c r="I146" s="18" t="inlineStr">
        <is>
          <t>Megametales</t>
        </is>
      </c>
      <c r="J146" s="22" t="n">
        <v>453.6</v>
      </c>
      <c r="K146" s="18" t="inlineStr">
        <is>
          <t>Ferrisariato</t>
        </is>
      </c>
      <c r="L146" s="8">
        <f>F146*G146</f>
        <v/>
      </c>
      <c r="M146" s="145" t="inlineStr">
        <is>
          <t>Z-Z10-EQH-OXI</t>
        </is>
      </c>
      <c r="N146" s="18" t="inlineStr">
        <is>
          <t>General / coordinación multidisciplinar</t>
        </is>
      </c>
      <c r="O146" s="18" t="inlineStr">
        <is>
          <t>Estimado DION · criterio de mercado Guayaquil 2026 (no verificado en tienda)</t>
        </is>
      </c>
      <c r="P146" s="18" t="inlineStr">
        <is>
          <t>oct-2026 (est.)</t>
        </is>
      </c>
      <c r="Q146" s="18" t="n"/>
    </row>
    <row r="147">
      <c r="A147" s="90" t="n">
        <v>130</v>
      </c>
      <c r="B147" s="91" t="inlineStr">
        <is>
          <t xml:space="preserve">        Cortadora de Plasma 60A</t>
        </is>
      </c>
      <c r="C147" s="92" t="inlineStr">
        <is>
          <t>Industrial</t>
        </is>
      </c>
      <c r="D147" s="90" t="inlineStr">
        <is>
          <t>Plasma</t>
        </is>
      </c>
      <c r="E147" s="90" t="inlineStr">
        <is>
          <t>U</t>
        </is>
      </c>
      <c r="F147" s="93" t="n">
        <v>0</v>
      </c>
      <c r="G147" s="94" t="n">
        <v>1250</v>
      </c>
      <c r="H147" s="94" t="n">
        <v>1275</v>
      </c>
      <c r="I147" s="90" t="inlineStr">
        <is>
          <t>Megametales</t>
        </is>
      </c>
      <c r="J147" s="94" t="n">
        <v>1387.5</v>
      </c>
      <c r="K147" s="90" t="inlineStr">
        <is>
          <t>Kywi / Megakywi</t>
        </is>
      </c>
      <c r="L147" s="95">
        <f>F147*G147</f>
        <v/>
      </c>
      <c r="M147" s="155" t="inlineStr">
        <is>
          <t>Z-Z10-EQH-PLA-60A</t>
        </is>
      </c>
      <c r="N147" s="90" t="inlineStr">
        <is>
          <t>General / coordinación multidisciplinar</t>
        </is>
      </c>
      <c r="O147" s="90" t="inlineStr">
        <is>
          <t>Estimado DION · criterio de mercado Guayaquil 2026 (no verificado en tienda)</t>
        </is>
      </c>
      <c r="P147" s="90" t="inlineStr">
        <is>
          <t>oct-2026 (est.)</t>
        </is>
      </c>
      <c r="Q147" s="90" t="n"/>
    </row>
    <row r="148">
      <c r="A148" s="18" t="n">
        <v>131</v>
      </c>
      <c r="B148" s="19" t="inlineStr">
        <is>
          <t xml:space="preserve">        Amoladora Angular 7" 2200W</t>
        </is>
      </c>
      <c r="C148" s="20" t="inlineStr">
        <is>
          <t>Residencial / Comercial / Ind</t>
        </is>
      </c>
      <c r="D148" s="18" t="inlineStr">
        <is>
          <t>Amoladoras</t>
        </is>
      </c>
      <c r="E148" s="18" t="inlineStr">
        <is>
          <t>U</t>
        </is>
      </c>
      <c r="F148" s="21" t="n">
        <v>1</v>
      </c>
      <c r="G148" s="22" t="n">
        <v>145</v>
      </c>
      <c r="H148" s="22" t="n">
        <v>150.8</v>
      </c>
      <c r="I148" s="18" t="inlineStr">
        <is>
          <t>Megametales</t>
        </is>
      </c>
      <c r="J148" s="22" t="n">
        <v>160.95</v>
      </c>
      <c r="K148" s="18" t="inlineStr">
        <is>
          <t>Ferrisariato</t>
        </is>
      </c>
      <c r="L148" s="8">
        <f>F148*G148</f>
        <v/>
      </c>
      <c r="M148" s="145" t="inlineStr">
        <is>
          <t>Z-Z10-EQH-AMO-7IN</t>
        </is>
      </c>
      <c r="N148" s="18" t="inlineStr">
        <is>
          <t>General / coordinación multidisciplinar</t>
        </is>
      </c>
      <c r="O148" s="18" t="inlineStr">
        <is>
          <t>Estimado DION · criterio de mercado Guayaquil 2026 (no verificado en tienda)</t>
        </is>
      </c>
      <c r="P148" s="18" t="inlineStr">
        <is>
          <t>oct-2026 (est.)</t>
        </is>
      </c>
      <c r="Q148" s="18" t="n"/>
    </row>
    <row r="149">
      <c r="A149" s="90" t="n">
        <v>132</v>
      </c>
      <c r="B149" s="91" t="inlineStr">
        <is>
          <t xml:space="preserve">        Tronzadora de Metal 14"</t>
        </is>
      </c>
      <c r="C149" s="92" t="inlineStr">
        <is>
          <t>Comercial / Industrial</t>
        </is>
      </c>
      <c r="D149" s="90" t="inlineStr">
        <is>
          <t>Tronzadoras</t>
        </is>
      </c>
      <c r="E149" s="90" t="inlineStr">
        <is>
          <t>U</t>
        </is>
      </c>
      <c r="F149" s="93" t="n">
        <v>1</v>
      </c>
      <c r="G149" s="94" t="n">
        <v>235</v>
      </c>
      <c r="H149" s="94" t="n">
        <v>244.4</v>
      </c>
      <c r="I149" s="90" t="inlineStr">
        <is>
          <t>Megametales</t>
        </is>
      </c>
      <c r="J149" s="94" t="n">
        <v>256.15</v>
      </c>
      <c r="K149" s="90" t="inlineStr">
        <is>
          <t>Kywi / Megakywi</t>
        </is>
      </c>
      <c r="L149" s="95">
        <f>F149*G149</f>
        <v/>
      </c>
      <c r="M149" s="155" t="inlineStr">
        <is>
          <t>Z-Z10-EQH-TRO-14IN</t>
        </is>
      </c>
      <c r="N149" s="90" t="inlineStr">
        <is>
          <t>General / coordinación multidisciplinar</t>
        </is>
      </c>
      <c r="O149" s="90" t="inlineStr">
        <is>
          <t>Estimado DION · criterio de mercado Guayaquil 2026 (no verificado en tienda)</t>
        </is>
      </c>
      <c r="P149" s="90" t="inlineStr">
        <is>
          <t>oct-2026 (est.)</t>
        </is>
      </c>
      <c r="Q149" s="90" t="n"/>
    </row>
    <row r="150">
      <c r="A150" s="88" t="inlineStr">
        <is>
          <t>CONEXIONES</t>
        </is>
      </c>
      <c r="B150" s="143" t="n"/>
      <c r="C150" s="143" t="n"/>
      <c r="D150" s="143" t="n"/>
      <c r="E150" s="143" t="n"/>
      <c r="F150" s="143" t="n"/>
      <c r="G150" s="143" t="n"/>
      <c r="H150" s="143" t="n"/>
      <c r="I150" s="143" t="n"/>
      <c r="J150" s="143" t="n"/>
      <c r="K150" s="143" t="n"/>
      <c r="L150" s="143" t="n"/>
      <c r="M150" s="143" t="n"/>
      <c r="N150" s="143" t="n"/>
      <c r="O150" s="143" t="n"/>
      <c r="P150" s="143" t="n"/>
      <c r="Q150" s="144" t="n"/>
    </row>
    <row r="151">
      <c r="A151" s="50" t="inlineStr">
        <is>
          <t xml:space="preserve">  ► CATEGORÍA: PERNOS DE ANCLAJE A325, SOLDADURA Y RIGIDIZADORES</t>
        </is>
      </c>
      <c r="B151" s="143" t="n"/>
      <c r="C151" s="143" t="n"/>
      <c r="D151" s="143" t="n"/>
      <c r="E151" s="143" t="n"/>
      <c r="F151" s="143" t="n"/>
      <c r="G151" s="143" t="n"/>
      <c r="H151" s="143" t="n"/>
      <c r="I151" s="143" t="n"/>
      <c r="J151" s="143" t="n"/>
      <c r="K151" s="143" t="n"/>
      <c r="L151" s="143" t="n"/>
      <c r="M151" s="143" t="n"/>
      <c r="N151" s="143" t="n"/>
      <c r="O151" s="143" t="n"/>
      <c r="P151" s="143" t="n"/>
      <c r="Q151" s="144" t="n"/>
    </row>
    <row r="152">
      <c r="A152" s="89" t="inlineStr">
        <is>
          <t xml:space="preserve">      • Subcategoría Especificada: Pernos Estructurales y Soldadura</t>
        </is>
      </c>
      <c r="B152" s="143" t="n"/>
      <c r="C152" s="143" t="n"/>
      <c r="D152" s="143" t="n"/>
      <c r="E152" s="143" t="n"/>
      <c r="F152" s="143" t="n"/>
      <c r="G152" s="143" t="n"/>
      <c r="H152" s="143" t="n"/>
      <c r="I152" s="143" t="n"/>
      <c r="J152" s="143" t="n"/>
      <c r="K152" s="143" t="n"/>
      <c r="L152" s="143" t="n"/>
      <c r="M152" s="143" t="n"/>
      <c r="N152" s="143" t="n"/>
      <c r="O152" s="143" t="n"/>
      <c r="P152" s="143" t="n"/>
      <c r="Q152" s="144" t="n"/>
    </row>
    <row r="153">
      <c r="A153" s="18" t="n">
        <v>133</v>
      </c>
      <c r="B153" s="19" t="inlineStr">
        <is>
          <t xml:space="preserve">        Perno Estructural Grado A325 5/8" x 2" con Tuerca/Arandela</t>
        </is>
      </c>
      <c r="C153" s="20" t="inlineStr">
        <is>
          <t>Comercial / Industrial</t>
        </is>
      </c>
      <c r="D153" s="18" t="inlineStr">
        <is>
          <t>Pernos A325</t>
        </is>
      </c>
      <c r="E153" s="18" t="inlineStr">
        <is>
          <t>U</t>
        </is>
      </c>
      <c r="F153" s="21" t="n">
        <v>48</v>
      </c>
      <c r="G153" s="22" t="n">
        <v>2.5</v>
      </c>
      <c r="H153" s="22" t="n">
        <v>2.6</v>
      </c>
      <c r="I153" s="18" t="inlineStr">
        <is>
          <t>Megametales</t>
        </is>
      </c>
      <c r="J153" s="22" t="n">
        <v>2.8</v>
      </c>
      <c r="K153" s="18" t="inlineStr">
        <is>
          <t>Ferrisariato</t>
        </is>
      </c>
      <c r="L153" s="8">
        <f>F153*G153</f>
        <v/>
      </c>
      <c r="M153" s="145" t="inlineStr">
        <is>
          <t>S-B10-PER-A325-DN16</t>
        </is>
      </c>
      <c r="N153" s="18" t="inlineStr">
        <is>
          <t>Estructuras</t>
        </is>
      </c>
      <c r="O153" s="18" t="inlineStr">
        <is>
          <t>Estimado · base original del usuario (sin cotización verificada)</t>
        </is>
      </c>
      <c r="P153" s="18" t="inlineStr">
        <is>
          <t>oct-2026 (est.)</t>
        </is>
      </c>
      <c r="Q153" s="18" t="n"/>
    </row>
    <row r="154">
      <c r="A154" s="90" t="n">
        <v>134</v>
      </c>
      <c r="B154" s="91" t="inlineStr">
        <is>
          <t xml:space="preserve">        Perno de Anclaje J A36 ¾" x 40cm con Rosca</t>
        </is>
      </c>
      <c r="C154" s="92" t="inlineStr">
        <is>
          <t>Residencial / Comercial</t>
        </is>
      </c>
      <c r="D154" s="90" t="inlineStr">
        <is>
          <t>Pernos Anclaje J</t>
        </is>
      </c>
      <c r="E154" s="90" t="inlineStr">
        <is>
          <t>U</t>
        </is>
      </c>
      <c r="F154" s="93" t="n">
        <v>32</v>
      </c>
      <c r="G154" s="94" t="n">
        <v>4.8</v>
      </c>
      <c r="H154" s="94" t="n">
        <v>4.95</v>
      </c>
      <c r="I154" s="90" t="inlineStr">
        <is>
          <t>Megametales</t>
        </is>
      </c>
      <c r="J154" s="94" t="n">
        <v>5.3</v>
      </c>
      <c r="K154" s="90" t="inlineStr">
        <is>
          <t>Ferrisariato</t>
        </is>
      </c>
      <c r="L154" s="95">
        <f>F154*G154</f>
        <v/>
      </c>
      <c r="M154" s="155" t="inlineStr">
        <is>
          <t>S-B10-PER-ANC-DN20-400</t>
        </is>
      </c>
      <c r="N154" s="90" t="inlineStr">
        <is>
          <t>Estructuras</t>
        </is>
      </c>
      <c r="O154" s="90" t="inlineStr">
        <is>
          <t>Estimado · base original del usuario (sin cotización verificada)</t>
        </is>
      </c>
      <c r="P154" s="90" t="inlineStr">
        <is>
          <t>oct-2026 (est.)</t>
        </is>
      </c>
      <c r="Q154" s="90" t="n"/>
    </row>
    <row r="155">
      <c r="A155" s="18" t="n">
        <v>135</v>
      </c>
      <c r="B155" s="19" t="inlineStr">
        <is>
          <t xml:space="preserve">        Electrodo E7018 1/8" para Soldadura Estructural (Caja 20kg)</t>
        </is>
      </c>
      <c r="C155" s="20" t="inlineStr">
        <is>
          <t>Residencial / Comercial / Ind</t>
        </is>
      </c>
      <c r="D155" s="18" t="inlineStr">
        <is>
          <t>Electrodos Soldadura</t>
        </is>
      </c>
      <c r="E155" s="18" t="inlineStr">
        <is>
          <t>Caja 20kg</t>
        </is>
      </c>
      <c r="F155" s="21" t="n">
        <v>2</v>
      </c>
      <c r="G155" s="22" t="n">
        <v>45</v>
      </c>
      <c r="H155" s="22" t="n">
        <v>46.8</v>
      </c>
      <c r="I155" s="18" t="inlineStr">
        <is>
          <t>Megametales</t>
        </is>
      </c>
      <c r="J155" s="22" t="n">
        <v>49.5</v>
      </c>
      <c r="K155" s="18" t="inlineStr">
        <is>
          <t>Ferrisariato</t>
        </is>
      </c>
      <c r="L155" s="8">
        <f>F155*G155</f>
        <v/>
      </c>
      <c r="M155" s="145" t="inlineStr">
        <is>
          <t>S-B10-SOL-E7018-3P2</t>
        </is>
      </c>
      <c r="N155" s="18" t="inlineStr">
        <is>
          <t>Estructuras</t>
        </is>
      </c>
      <c r="O155" s="18" t="inlineStr">
        <is>
          <t>Estimado · base original del usuario (sin cotización verificada)</t>
        </is>
      </c>
      <c r="P155" s="18" t="inlineStr">
        <is>
          <t>oct-2026 (est.)</t>
        </is>
      </c>
      <c r="Q155" s="18" t="n"/>
    </row>
    <row r="156">
      <c r="A156" s="89" t="inlineStr">
        <is>
          <t xml:space="preserve">      • Subcategoría Especificada: Pernos por Diámetro, Anclajes, Electrodos y Tensores</t>
        </is>
      </c>
      <c r="B156" s="143" t="n"/>
      <c r="C156" s="143" t="n"/>
      <c r="D156" s="143" t="n"/>
      <c r="E156" s="143" t="n"/>
      <c r="F156" s="143" t="n"/>
      <c r="G156" s="143" t="n"/>
      <c r="H156" s="143" t="n"/>
      <c r="I156" s="143" t="n"/>
      <c r="J156" s="143" t="n"/>
      <c r="K156" s="143" t="n"/>
      <c r="L156" s="143" t="n"/>
      <c r="M156" s="143" t="n"/>
      <c r="N156" s="143" t="n"/>
      <c r="O156" s="143" t="n"/>
      <c r="P156" s="143" t="n"/>
      <c r="Q156" s="144" t="n"/>
    </row>
    <row r="157">
      <c r="A157" s="90" t="n">
        <v>136</v>
      </c>
      <c r="B157" s="91" t="inlineStr">
        <is>
          <t xml:space="preserve">        Perno Estructural A325 ½" x 2" con Tuerca y Arandela</t>
        </is>
      </c>
      <c r="C157" s="92" t="inlineStr">
        <is>
          <t>Comercial / Industrial</t>
        </is>
      </c>
      <c r="D157" s="90" t="inlineStr">
        <is>
          <t>Pernos A325</t>
        </is>
      </c>
      <c r="E157" s="90" t="inlineStr">
        <is>
          <t>U</t>
        </is>
      </c>
      <c r="F157" s="93" t="n">
        <v>48</v>
      </c>
      <c r="G157" s="94" t="n">
        <v>1.6</v>
      </c>
      <c r="H157" s="94" t="n">
        <v>1.66</v>
      </c>
      <c r="I157" s="90" t="inlineStr">
        <is>
          <t>Megametales</t>
        </is>
      </c>
      <c r="J157" s="94" t="n">
        <v>1.73</v>
      </c>
      <c r="K157" s="90" t="inlineStr">
        <is>
          <t>Kywi / Megakywi</t>
        </is>
      </c>
      <c r="L157" s="95">
        <f>F157*G157</f>
        <v/>
      </c>
      <c r="M157" s="155" t="inlineStr">
        <is>
          <t>S-B10-PER-A325-DN15</t>
        </is>
      </c>
      <c r="N157" s="90" t="inlineStr">
        <is>
          <t>Estructuras</t>
        </is>
      </c>
      <c r="O157" s="90" t="inlineStr">
        <is>
          <t>Estimado DION · criterio de mercado Guayaquil 2026 (no verificado en tienda)</t>
        </is>
      </c>
      <c r="P157" s="90" t="inlineStr">
        <is>
          <t>oct-2026 (est.)</t>
        </is>
      </c>
      <c r="Q157" s="90" t="n"/>
    </row>
    <row r="158">
      <c r="A158" s="18" t="n">
        <v>137</v>
      </c>
      <c r="B158" s="19" t="inlineStr">
        <is>
          <t xml:space="preserve">        Perno Estructural A325 ¾" x 2" con Tuerca y Arandela</t>
        </is>
      </c>
      <c r="C158" s="20" t="inlineStr">
        <is>
          <t>Comercial / Industrial</t>
        </is>
      </c>
      <c r="D158" s="18" t="inlineStr">
        <is>
          <t>Pernos A325</t>
        </is>
      </c>
      <c r="E158" s="18" t="inlineStr">
        <is>
          <t>U</t>
        </is>
      </c>
      <c r="F158" s="21" t="n">
        <v>48</v>
      </c>
      <c r="G158" s="22" t="n">
        <v>3.6</v>
      </c>
      <c r="H158" s="22" t="n">
        <v>3.67</v>
      </c>
      <c r="I158" s="18" t="inlineStr">
        <is>
          <t>Megametales</t>
        </is>
      </c>
      <c r="J158" s="22" t="n">
        <v>3.89</v>
      </c>
      <c r="K158" s="18" t="inlineStr">
        <is>
          <t>Ferrisariato</t>
        </is>
      </c>
      <c r="L158" s="8">
        <f>F158*G158</f>
        <v/>
      </c>
      <c r="M158" s="145" t="inlineStr">
        <is>
          <t>S-B10-PER-A325-DN20</t>
        </is>
      </c>
      <c r="N158" s="18" t="inlineStr">
        <is>
          <t>Estructuras</t>
        </is>
      </c>
      <c r="O158" s="18" t="inlineStr">
        <is>
          <t>Estimado DION · criterio de mercado Guayaquil 2026 (no verificado en tienda)</t>
        </is>
      </c>
      <c r="P158" s="18" t="inlineStr">
        <is>
          <t>oct-2026 (est.)</t>
        </is>
      </c>
      <c r="Q158" s="18" t="n"/>
    </row>
    <row r="159">
      <c r="A159" s="90" t="n">
        <v>138</v>
      </c>
      <c r="B159" s="91" t="inlineStr">
        <is>
          <t xml:space="preserve">        Perno Estructural A325 ⅞" x 2" con Tuerca y Arandela</t>
        </is>
      </c>
      <c r="C159" s="92" t="inlineStr">
        <is>
          <t>Comercial / Industrial</t>
        </is>
      </c>
      <c r="D159" s="90" t="inlineStr">
        <is>
          <t>Pernos A325</t>
        </is>
      </c>
      <c r="E159" s="90" t="inlineStr">
        <is>
          <t>U</t>
        </is>
      </c>
      <c r="F159" s="93" t="n">
        <v>48</v>
      </c>
      <c r="G159" s="94" t="n">
        <v>5.2</v>
      </c>
      <c r="H159" s="94" t="n">
        <v>5.36</v>
      </c>
      <c r="I159" s="90" t="inlineStr">
        <is>
          <t>Megametales</t>
        </is>
      </c>
      <c r="J159" s="94" t="n">
        <v>5.67</v>
      </c>
      <c r="K159" s="90" t="inlineStr">
        <is>
          <t>Kywi / Megakywi</t>
        </is>
      </c>
      <c r="L159" s="95">
        <f>F159*G159</f>
        <v/>
      </c>
      <c r="M159" s="155" t="inlineStr">
        <is>
          <t>S-B10-PER-A325-DN22</t>
        </is>
      </c>
      <c r="N159" s="90" t="inlineStr">
        <is>
          <t>Estructuras</t>
        </is>
      </c>
      <c r="O159" s="90" t="inlineStr">
        <is>
          <t>Estimado DION · criterio de mercado Guayaquil 2026 (no verificado en tienda)</t>
        </is>
      </c>
      <c r="P159" s="90" t="inlineStr">
        <is>
          <t>oct-2026 (est.)</t>
        </is>
      </c>
      <c r="Q159" s="90" t="n"/>
    </row>
    <row r="160">
      <c r="A160" s="18" t="n">
        <v>139</v>
      </c>
      <c r="B160" s="19" t="inlineStr">
        <is>
          <t xml:space="preserve">        Perno Estructural A325 1" x 2" con Tuerca y Arandela</t>
        </is>
      </c>
      <c r="C160" s="20" t="inlineStr">
        <is>
          <t>Comercial / Industrial</t>
        </is>
      </c>
      <c r="D160" s="18" t="inlineStr">
        <is>
          <t>Pernos A325</t>
        </is>
      </c>
      <c r="E160" s="18" t="inlineStr">
        <is>
          <t>U</t>
        </is>
      </c>
      <c r="F160" s="21" t="n">
        <v>48</v>
      </c>
      <c r="G160" s="22" t="n">
        <v>7.5</v>
      </c>
      <c r="H160" s="22" t="n">
        <v>7.65</v>
      </c>
      <c r="I160" s="18" t="inlineStr">
        <is>
          <t>Megametales</t>
        </is>
      </c>
      <c r="J160" s="22" t="n">
        <v>8.33</v>
      </c>
      <c r="K160" s="18" t="inlineStr">
        <is>
          <t>Ferrisariato</t>
        </is>
      </c>
      <c r="L160" s="8">
        <f>F160*G160</f>
        <v/>
      </c>
      <c r="M160" s="145" t="inlineStr">
        <is>
          <t>S-B10-PER-A325-DN25</t>
        </is>
      </c>
      <c r="N160" s="18" t="inlineStr">
        <is>
          <t>Estructuras</t>
        </is>
      </c>
      <c r="O160" s="18" t="inlineStr">
        <is>
          <t>Estimado DION · criterio de mercado Guayaquil 2026 (no verificado en tienda)</t>
        </is>
      </c>
      <c r="P160" s="18" t="inlineStr">
        <is>
          <t>oct-2026 (est.)</t>
        </is>
      </c>
      <c r="Q160" s="18" t="n"/>
    </row>
    <row r="161">
      <c r="A161" s="90" t="n">
        <v>140</v>
      </c>
      <c r="B161" s="91" t="inlineStr">
        <is>
          <t xml:space="preserve">        Perno de Anclaje Tipo J/L ⅝" x 40 cm Galvanizado</t>
        </is>
      </c>
      <c r="C161" s="92" t="inlineStr">
        <is>
          <t>Residencial / Comercial</t>
        </is>
      </c>
      <c r="D161" s="90" t="inlineStr">
        <is>
          <t>Pernos Anclaje</t>
        </is>
      </c>
      <c r="E161" s="90" t="inlineStr">
        <is>
          <t>U</t>
        </is>
      </c>
      <c r="F161" s="93" t="n">
        <v>16</v>
      </c>
      <c r="G161" s="94" t="n">
        <v>3.6</v>
      </c>
      <c r="H161" s="94" t="n">
        <v>3.71</v>
      </c>
      <c r="I161" s="90" t="inlineStr">
        <is>
          <t>Megametales</t>
        </is>
      </c>
      <c r="J161" s="94" t="n">
        <v>3.96</v>
      </c>
      <c r="K161" s="90" t="inlineStr">
        <is>
          <t>Kywi / Megakywi</t>
        </is>
      </c>
      <c r="L161" s="95">
        <f>F161*G161</f>
        <v/>
      </c>
      <c r="M161" s="155" t="inlineStr">
        <is>
          <t>S-B10-PER-ANC-DN16-400</t>
        </is>
      </c>
      <c r="N161" s="90" t="inlineStr">
        <is>
          <t>Estructuras</t>
        </is>
      </c>
      <c r="O161" s="90" t="inlineStr">
        <is>
          <t>Estimado DION · criterio de mercado Guayaquil 2026 (no verificado en tienda)</t>
        </is>
      </c>
      <c r="P161" s="90" t="inlineStr">
        <is>
          <t>oct-2026 (est.)</t>
        </is>
      </c>
      <c r="Q161" s="90" t="n"/>
    </row>
    <row r="162">
      <c r="A162" s="18" t="n">
        <v>141</v>
      </c>
      <c r="B162" s="19" t="inlineStr">
        <is>
          <t xml:space="preserve">        Perno de Anclaje Tipo J/L ¾" x 50 cm Galvanizado</t>
        </is>
      </c>
      <c r="C162" s="20" t="inlineStr">
        <is>
          <t>Residencial / Comercial</t>
        </is>
      </c>
      <c r="D162" s="18" t="inlineStr">
        <is>
          <t>Pernos Anclaje</t>
        </is>
      </c>
      <c r="E162" s="18" t="inlineStr">
        <is>
          <t>U</t>
        </is>
      </c>
      <c r="F162" s="21" t="n">
        <v>16</v>
      </c>
      <c r="G162" s="22" t="n">
        <v>5.9</v>
      </c>
      <c r="H162" s="22" t="n">
        <v>6.14</v>
      </c>
      <c r="I162" s="18" t="inlineStr">
        <is>
          <t>Megametales</t>
        </is>
      </c>
      <c r="J162" s="22" t="n">
        <v>6.43</v>
      </c>
      <c r="K162" s="18" t="inlineStr">
        <is>
          <t>Ferrisariato</t>
        </is>
      </c>
      <c r="L162" s="8">
        <f>F162*G162</f>
        <v/>
      </c>
      <c r="M162" s="145" t="inlineStr">
        <is>
          <t>S-B10-PER-ANC-DN20-500</t>
        </is>
      </c>
      <c r="N162" s="18" t="inlineStr">
        <is>
          <t>Estructuras</t>
        </is>
      </c>
      <c r="O162" s="18" t="inlineStr">
        <is>
          <t>Estimado DION · criterio de mercado Guayaquil 2026 (no verificado en tienda)</t>
        </is>
      </c>
      <c r="P162" s="18" t="inlineStr">
        <is>
          <t>oct-2026 (est.)</t>
        </is>
      </c>
      <c r="Q162" s="18" t="n"/>
    </row>
    <row r="163">
      <c r="A163" s="90" t="n">
        <v>142</v>
      </c>
      <c r="B163" s="91" t="inlineStr">
        <is>
          <t xml:space="preserve">        Perno de Anclaje Tipo J/L ⅞" x 60 cm Galvanizado</t>
        </is>
      </c>
      <c r="C163" s="92" t="inlineStr">
        <is>
          <t>Residencial / Comercial</t>
        </is>
      </c>
      <c r="D163" s="90" t="inlineStr">
        <is>
          <t>Pernos Anclaje</t>
        </is>
      </c>
      <c r="E163" s="90" t="inlineStr">
        <is>
          <t>U</t>
        </is>
      </c>
      <c r="F163" s="93" t="n">
        <v>16</v>
      </c>
      <c r="G163" s="94" t="n">
        <v>8.4</v>
      </c>
      <c r="H163" s="94" t="n">
        <v>8.65</v>
      </c>
      <c r="I163" s="90" t="inlineStr">
        <is>
          <t>Megametales</t>
        </is>
      </c>
      <c r="J163" s="94" t="n">
        <v>8.99</v>
      </c>
      <c r="K163" s="90" t="inlineStr">
        <is>
          <t>Kywi / Megakywi</t>
        </is>
      </c>
      <c r="L163" s="95">
        <f>F163*G163</f>
        <v/>
      </c>
      <c r="M163" s="155" t="inlineStr">
        <is>
          <t>S-B10-PER-ANC-DN22-600</t>
        </is>
      </c>
      <c r="N163" s="90" t="inlineStr">
        <is>
          <t>Estructuras</t>
        </is>
      </c>
      <c r="O163" s="90" t="inlineStr">
        <is>
          <t>Estimado DION · criterio de mercado Guayaquil 2026 (no verificado en tienda)</t>
        </is>
      </c>
      <c r="P163" s="90" t="inlineStr">
        <is>
          <t>oct-2026 (est.)</t>
        </is>
      </c>
      <c r="Q163" s="90" t="n"/>
    </row>
    <row r="164">
      <c r="A164" s="18" t="n">
        <v>143</v>
      </c>
      <c r="B164" s="19" t="inlineStr">
        <is>
          <t xml:space="preserve">        Perno de Anclaje Tipo J/L 1" x 70 cm Galvanizado</t>
        </is>
      </c>
      <c r="C164" s="20" t="inlineStr">
        <is>
          <t>Residencial / Comercial</t>
        </is>
      </c>
      <c r="D164" s="18" t="inlineStr">
        <is>
          <t>Pernos Anclaje</t>
        </is>
      </c>
      <c r="E164" s="18" t="inlineStr">
        <is>
          <t>U</t>
        </is>
      </c>
      <c r="F164" s="21" t="n">
        <v>16</v>
      </c>
      <c r="G164" s="22" t="n">
        <v>12.5</v>
      </c>
      <c r="H164" s="22" t="n">
        <v>12.88</v>
      </c>
      <c r="I164" s="18" t="inlineStr">
        <is>
          <t>Megametales</t>
        </is>
      </c>
      <c r="J164" s="22" t="n">
        <v>13.63</v>
      </c>
      <c r="K164" s="18" t="inlineStr">
        <is>
          <t>Ferrisariato</t>
        </is>
      </c>
      <c r="L164" s="8">
        <f>F164*G164</f>
        <v/>
      </c>
      <c r="M164" s="145" t="inlineStr">
        <is>
          <t>S-B10-PER-ANC-DN25-700</t>
        </is>
      </c>
      <c r="N164" s="18" t="inlineStr">
        <is>
          <t>Estructuras</t>
        </is>
      </c>
      <c r="O164" s="18" t="inlineStr">
        <is>
          <t>Estimado DION · criterio de mercado Guayaquil 2026 (no verificado en tienda)</t>
        </is>
      </c>
      <c r="P164" s="18" t="inlineStr">
        <is>
          <t>oct-2026 (est.)</t>
        </is>
      </c>
      <c r="Q164" s="18" t="n"/>
    </row>
    <row r="165">
      <c r="A165" s="90" t="n">
        <v>144</v>
      </c>
      <c r="B165" s="91" t="inlineStr">
        <is>
          <t xml:space="preserve">        Perno de Anclaje Tipo J/L 1¼" x 90 cm Galvanizado</t>
        </is>
      </c>
      <c r="C165" s="92" t="inlineStr">
        <is>
          <t>Residencial / Comercial</t>
        </is>
      </c>
      <c r="D165" s="90" t="inlineStr">
        <is>
          <t>Pernos Anclaje</t>
        </is>
      </c>
      <c r="E165" s="90" t="inlineStr">
        <is>
          <t>U</t>
        </is>
      </c>
      <c r="F165" s="93" t="n">
        <v>16</v>
      </c>
      <c r="G165" s="94" t="n">
        <v>24</v>
      </c>
      <c r="H165" s="94" t="n">
        <v>24.48</v>
      </c>
      <c r="I165" s="90" t="inlineStr">
        <is>
          <t>Megametales</t>
        </is>
      </c>
      <c r="J165" s="94" t="n">
        <v>26.64</v>
      </c>
      <c r="K165" s="90" t="inlineStr">
        <is>
          <t>Kywi / Megakywi</t>
        </is>
      </c>
      <c r="L165" s="95">
        <f>F165*G165</f>
        <v/>
      </c>
      <c r="M165" s="155" t="inlineStr">
        <is>
          <t>S-B10-PER-ANC-DN32-900</t>
        </is>
      </c>
      <c r="N165" s="90" t="inlineStr">
        <is>
          <t>Estructuras</t>
        </is>
      </c>
      <c r="O165" s="90" t="inlineStr">
        <is>
          <t>Estimado DION · criterio de mercado Guayaquil 2026 (no verificado en tienda)</t>
        </is>
      </c>
      <c r="P165" s="90" t="inlineStr">
        <is>
          <t>oct-2026 (est.)</t>
        </is>
      </c>
      <c r="Q165" s="90" t="n"/>
    </row>
    <row r="166">
      <c r="A166" s="18" t="n">
        <v>145</v>
      </c>
      <c r="B166" s="19" t="inlineStr">
        <is>
          <t xml:space="preserve">        Anclaje Químico Epóxico ½" (Varilla + Resina por Punto)</t>
        </is>
      </c>
      <c r="C166" s="20" t="inlineStr">
        <is>
          <t>Comercial / Industrial</t>
        </is>
      </c>
      <c r="D166" s="18" t="inlineStr">
        <is>
          <t>Anclajes Químicos</t>
        </is>
      </c>
      <c r="E166" s="18" t="inlineStr">
        <is>
          <t>U</t>
        </is>
      </c>
      <c r="F166" s="21" t="n">
        <v>16</v>
      </c>
      <c r="G166" s="22" t="n">
        <v>6.5</v>
      </c>
      <c r="H166" s="22" t="n">
        <v>6.63</v>
      </c>
      <c r="I166" s="18" t="inlineStr">
        <is>
          <t>Megametales</t>
        </is>
      </c>
      <c r="J166" s="22" t="n">
        <v>7.22</v>
      </c>
      <c r="K166" s="18" t="inlineStr">
        <is>
          <t>Ferrisariato</t>
        </is>
      </c>
      <c r="L166" s="8">
        <f>F166*G166</f>
        <v/>
      </c>
      <c r="M166" s="145" t="inlineStr">
        <is>
          <t>S-B10-PER-QUI-DN15</t>
        </is>
      </c>
      <c r="N166" s="18" t="inlineStr">
        <is>
          <t>Estructuras</t>
        </is>
      </c>
      <c r="O166" s="18" t="inlineStr">
        <is>
          <t>Estimado DION · criterio de mercado Guayaquil 2026 (no verificado en tienda)</t>
        </is>
      </c>
      <c r="P166" s="18" t="inlineStr">
        <is>
          <t>oct-2026 (est.)</t>
        </is>
      </c>
      <c r="Q166" s="18" t="n"/>
    </row>
    <row r="167">
      <c r="A167" s="90" t="n">
        <v>146</v>
      </c>
      <c r="B167" s="91" t="inlineStr">
        <is>
          <t xml:space="preserve">        Anclaje Químico Epóxico ⅝" (Varilla + Resina por Punto)</t>
        </is>
      </c>
      <c r="C167" s="92" t="inlineStr">
        <is>
          <t>Comercial / Industrial</t>
        </is>
      </c>
      <c r="D167" s="90" t="inlineStr">
        <is>
          <t>Anclajes Químicos</t>
        </is>
      </c>
      <c r="E167" s="90" t="inlineStr">
        <is>
          <t>U</t>
        </is>
      </c>
      <c r="F167" s="93" t="n">
        <v>16</v>
      </c>
      <c r="G167" s="94" t="n">
        <v>8.5</v>
      </c>
      <c r="H167" s="94" t="n">
        <v>8.93</v>
      </c>
      <c r="I167" s="90" t="inlineStr">
        <is>
          <t>Megametales</t>
        </is>
      </c>
      <c r="J167" s="94" t="n">
        <v>9.18</v>
      </c>
      <c r="K167" s="90" t="inlineStr">
        <is>
          <t>Kywi / Megakywi</t>
        </is>
      </c>
      <c r="L167" s="95">
        <f>F167*G167</f>
        <v/>
      </c>
      <c r="M167" s="155" t="inlineStr">
        <is>
          <t>S-B10-PER-QUI-DN16</t>
        </is>
      </c>
      <c r="N167" s="90" t="inlineStr">
        <is>
          <t>Estructuras</t>
        </is>
      </c>
      <c r="O167" s="90" t="inlineStr">
        <is>
          <t>Estimado DION · criterio de mercado Guayaquil 2026 (no verificado en tienda)</t>
        </is>
      </c>
      <c r="P167" s="90" t="inlineStr">
        <is>
          <t>oct-2026 (est.)</t>
        </is>
      </c>
      <c r="Q167" s="90" t="n"/>
    </row>
    <row r="168">
      <c r="A168" s="18" t="n">
        <v>147</v>
      </c>
      <c r="B168" s="19" t="inlineStr">
        <is>
          <t xml:space="preserve">        Anclaje Químico Epóxico ¾" (Varilla + Resina por Punto)</t>
        </is>
      </c>
      <c r="C168" s="20" t="inlineStr">
        <is>
          <t>Comercial / Industrial</t>
        </is>
      </c>
      <c r="D168" s="18" t="inlineStr">
        <is>
          <t>Anclajes Químicos</t>
        </is>
      </c>
      <c r="E168" s="18" t="inlineStr">
        <is>
          <t>U</t>
        </is>
      </c>
      <c r="F168" s="21" t="n">
        <v>16</v>
      </c>
      <c r="G168" s="22" t="n">
        <v>11.5</v>
      </c>
      <c r="H168" s="22" t="n">
        <v>12.08</v>
      </c>
      <c r="I168" s="18" t="inlineStr">
        <is>
          <t>Megametales</t>
        </is>
      </c>
      <c r="J168" s="22" t="n">
        <v>12.42</v>
      </c>
      <c r="K168" s="18" t="inlineStr">
        <is>
          <t>Ferrisariato</t>
        </is>
      </c>
      <c r="L168" s="8">
        <f>F168*G168</f>
        <v/>
      </c>
      <c r="M168" s="145" t="inlineStr">
        <is>
          <t>S-B10-PER-QUI-DN20</t>
        </is>
      </c>
      <c r="N168" s="18" t="inlineStr">
        <is>
          <t>Estructuras</t>
        </is>
      </c>
      <c r="O168" s="18" t="inlineStr">
        <is>
          <t>Estimado DION · criterio de mercado Guayaquil 2026 (no verificado en tienda)</t>
        </is>
      </c>
      <c r="P168" s="18" t="inlineStr">
        <is>
          <t>oct-2026 (est.)</t>
        </is>
      </c>
      <c r="Q168" s="18" t="n"/>
    </row>
    <row r="169">
      <c r="A169" s="90" t="n">
        <v>148</v>
      </c>
      <c r="B169" s="91" t="inlineStr">
        <is>
          <t xml:space="preserve">        Anclaje Mecánico Expansivo ½"</t>
        </is>
      </c>
      <c r="C169" s="92" t="inlineStr">
        <is>
          <t>Comercial / Industrial</t>
        </is>
      </c>
      <c r="D169" s="90" t="inlineStr">
        <is>
          <t>Anclajes Mecánicos</t>
        </is>
      </c>
      <c r="E169" s="90" t="inlineStr">
        <is>
          <t>U</t>
        </is>
      </c>
      <c r="F169" s="93" t="n">
        <v>16</v>
      </c>
      <c r="G169" s="94" t="n">
        <v>2.4</v>
      </c>
      <c r="H169" s="94" t="n">
        <v>2.47</v>
      </c>
      <c r="I169" s="90" t="inlineStr">
        <is>
          <t>Megametales</t>
        </is>
      </c>
      <c r="J169" s="94" t="n">
        <v>2.57</v>
      </c>
      <c r="K169" s="90" t="inlineStr">
        <is>
          <t>Kywi / Megakywi</t>
        </is>
      </c>
      <c r="L169" s="95">
        <f>F169*G169</f>
        <v/>
      </c>
      <c r="M169" s="155" t="inlineStr">
        <is>
          <t>S-B10-PER-EXP-DN15</t>
        </is>
      </c>
      <c r="N169" s="90" t="inlineStr">
        <is>
          <t>Estructuras</t>
        </is>
      </c>
      <c r="O169" s="90" t="inlineStr">
        <is>
          <t>Estimado DION · criterio de mercado Guayaquil 2026 (no verificado en tienda)</t>
        </is>
      </c>
      <c r="P169" s="90" t="inlineStr">
        <is>
          <t>oct-2026 (est.)</t>
        </is>
      </c>
      <c r="Q169" s="90" t="n"/>
    </row>
    <row r="170">
      <c r="A170" s="18" t="n">
        <v>149</v>
      </c>
      <c r="B170" s="19" t="inlineStr">
        <is>
          <t xml:space="preserve">        Anclaje Mecánico Expansivo ⅝"</t>
        </is>
      </c>
      <c r="C170" s="20" t="inlineStr">
        <is>
          <t>Comercial / Industrial</t>
        </is>
      </c>
      <c r="D170" s="18" t="inlineStr">
        <is>
          <t>Anclajes Mecánicos</t>
        </is>
      </c>
      <c r="E170" s="18" t="inlineStr">
        <is>
          <t>U</t>
        </is>
      </c>
      <c r="F170" s="21" t="n">
        <v>16</v>
      </c>
      <c r="G170" s="22" t="n">
        <v>3.4</v>
      </c>
      <c r="H170" s="22" t="n">
        <v>3.54</v>
      </c>
      <c r="I170" s="18" t="inlineStr">
        <is>
          <t>Megametales</t>
        </is>
      </c>
      <c r="J170" s="22" t="n">
        <v>3.77</v>
      </c>
      <c r="K170" s="18" t="inlineStr">
        <is>
          <t>Ferrisariato</t>
        </is>
      </c>
      <c r="L170" s="8">
        <f>F170*G170</f>
        <v/>
      </c>
      <c r="M170" s="145" t="inlineStr">
        <is>
          <t>S-B10-PER-EXP-DN16</t>
        </is>
      </c>
      <c r="N170" s="18" t="inlineStr">
        <is>
          <t>Estructuras</t>
        </is>
      </c>
      <c r="O170" s="18" t="inlineStr">
        <is>
          <t>Estimado DION · criterio de mercado Guayaquil 2026 (no verificado en tienda)</t>
        </is>
      </c>
      <c r="P170" s="18" t="inlineStr">
        <is>
          <t>oct-2026 (est.)</t>
        </is>
      </c>
      <c r="Q170" s="18" t="n"/>
    </row>
    <row r="171">
      <c r="A171" s="90" t="n">
        <v>150</v>
      </c>
      <c r="B171" s="91" t="inlineStr">
        <is>
          <t xml:space="preserve">        Anclaje Mecánico Expansivo ¾"</t>
        </is>
      </c>
      <c r="C171" s="92" t="inlineStr">
        <is>
          <t>Comercial / Industrial</t>
        </is>
      </c>
      <c r="D171" s="90" t="inlineStr">
        <is>
          <t>Anclajes Mecánicos</t>
        </is>
      </c>
      <c r="E171" s="90" t="inlineStr">
        <is>
          <t>U</t>
        </is>
      </c>
      <c r="F171" s="93" t="n">
        <v>16</v>
      </c>
      <c r="G171" s="94" t="n">
        <v>4.9</v>
      </c>
      <c r="H171" s="94" t="n">
        <v>5.15</v>
      </c>
      <c r="I171" s="90" t="inlineStr">
        <is>
          <t>Megametales</t>
        </is>
      </c>
      <c r="J171" s="94" t="n">
        <v>5.24</v>
      </c>
      <c r="K171" s="90" t="inlineStr">
        <is>
          <t>Kywi / Megakywi</t>
        </is>
      </c>
      <c r="L171" s="95">
        <f>F171*G171</f>
        <v/>
      </c>
      <c r="M171" s="155" t="inlineStr">
        <is>
          <t>S-B10-PER-EXP-DN20</t>
        </is>
      </c>
      <c r="N171" s="90" t="inlineStr">
        <is>
          <t>Estructuras</t>
        </is>
      </c>
      <c r="O171" s="90" t="inlineStr">
        <is>
          <t>Estimado DION · criterio de mercado Guayaquil 2026 (no verificado en tienda)</t>
        </is>
      </c>
      <c r="P171" s="90" t="inlineStr">
        <is>
          <t>oct-2026 (est.)</t>
        </is>
      </c>
      <c r="Q171" s="90" t="n"/>
    </row>
    <row r="172">
      <c r="A172" s="18" t="n">
        <v>151</v>
      </c>
      <c r="B172" s="19" t="inlineStr">
        <is>
          <t xml:space="preserve">        Electrodo E6011 ⅛" (kg)</t>
        </is>
      </c>
      <c r="C172" s="20" t="inlineStr">
        <is>
          <t>Residencial / Comercial / Ind</t>
        </is>
      </c>
      <c r="D172" s="18" t="inlineStr">
        <is>
          <t>Electrodos</t>
        </is>
      </c>
      <c r="E172" s="18" t="inlineStr">
        <is>
          <t>kg</t>
        </is>
      </c>
      <c r="F172" s="21" t="n">
        <v>10</v>
      </c>
      <c r="G172" s="22" t="n">
        <v>3.4</v>
      </c>
      <c r="H172" s="22" t="n">
        <v>3.54</v>
      </c>
      <c r="I172" s="18" t="inlineStr">
        <is>
          <t>Megametales</t>
        </is>
      </c>
      <c r="J172" s="22" t="n">
        <v>3.64</v>
      </c>
      <c r="K172" s="18" t="inlineStr">
        <is>
          <t>Ferrisariato</t>
        </is>
      </c>
      <c r="L172" s="8">
        <f>F172*G172</f>
        <v/>
      </c>
      <c r="M172" s="145" t="inlineStr">
        <is>
          <t>S-B10-SOL-E6011-3P2</t>
        </is>
      </c>
      <c r="N172" s="18" t="inlineStr">
        <is>
          <t>Estructuras</t>
        </is>
      </c>
      <c r="O172" s="18" t="inlineStr">
        <is>
          <t>Estimado DION · criterio de mercado Guayaquil 2026 (no verificado en tienda)</t>
        </is>
      </c>
      <c r="P172" s="18" t="inlineStr">
        <is>
          <t>oct-2026 (est.)</t>
        </is>
      </c>
      <c r="Q172" s="18" t="n">
        <v>5</v>
      </c>
    </row>
    <row r="173">
      <c r="A173" s="90" t="n">
        <v>152</v>
      </c>
      <c r="B173" s="91" t="inlineStr">
        <is>
          <t xml:space="preserve">        Electrodo E7018 5/32" (kg)</t>
        </is>
      </c>
      <c r="C173" s="92" t="inlineStr">
        <is>
          <t>Comercial / Industrial</t>
        </is>
      </c>
      <c r="D173" s="90" t="inlineStr">
        <is>
          <t>Electrodos</t>
        </is>
      </c>
      <c r="E173" s="90" t="inlineStr">
        <is>
          <t>kg</t>
        </is>
      </c>
      <c r="F173" s="93" t="n">
        <v>10</v>
      </c>
      <c r="G173" s="94" t="n">
        <v>3.8</v>
      </c>
      <c r="H173" s="94" t="n">
        <v>3.91</v>
      </c>
      <c r="I173" s="90" t="inlineStr">
        <is>
          <t>Megametales</t>
        </is>
      </c>
      <c r="J173" s="94" t="n">
        <v>4.07</v>
      </c>
      <c r="K173" s="90" t="inlineStr">
        <is>
          <t>Kywi / Megakywi</t>
        </is>
      </c>
      <c r="L173" s="95">
        <f>F173*G173</f>
        <v/>
      </c>
      <c r="M173" s="155" t="inlineStr">
        <is>
          <t>S-B10-SOL-E7018-4P0</t>
        </is>
      </c>
      <c r="N173" s="90" t="inlineStr">
        <is>
          <t>Estructuras</t>
        </is>
      </c>
      <c r="O173" s="90" t="inlineStr">
        <is>
          <t>Estimado DION · criterio de mercado Guayaquil 2026 (no verificado en tienda)</t>
        </is>
      </c>
      <c r="P173" s="90" t="inlineStr">
        <is>
          <t>oct-2026 (est.)</t>
        </is>
      </c>
      <c r="Q173" s="90" t="n">
        <v>5</v>
      </c>
    </row>
    <row r="174">
      <c r="A174" s="18" t="n">
        <v>153</v>
      </c>
      <c r="B174" s="19" t="inlineStr">
        <is>
          <t xml:space="preserve">        Alambre MIG ER70S-6 0.9 mm (Rollo 15 kg)</t>
        </is>
      </c>
      <c r="C174" s="20" t="inlineStr">
        <is>
          <t>Industrial</t>
        </is>
      </c>
      <c r="D174" s="18" t="inlineStr">
        <is>
          <t>Alambre MIG</t>
        </is>
      </c>
      <c r="E174" s="18" t="inlineStr">
        <is>
          <t>Rollo</t>
        </is>
      </c>
      <c r="F174" s="21" t="n">
        <v>1</v>
      </c>
      <c r="G174" s="22" t="n">
        <v>52</v>
      </c>
      <c r="H174" s="22" t="n">
        <v>53.04</v>
      </c>
      <c r="I174" s="18" t="inlineStr">
        <is>
          <t>Megametales</t>
        </is>
      </c>
      <c r="J174" s="22" t="n">
        <v>56.68</v>
      </c>
      <c r="K174" s="18" t="inlineStr">
        <is>
          <t>Ferrisariato</t>
        </is>
      </c>
      <c r="L174" s="8">
        <f>F174*G174</f>
        <v/>
      </c>
      <c r="M174" s="145" t="inlineStr">
        <is>
          <t>S-B10-SOL-ER70S-0P9</t>
        </is>
      </c>
      <c r="N174" s="18" t="inlineStr">
        <is>
          <t>Estructuras</t>
        </is>
      </c>
      <c r="O174" s="18" t="inlineStr">
        <is>
          <t>Estimado DION · criterio de mercado Guayaquil 2026 (no verificado en tienda)</t>
        </is>
      </c>
      <c r="P174" s="18" t="inlineStr">
        <is>
          <t>oct-2026 (est.)</t>
        </is>
      </c>
      <c r="Q174" s="18" t="n">
        <v>5</v>
      </c>
    </row>
    <row r="175">
      <c r="A175" s="90" t="n">
        <v>154</v>
      </c>
      <c r="B175" s="91" t="inlineStr">
        <is>
          <t xml:space="preserve">        Disco de Corte Metal 7" (Unidad)</t>
        </is>
      </c>
      <c r="C175" s="92" t="inlineStr">
        <is>
          <t>Residencial / Comercial / Ind</t>
        </is>
      </c>
      <c r="D175" s="90" t="inlineStr">
        <is>
          <t>Discos</t>
        </is>
      </c>
      <c r="E175" s="90" t="inlineStr">
        <is>
          <t>U</t>
        </is>
      </c>
      <c r="F175" s="93" t="n">
        <v>20</v>
      </c>
      <c r="G175" s="94" t="n">
        <v>1.65</v>
      </c>
      <c r="H175" s="94" t="n">
        <v>1.72</v>
      </c>
      <c r="I175" s="90" t="inlineStr">
        <is>
          <t>Megametales</t>
        </is>
      </c>
      <c r="J175" s="94" t="n">
        <v>1.83</v>
      </c>
      <c r="K175" s="90" t="inlineStr">
        <is>
          <t>Kywi / Megakywi</t>
        </is>
      </c>
      <c r="L175" s="95">
        <f>F175*G175</f>
        <v/>
      </c>
      <c r="M175" s="155" t="inlineStr">
        <is>
          <t>S-B10-SOL-DCO-7IN</t>
        </is>
      </c>
      <c r="N175" s="90" t="inlineStr">
        <is>
          <t>Estructuras</t>
        </is>
      </c>
      <c r="O175" s="90" t="inlineStr">
        <is>
          <t>Estimado DION · criterio de mercado Guayaquil 2026 (no verificado en tienda)</t>
        </is>
      </c>
      <c r="P175" s="90" t="inlineStr">
        <is>
          <t>oct-2026 (est.)</t>
        </is>
      </c>
      <c r="Q175" s="90" t="n"/>
    </row>
    <row r="176">
      <c r="A176" s="18" t="n">
        <v>155</v>
      </c>
      <c r="B176" s="19" t="inlineStr">
        <is>
          <t xml:space="preserve">        Disco de Desbaste Metal 7"</t>
        </is>
      </c>
      <c r="C176" s="20" t="inlineStr">
        <is>
          <t>Residencial / Comercial / Ind</t>
        </is>
      </c>
      <c r="D176" s="18" t="inlineStr">
        <is>
          <t>Discos</t>
        </is>
      </c>
      <c r="E176" s="18" t="inlineStr">
        <is>
          <t>U</t>
        </is>
      </c>
      <c r="F176" s="21" t="n">
        <v>10</v>
      </c>
      <c r="G176" s="22" t="n">
        <v>2.6</v>
      </c>
      <c r="H176" s="22" t="n">
        <v>2.65</v>
      </c>
      <c r="I176" s="18" t="inlineStr">
        <is>
          <t>Megametales</t>
        </is>
      </c>
      <c r="J176" s="22" t="n">
        <v>2.81</v>
      </c>
      <c r="K176" s="18" t="inlineStr">
        <is>
          <t>Ferrisariato</t>
        </is>
      </c>
      <c r="L176" s="8">
        <f>F176*G176</f>
        <v/>
      </c>
      <c r="M176" s="145" t="inlineStr">
        <is>
          <t>S-B10-SOL-DDE-7IN</t>
        </is>
      </c>
      <c r="N176" s="18" t="inlineStr">
        <is>
          <t>Estructuras</t>
        </is>
      </c>
      <c r="O176" s="18" t="inlineStr">
        <is>
          <t>Estimado DION · criterio de mercado Guayaquil 2026 (no verificado en tienda)</t>
        </is>
      </c>
      <c r="P176" s="18" t="inlineStr">
        <is>
          <t>oct-2026 (est.)</t>
        </is>
      </c>
      <c r="Q176" s="18" t="n"/>
    </row>
    <row r="177">
      <c r="A177" s="90" t="n">
        <v>156</v>
      </c>
      <c r="B177" s="91" t="inlineStr">
        <is>
          <t xml:space="preserve">        Tensor Varilla Lisa Ø12 mm con Templador (Arriostramiento)</t>
        </is>
      </c>
      <c r="C177" s="92" t="inlineStr">
        <is>
          <t>Comercial / Industrial</t>
        </is>
      </c>
      <c r="D177" s="90" t="inlineStr">
        <is>
          <t>Tensores</t>
        </is>
      </c>
      <c r="E177" s="90" t="inlineStr">
        <is>
          <t>U</t>
        </is>
      </c>
      <c r="F177" s="93" t="n">
        <v>8</v>
      </c>
      <c r="G177" s="94" t="n">
        <v>14.5</v>
      </c>
      <c r="H177" s="94" t="n">
        <v>15.08</v>
      </c>
      <c r="I177" s="90" t="inlineStr">
        <is>
          <t>Megametales</t>
        </is>
      </c>
      <c r="J177" s="94" t="n">
        <v>15.66</v>
      </c>
      <c r="K177" s="90" t="inlineStr">
        <is>
          <t>Kywi / Megakywi</t>
        </is>
      </c>
      <c r="L177" s="95">
        <f>F177*G177</f>
        <v/>
      </c>
      <c r="M177" s="155" t="inlineStr">
        <is>
          <t>S-B10-RIO-TEN-D12</t>
        </is>
      </c>
      <c r="N177" s="90" t="inlineStr">
        <is>
          <t>Estructuras</t>
        </is>
      </c>
      <c r="O177" s="90" t="inlineStr">
        <is>
          <t>Estimado DION · criterio de mercado Guayaquil 2026 (no verificado en tienda)</t>
        </is>
      </c>
      <c r="P177" s="90" t="inlineStr">
        <is>
          <t>oct-2026 (est.)</t>
        </is>
      </c>
      <c r="Q177" s="90" t="n"/>
    </row>
    <row r="178">
      <c r="A178" s="18" t="n">
        <v>157</v>
      </c>
      <c r="B178" s="19" t="inlineStr">
        <is>
          <t xml:space="preserve">        Tensor Varilla Lisa Ø16 mm con Templador</t>
        </is>
      </c>
      <c r="C178" s="20" t="inlineStr">
        <is>
          <t>Comercial / Industrial</t>
        </is>
      </c>
      <c r="D178" s="18" t="inlineStr">
        <is>
          <t>Tensores</t>
        </is>
      </c>
      <c r="E178" s="18" t="inlineStr">
        <is>
          <t>U</t>
        </is>
      </c>
      <c r="F178" s="21" t="n">
        <v>8</v>
      </c>
      <c r="G178" s="22" t="n">
        <v>19.5</v>
      </c>
      <c r="H178" s="22" t="n">
        <v>20.48</v>
      </c>
      <c r="I178" s="18" t="inlineStr">
        <is>
          <t>Megametales</t>
        </is>
      </c>
      <c r="J178" s="22" t="n">
        <v>21.65</v>
      </c>
      <c r="K178" s="18" t="inlineStr">
        <is>
          <t>Ferrisariato</t>
        </is>
      </c>
      <c r="L178" s="8">
        <f>F178*G178</f>
        <v/>
      </c>
      <c r="M178" s="145" t="inlineStr">
        <is>
          <t>S-B10-RIO-TEN-D16</t>
        </is>
      </c>
      <c r="N178" s="18" t="inlineStr">
        <is>
          <t>Estructuras</t>
        </is>
      </c>
      <c r="O178" s="18" t="inlineStr">
        <is>
          <t>Estimado DION · criterio de mercado Guayaquil 2026 (no verificado en tienda)</t>
        </is>
      </c>
      <c r="P178" s="18" t="inlineStr">
        <is>
          <t>oct-2026 (est.)</t>
        </is>
      </c>
      <c r="Q178" s="18" t="n"/>
    </row>
    <row r="179">
      <c r="A179" s="88" t="inlineStr">
        <is>
          <t>EQUIPOS ESPECIALIZADOS</t>
        </is>
      </c>
      <c r="B179" s="143" t="n"/>
      <c r="C179" s="143" t="n"/>
      <c r="D179" s="143" t="n"/>
      <c r="E179" s="143" t="n"/>
      <c r="F179" s="143" t="n"/>
      <c r="G179" s="143" t="n"/>
      <c r="H179" s="143" t="n"/>
      <c r="I179" s="143" t="n"/>
      <c r="J179" s="143" t="n"/>
      <c r="K179" s="143" t="n"/>
      <c r="L179" s="143" t="n"/>
      <c r="M179" s="143" t="n"/>
      <c r="N179" s="143" t="n"/>
      <c r="O179" s="143" t="n"/>
      <c r="P179" s="143" t="n"/>
      <c r="Q179" s="144" t="n"/>
    </row>
    <row r="180">
      <c r="A180" s="50" t="inlineStr">
        <is>
          <t xml:space="preserve">  ► CATEGORÍA: PINTURA INTUMESCENTE ANTICORROSIVA E INSPECCIÓN NDT</t>
        </is>
      </c>
      <c r="B180" s="143" t="n"/>
      <c r="C180" s="143" t="n"/>
      <c r="D180" s="143" t="n"/>
      <c r="E180" s="143" t="n"/>
      <c r="F180" s="143" t="n"/>
      <c r="G180" s="143" t="n"/>
      <c r="H180" s="143" t="n"/>
      <c r="I180" s="143" t="n"/>
      <c r="J180" s="143" t="n"/>
      <c r="K180" s="143" t="n"/>
      <c r="L180" s="143" t="n"/>
      <c r="M180" s="143" t="n"/>
      <c r="N180" s="143" t="n"/>
      <c r="O180" s="143" t="n"/>
      <c r="P180" s="143" t="n"/>
      <c r="Q180" s="144" t="n"/>
    </row>
    <row r="181">
      <c r="A181" s="89" t="inlineStr">
        <is>
          <t xml:space="preserve">      • Subcategoría Especificada: Protección Ignífuga y Ensayos</t>
        </is>
      </c>
      <c r="B181" s="143" t="n"/>
      <c r="C181" s="143" t="n"/>
      <c r="D181" s="143" t="n"/>
      <c r="E181" s="143" t="n"/>
      <c r="F181" s="143" t="n"/>
      <c r="G181" s="143" t="n"/>
      <c r="H181" s="143" t="n"/>
      <c r="I181" s="143" t="n"/>
      <c r="J181" s="143" t="n"/>
      <c r="K181" s="143" t="n"/>
      <c r="L181" s="143" t="n"/>
      <c r="M181" s="143" t="n"/>
      <c r="N181" s="143" t="n"/>
      <c r="O181" s="143" t="n"/>
      <c r="P181" s="143" t="n"/>
      <c r="Q181" s="144" t="n"/>
    </row>
    <row r="182">
      <c r="A182" s="90" t="n">
        <v>158</v>
      </c>
      <c r="B182" s="91" t="inlineStr">
        <is>
          <t xml:space="preserve">        Pintura Epóxica Anticorrosiva Cromato de Zinc (Galón)</t>
        </is>
      </c>
      <c r="C182" s="92" t="inlineStr">
        <is>
          <t>Comercial / Industrial</t>
        </is>
      </c>
      <c r="D182" s="90" t="inlineStr">
        <is>
          <t>Pintura Epóxica</t>
        </is>
      </c>
      <c r="E182" s="90" t="inlineStr">
        <is>
          <t>Galón</t>
        </is>
      </c>
      <c r="F182" s="93" t="n">
        <v>4</v>
      </c>
      <c r="G182" s="94" t="n">
        <v>32</v>
      </c>
      <c r="H182" s="94" t="n">
        <v>33.2</v>
      </c>
      <c r="I182" s="90" t="inlineStr">
        <is>
          <t>Megametales</t>
        </is>
      </c>
      <c r="J182" s="94" t="n">
        <v>35.5</v>
      </c>
      <c r="K182" s="90" t="inlineStr">
        <is>
          <t>Ferrisariato</t>
        </is>
      </c>
      <c r="L182" s="95">
        <f>F182*G182</f>
        <v/>
      </c>
      <c r="M182" s="155" t="inlineStr">
        <is>
          <t>S-B10-PRT-EPX-ZNC</t>
        </is>
      </c>
      <c r="N182" s="90" t="inlineStr">
        <is>
          <t>Estructuras</t>
        </is>
      </c>
      <c r="O182" s="90" t="inlineStr">
        <is>
          <t>Estimado · base original del usuario (sin cotización verificada)</t>
        </is>
      </c>
      <c r="P182" s="90" t="inlineStr">
        <is>
          <t>oct-2026 (est.)</t>
        </is>
      </c>
      <c r="Q182" s="90" t="n"/>
    </row>
    <row r="183">
      <c r="A183" s="18" t="n">
        <v>159</v>
      </c>
      <c r="B183" s="19" t="inlineStr">
        <is>
          <t xml:space="preserve">        Pintura Intumescente Retardante de Fuego R60 (Galón)</t>
        </is>
      </c>
      <c r="C183" s="20" t="inlineStr">
        <is>
          <t>Comercial / Edificios</t>
        </is>
      </c>
      <c r="D183" s="18" t="inlineStr">
        <is>
          <t>Pintura Intumescente</t>
        </is>
      </c>
      <c r="E183" s="18" t="inlineStr">
        <is>
          <t>Galón</t>
        </is>
      </c>
      <c r="F183" s="21" t="n">
        <v>6</v>
      </c>
      <c r="G183" s="22" t="n">
        <v>85</v>
      </c>
      <c r="H183" s="22" t="n">
        <v>88</v>
      </c>
      <c r="I183" s="18" t="inlineStr">
        <is>
          <t>Megametales</t>
        </is>
      </c>
      <c r="J183" s="22" t="n">
        <v>94</v>
      </c>
      <c r="K183" s="18" t="inlineStr">
        <is>
          <t>Kywi / Megakywi</t>
        </is>
      </c>
      <c r="L183" s="8">
        <f>F183*G183</f>
        <v/>
      </c>
      <c r="M183" s="145" t="inlineStr">
        <is>
          <t>S-B10-PRT-INT-R60</t>
        </is>
      </c>
      <c r="N183" s="18" t="inlineStr">
        <is>
          <t>Estructuras</t>
        </is>
      </c>
      <c r="O183" s="18" t="inlineStr">
        <is>
          <t>Estimado · base original del usuario (sin cotización verificada)</t>
        </is>
      </c>
      <c r="P183" s="18" t="inlineStr">
        <is>
          <t>oct-2026 (est.)</t>
        </is>
      </c>
      <c r="Q183" s="18" t="n"/>
    </row>
    <row r="184">
      <c r="A184" s="89" t="inlineStr">
        <is>
          <t xml:space="preserve">      • Subcategoría Especificada: Fondos, Esmaltes, Galvanizado y Ensayos</t>
        </is>
      </c>
      <c r="B184" s="143" t="n"/>
      <c r="C184" s="143" t="n"/>
      <c r="D184" s="143" t="n"/>
      <c r="E184" s="143" t="n"/>
      <c r="F184" s="143" t="n"/>
      <c r="G184" s="143" t="n"/>
      <c r="H184" s="143" t="n"/>
      <c r="I184" s="143" t="n"/>
      <c r="J184" s="143" t="n"/>
      <c r="K184" s="143" t="n"/>
      <c r="L184" s="143" t="n"/>
      <c r="M184" s="143" t="n"/>
      <c r="N184" s="143" t="n"/>
      <c r="O184" s="143" t="n"/>
      <c r="P184" s="143" t="n"/>
      <c r="Q184" s="144" t="n"/>
    </row>
    <row r="185">
      <c r="A185" s="90" t="n">
        <v>160</v>
      </c>
      <c r="B185" s="91" t="inlineStr">
        <is>
          <t xml:space="preserve">        Fondo Anticorrosivo Alquídico Gris/Rojo Óxido (Galón)</t>
        </is>
      </c>
      <c r="C185" s="92" t="inlineStr">
        <is>
          <t>Residencial / Comercial / Ind</t>
        </is>
      </c>
      <c r="D185" s="90" t="inlineStr">
        <is>
          <t>Fondos Anticorrosivos</t>
        </is>
      </c>
      <c r="E185" s="90" t="inlineStr">
        <is>
          <t>Galón</t>
        </is>
      </c>
      <c r="F185" s="93" t="n">
        <v>6</v>
      </c>
      <c r="G185" s="94" t="n">
        <v>15.5</v>
      </c>
      <c r="H185" s="94" t="n">
        <v>16.12</v>
      </c>
      <c r="I185" s="90" t="inlineStr">
        <is>
          <t>Megametales</t>
        </is>
      </c>
      <c r="J185" s="94" t="n">
        <v>17.21</v>
      </c>
      <c r="K185" s="90" t="inlineStr">
        <is>
          <t>Kywi / Megakywi</t>
        </is>
      </c>
      <c r="L185" s="95">
        <f>F185*G185</f>
        <v/>
      </c>
      <c r="M185" s="155" t="inlineStr">
        <is>
          <t>S-B10-PRT-ANT-ALQ</t>
        </is>
      </c>
      <c r="N185" s="90" t="inlineStr">
        <is>
          <t>Estructuras</t>
        </is>
      </c>
      <c r="O185" s="90" t="inlineStr">
        <is>
          <t>Estimado DION · criterio de mercado Guayaquil 2026 (no verificado en tienda)</t>
        </is>
      </c>
      <c r="P185" s="90" t="inlineStr">
        <is>
          <t>oct-2026 (est.)</t>
        </is>
      </c>
      <c r="Q185" s="90" t="n">
        <v>10</v>
      </c>
    </row>
    <row r="186">
      <c r="A186" s="18" t="n">
        <v>161</v>
      </c>
      <c r="B186" s="19" t="inlineStr">
        <is>
          <t xml:space="preserve">        Esmalte Epóxico Poliamida Acabado (Galón)</t>
        </is>
      </c>
      <c r="C186" s="20" t="inlineStr">
        <is>
          <t>Comercial / Industrial</t>
        </is>
      </c>
      <c r="D186" s="18" t="inlineStr">
        <is>
          <t>Esmaltes Epóxicos</t>
        </is>
      </c>
      <c r="E186" s="18" t="inlineStr">
        <is>
          <t>Galón</t>
        </is>
      </c>
      <c r="F186" s="21" t="n">
        <v>4</v>
      </c>
      <c r="G186" s="22" t="n">
        <v>38</v>
      </c>
      <c r="H186" s="22" t="n">
        <v>39.14</v>
      </c>
      <c r="I186" s="18" t="inlineStr">
        <is>
          <t>Megametales</t>
        </is>
      </c>
      <c r="J186" s="22" t="n">
        <v>41.04</v>
      </c>
      <c r="K186" s="18" t="inlineStr">
        <is>
          <t>Ferrisariato</t>
        </is>
      </c>
      <c r="L186" s="8">
        <f>F186*G186</f>
        <v/>
      </c>
      <c r="M186" s="145" t="inlineStr">
        <is>
          <t>S-B10-PRT-EPX-ACA</t>
        </is>
      </c>
      <c r="N186" s="18" t="inlineStr">
        <is>
          <t>Estructuras</t>
        </is>
      </c>
      <c r="O186" s="18" t="inlineStr">
        <is>
          <t>Estimado DION · criterio de mercado Guayaquil 2026 (no verificado en tienda)</t>
        </is>
      </c>
      <c r="P186" s="18" t="inlineStr">
        <is>
          <t>oct-2026 (est.)</t>
        </is>
      </c>
      <c r="Q186" s="18" t="n">
        <v>10</v>
      </c>
    </row>
    <row r="187">
      <c r="A187" s="90" t="n">
        <v>162</v>
      </c>
      <c r="B187" s="91" t="inlineStr">
        <is>
          <t xml:space="preserve">        Poliuretano Alifático Acabado Alta Durabilidad (Galón)</t>
        </is>
      </c>
      <c r="C187" s="92" t="inlineStr">
        <is>
          <t>Comercial / Industrial</t>
        </is>
      </c>
      <c r="D187" s="90" t="inlineStr">
        <is>
          <t>Poliuretanos</t>
        </is>
      </c>
      <c r="E187" s="90" t="inlineStr">
        <is>
          <t>Galón</t>
        </is>
      </c>
      <c r="F187" s="93" t="n">
        <v>4</v>
      </c>
      <c r="G187" s="94" t="n">
        <v>52</v>
      </c>
      <c r="H187" s="94" t="n">
        <v>53.04</v>
      </c>
      <c r="I187" s="90" t="inlineStr">
        <is>
          <t>Megametales</t>
        </is>
      </c>
      <c r="J187" s="94" t="n">
        <v>57.72</v>
      </c>
      <c r="K187" s="90" t="inlineStr">
        <is>
          <t>Kywi / Megakywi</t>
        </is>
      </c>
      <c r="L187" s="95">
        <f>F187*G187</f>
        <v/>
      </c>
      <c r="M187" s="155" t="inlineStr">
        <is>
          <t>S-B10-PRT-PUR-ALI</t>
        </is>
      </c>
      <c r="N187" s="90" t="inlineStr">
        <is>
          <t>Estructuras</t>
        </is>
      </c>
      <c r="O187" s="90" t="inlineStr">
        <is>
          <t>Estimado DION · criterio de mercado Guayaquil 2026 (no verificado en tienda)</t>
        </is>
      </c>
      <c r="P187" s="90" t="inlineStr">
        <is>
          <t>oct-2026 (est.)</t>
        </is>
      </c>
      <c r="Q187" s="90" t="n">
        <v>10</v>
      </c>
    </row>
    <row r="188">
      <c r="A188" s="18" t="n">
        <v>163</v>
      </c>
      <c r="B188" s="19" t="inlineStr">
        <is>
          <t xml:space="preserve">        Pintura Intumescente R30 (Galón)</t>
        </is>
      </c>
      <c r="C188" s="20" t="inlineStr">
        <is>
          <t>Comercial / Edificios</t>
        </is>
      </c>
      <c r="D188" s="18" t="inlineStr">
        <is>
          <t>Pintura Intumescente</t>
        </is>
      </c>
      <c r="E188" s="18" t="inlineStr">
        <is>
          <t>Galón</t>
        </is>
      </c>
      <c r="F188" s="21" t="n">
        <v>6</v>
      </c>
      <c r="G188" s="22" t="n">
        <v>68</v>
      </c>
      <c r="H188" s="22" t="n">
        <v>70.72</v>
      </c>
      <c r="I188" s="18" t="inlineStr">
        <is>
          <t>Megametales</t>
        </is>
      </c>
      <c r="J188" s="22" t="n">
        <v>75.48</v>
      </c>
      <c r="K188" s="18" t="inlineStr">
        <is>
          <t>Ferrisariato</t>
        </is>
      </c>
      <c r="L188" s="8">
        <f>F188*G188</f>
        <v/>
      </c>
      <c r="M188" s="145" t="inlineStr">
        <is>
          <t>S-B10-PRT-INT-R30</t>
        </is>
      </c>
      <c r="N188" s="18" t="inlineStr">
        <is>
          <t>Estructuras</t>
        </is>
      </c>
      <c r="O188" s="18" t="inlineStr">
        <is>
          <t>Estimado DION · criterio de mercado Guayaquil 2026 (no verificado en tienda)</t>
        </is>
      </c>
      <c r="P188" s="18" t="inlineStr">
        <is>
          <t>oct-2026 (est.)</t>
        </is>
      </c>
      <c r="Q188" s="18" t="n">
        <v>10</v>
      </c>
    </row>
    <row r="189">
      <c r="A189" s="90" t="n">
        <v>164</v>
      </c>
      <c r="B189" s="91" t="inlineStr">
        <is>
          <t xml:space="preserve">        Pintura Intumescente R90 (Galón)</t>
        </is>
      </c>
      <c r="C189" s="92" t="inlineStr">
        <is>
          <t>Comercial / Edificios</t>
        </is>
      </c>
      <c r="D189" s="90" t="inlineStr">
        <is>
          <t>Pintura Intumescente</t>
        </is>
      </c>
      <c r="E189" s="90" t="inlineStr">
        <is>
          <t>Galón</t>
        </is>
      </c>
      <c r="F189" s="93" t="n">
        <v>6</v>
      </c>
      <c r="G189" s="94" t="n">
        <v>98</v>
      </c>
      <c r="H189" s="94" t="n">
        <v>101.92</v>
      </c>
      <c r="I189" s="90" t="inlineStr">
        <is>
          <t>Megametales</t>
        </is>
      </c>
      <c r="J189" s="94" t="n">
        <v>107.8</v>
      </c>
      <c r="K189" s="90" t="inlineStr">
        <is>
          <t>Kywi / Megakywi</t>
        </is>
      </c>
      <c r="L189" s="95">
        <f>F189*G189</f>
        <v/>
      </c>
      <c r="M189" s="155" t="inlineStr">
        <is>
          <t>S-B10-PRT-INT-R90</t>
        </is>
      </c>
      <c r="N189" s="90" t="inlineStr">
        <is>
          <t>Estructuras</t>
        </is>
      </c>
      <c r="O189" s="90" t="inlineStr">
        <is>
          <t>Estimado DION · criterio de mercado Guayaquil 2026 (no verificado en tienda)</t>
        </is>
      </c>
      <c r="P189" s="90" t="inlineStr">
        <is>
          <t>oct-2026 (est.)</t>
        </is>
      </c>
      <c r="Q189" s="90" t="n">
        <v>10</v>
      </c>
    </row>
    <row r="190">
      <c r="A190" s="18" t="n">
        <v>165</v>
      </c>
      <c r="B190" s="19" t="inlineStr">
        <is>
          <t xml:space="preserve">        Thinner / Diluyente Epóxico (Galón)</t>
        </is>
      </c>
      <c r="C190" s="20" t="inlineStr">
        <is>
          <t>Residencial / Comercial / Ind</t>
        </is>
      </c>
      <c r="D190" s="18" t="inlineStr">
        <is>
          <t>Diluyentes</t>
        </is>
      </c>
      <c r="E190" s="18" t="inlineStr">
        <is>
          <t>Galón</t>
        </is>
      </c>
      <c r="F190" s="21" t="n">
        <v>4</v>
      </c>
      <c r="G190" s="22" t="n">
        <v>11.5</v>
      </c>
      <c r="H190" s="22" t="n">
        <v>11.96</v>
      </c>
      <c r="I190" s="18" t="inlineStr">
        <is>
          <t>Megametales</t>
        </is>
      </c>
      <c r="J190" s="22" t="n">
        <v>12.54</v>
      </c>
      <c r="K190" s="18" t="inlineStr">
        <is>
          <t>Ferrisariato</t>
        </is>
      </c>
      <c r="L190" s="8">
        <f>F190*G190</f>
        <v/>
      </c>
      <c r="M190" s="145" t="inlineStr">
        <is>
          <t>S-B10-PRT-DIL</t>
        </is>
      </c>
      <c r="N190" s="18" t="inlineStr">
        <is>
          <t>Estructuras</t>
        </is>
      </c>
      <c r="O190" s="18" t="inlineStr">
        <is>
          <t>Estimado DION · criterio de mercado Guayaquil 2026 (no verificado en tienda)</t>
        </is>
      </c>
      <c r="P190" s="18" t="inlineStr">
        <is>
          <t>oct-2026 (est.)</t>
        </is>
      </c>
      <c r="Q190" s="18" t="n">
        <v>5</v>
      </c>
    </row>
    <row r="191">
      <c r="A191" s="90" t="n">
        <v>166</v>
      </c>
      <c r="B191" s="91" t="inlineStr">
        <is>
          <t xml:space="preserve">        Galvanizado en Caliente por Inmersión (kg)</t>
        </is>
      </c>
      <c r="C191" s="92" t="inlineStr">
        <is>
          <t>Industrial</t>
        </is>
      </c>
      <c r="D191" s="90" t="inlineStr">
        <is>
          <t>Galvanizado</t>
        </is>
      </c>
      <c r="E191" s="90" t="inlineStr">
        <is>
          <t>kg</t>
        </is>
      </c>
      <c r="F191" s="93" t="n">
        <v>100</v>
      </c>
      <c r="G191" s="94" t="n">
        <v>0.95</v>
      </c>
      <c r="H191" s="94" t="n">
        <v>0.99</v>
      </c>
      <c r="I191" s="90" t="inlineStr">
        <is>
          <t>Megametales</t>
        </is>
      </c>
      <c r="J191" s="94" t="n">
        <v>1.02</v>
      </c>
      <c r="K191" s="90" t="inlineStr">
        <is>
          <t>Kywi / Megakywi</t>
        </is>
      </c>
      <c r="L191" s="95">
        <f>F191*G191</f>
        <v/>
      </c>
      <c r="M191" s="155" t="inlineStr">
        <is>
          <t>S-B10-PRT-GAL-CAL</t>
        </is>
      </c>
      <c r="N191" s="90" t="inlineStr">
        <is>
          <t>Estructuras</t>
        </is>
      </c>
      <c r="O191" s="90" t="inlineStr">
        <is>
          <t>Estimado DION · criterio de mercado Guayaquil 2026 (no verificado en tienda)</t>
        </is>
      </c>
      <c r="P191" s="90" t="inlineStr">
        <is>
          <t>oct-2026 (est.)</t>
        </is>
      </c>
      <c r="Q191" s="90" t="n"/>
    </row>
    <row r="192">
      <c r="A192" s="18" t="n">
        <v>167</v>
      </c>
      <c r="B192" s="19" t="inlineStr">
        <is>
          <t xml:space="preserve">        Sandblasting Grado SA 2½ (m²)</t>
        </is>
      </c>
      <c r="C192" s="20" t="inlineStr">
        <is>
          <t>Industrial</t>
        </is>
      </c>
      <c r="D192" s="18" t="inlineStr">
        <is>
          <t>Preparación Superficie</t>
        </is>
      </c>
      <c r="E192" s="18" t="inlineStr">
        <is>
          <t>m2</t>
        </is>
      </c>
      <c r="F192" s="21" t="n">
        <v>50</v>
      </c>
      <c r="G192" s="22" t="n">
        <v>6.5</v>
      </c>
      <c r="H192" s="22" t="n">
        <v>6.7</v>
      </c>
      <c r="I192" s="18" t="inlineStr">
        <is>
          <t>Megametales</t>
        </is>
      </c>
      <c r="J192" s="22" t="n">
        <v>7.22</v>
      </c>
      <c r="K192" s="18" t="inlineStr">
        <is>
          <t>Ferrisariato</t>
        </is>
      </c>
      <c r="L192" s="8">
        <f>F192*G192</f>
        <v/>
      </c>
      <c r="M192" s="145" t="inlineStr">
        <is>
          <t>S-B10-PRT-SAN-SA25</t>
        </is>
      </c>
      <c r="N192" s="18" t="inlineStr">
        <is>
          <t>Estructuras</t>
        </is>
      </c>
      <c r="O192" s="18" t="inlineStr">
        <is>
          <t>Estimado DION · criterio de mercado Guayaquil 2026 (no verificado en tienda)</t>
        </is>
      </c>
      <c r="P192" s="18" t="inlineStr">
        <is>
          <t>oct-2026 (est.)</t>
        </is>
      </c>
      <c r="Q192" s="18" t="n"/>
    </row>
    <row r="193">
      <c r="A193" s="90" t="n">
        <v>168</v>
      </c>
      <c r="B193" s="91" t="inlineStr">
        <is>
          <t xml:space="preserve">        Ensayo Tintas Penetrantes en Soldadura (Punto)</t>
        </is>
      </c>
      <c r="C193" s="92" t="inlineStr">
        <is>
          <t>Comercial / Industrial</t>
        </is>
      </c>
      <c r="D193" s="90" t="inlineStr">
        <is>
          <t>Ensayos NDT</t>
        </is>
      </c>
      <c r="E193" s="90" t="inlineStr">
        <is>
          <t>U</t>
        </is>
      </c>
      <c r="F193" s="93" t="n">
        <v>10</v>
      </c>
      <c r="G193" s="94" t="n">
        <v>25</v>
      </c>
      <c r="H193" s="94" t="n">
        <v>25.5</v>
      </c>
      <c r="I193" s="90" t="inlineStr">
        <is>
          <t>Megametales</t>
        </is>
      </c>
      <c r="J193" s="94" t="n">
        <v>27.75</v>
      </c>
      <c r="K193" s="90" t="inlineStr">
        <is>
          <t>Kywi / Megakywi</t>
        </is>
      </c>
      <c r="L193" s="95">
        <f>F193*G193</f>
        <v/>
      </c>
      <c r="M193" s="155" t="inlineStr">
        <is>
          <t>S-B10-PRT-NDT-TIN</t>
        </is>
      </c>
      <c r="N193" s="90" t="inlineStr">
        <is>
          <t>Estructuras</t>
        </is>
      </c>
      <c r="O193" s="90" t="inlineStr">
        <is>
          <t>Estimado DION · criterio de mercado Guayaquil 2026 (no verificado en tienda)</t>
        </is>
      </c>
      <c r="P193" s="90" t="inlineStr">
        <is>
          <t>oct-2026 (est.)</t>
        </is>
      </c>
      <c r="Q193" s="90" t="n"/>
    </row>
    <row r="194">
      <c r="A194" s="18" t="n">
        <v>169</v>
      </c>
      <c r="B194" s="19" t="inlineStr">
        <is>
          <t xml:space="preserve">        Ensayo Ultrasonido en Soldadura de Penetración (m)</t>
        </is>
      </c>
      <c r="C194" s="20" t="inlineStr">
        <is>
          <t>Industrial</t>
        </is>
      </c>
      <c r="D194" s="18" t="inlineStr">
        <is>
          <t>Ensayos NDT</t>
        </is>
      </c>
      <c r="E194" s="18" t="inlineStr">
        <is>
          <t>m</t>
        </is>
      </c>
      <c r="F194" s="21" t="n">
        <v>10</v>
      </c>
      <c r="G194" s="22" t="n">
        <v>35</v>
      </c>
      <c r="H194" s="22" t="n">
        <v>36.75</v>
      </c>
      <c r="I194" s="18" t="inlineStr">
        <is>
          <t>Megametales</t>
        </is>
      </c>
      <c r="J194" s="22" t="n">
        <v>38.85</v>
      </c>
      <c r="K194" s="18" t="inlineStr">
        <is>
          <t>Ferrisariato</t>
        </is>
      </c>
      <c r="L194" s="8">
        <f>F194*G194</f>
        <v/>
      </c>
      <c r="M194" s="145" t="inlineStr">
        <is>
          <t>S-B10-PRT-NDT-ULT</t>
        </is>
      </c>
      <c r="N194" s="18" t="inlineStr">
        <is>
          <t>Estructuras</t>
        </is>
      </c>
      <c r="O194" s="18" t="inlineStr">
        <is>
          <t>Estimado DION · criterio de mercado Guayaquil 2026 (no verificado en tienda)</t>
        </is>
      </c>
      <c r="P194" s="18" t="inlineStr">
        <is>
          <t>oct-2026 (est.)</t>
        </is>
      </c>
      <c r="Q194" s="18" t="n"/>
    </row>
    <row r="195">
      <c r="A195" s="10" t="n"/>
      <c r="B195" s="147" t="inlineStr">
        <is>
          <t>TOTAL BASE DE DATOS ESTRUCTURAS METÁLICAS (ESTIMADO)</t>
        </is>
      </c>
      <c r="C195" s="148" t="n"/>
      <c r="D195" s="148" t="n"/>
      <c r="E195" s="148" t="n"/>
      <c r="F195" s="148" t="n"/>
      <c r="G195" s="148" t="n"/>
      <c r="H195" s="148" t="n"/>
      <c r="I195" s="148" t="n"/>
      <c r="J195" s="148" t="n"/>
      <c r="K195" s="148" t="n"/>
      <c r="L195" s="30">
        <f>SUM(L6:L194)</f>
        <v/>
      </c>
      <c r="M195" s="30" t="n"/>
      <c r="N195" s="30" t="n"/>
      <c r="O195" s="30" t="n"/>
      <c r="P195" s="30" t="n"/>
      <c r="Q195" s="30" t="n"/>
    </row>
  </sheetData>
  <mergeCells count="21">
    <mergeCell ref="A40:Q40"/>
    <mergeCell ref="A143:Q143"/>
    <mergeCell ref="A34:Q34"/>
    <mergeCell ref="A11:Q11"/>
    <mergeCell ref="A6:Q6"/>
    <mergeCell ref="A7:Q7"/>
    <mergeCell ref="A139:Q139"/>
    <mergeCell ref="A179:Q179"/>
    <mergeCell ref="A151:Q151"/>
    <mergeCell ref="A33:Q33"/>
    <mergeCell ref="B195:K195"/>
    <mergeCell ref="A8:Q8"/>
    <mergeCell ref="A141:Q141"/>
    <mergeCell ref="A181:Q181"/>
    <mergeCell ref="A150:Q150"/>
    <mergeCell ref="A140:Q140"/>
    <mergeCell ref="A184:Q184"/>
    <mergeCell ref="A35:Q35"/>
    <mergeCell ref="A180:Q180"/>
    <mergeCell ref="A156:Q156"/>
    <mergeCell ref="A152:Q152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94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8" customWidth="1" min="2" max="2"/>
    <col width="30" customWidth="1" min="3" max="3"/>
    <col width="32" customWidth="1" min="4" max="4"/>
    <col width="8" customWidth="1" min="5" max="5"/>
    <col width="10" customWidth="1" min="6" max="6"/>
    <col width="15" customWidth="1" min="7" max="7"/>
    <col width="16" customWidth="1" min="8" max="8"/>
    <col width="22" customWidth="1" min="9" max="9"/>
    <col width="16" customWidth="1" min="10" max="10"/>
    <col width="20" customWidth="1" min="11" max="11"/>
    <col width="16" customWidth="1" min="12" max="12"/>
    <col width="27" customWidth="1" min="13" max="13"/>
    <col width="30" customWidth="1" min="14" max="14"/>
    <col width="44" customWidth="1" min="15" max="15"/>
    <col width="15" customWidth="1" min="16" max="16"/>
    <col width="14" customWidth="1" min="17" max="17"/>
  </cols>
  <sheetData>
    <row r="1">
      <c r="A1" s="1" t="inlineStr">
        <is>
          <t>BASE DE DATOS COMPLETA DE CATALOGACIÓN: HORMIGÓN ARMADO (H.A.)</t>
        </is>
      </c>
    </row>
    <row r="2">
      <c r="A2" s="2" t="inlineStr">
        <is>
          <t>Estructura Jerárquica Homogénea: Accesorios &gt; Tuberías &gt; Equipos &gt; Conexiones &gt; Equipos Especializados | Degradé por Niveles (Ecuador - USD)</t>
        </is>
      </c>
    </row>
    <row r="3">
      <c r="A3" s="13" t="inlineStr">
        <is>
          <t>« Volver al Índice General</t>
        </is>
      </c>
    </row>
    <row r="5" ht="30" customHeight="1">
      <c r="A5" s="4" t="inlineStr">
        <is>
          <t>Item</t>
        </is>
      </c>
      <c r="B5" s="4" t="inlineStr">
        <is>
          <t>Descripción de Accesorio / Ítem Especificado</t>
        </is>
      </c>
      <c r="C5" s="4" t="inlineStr">
        <is>
          <t>Clasificación / Ámbito de Uso
(Residencial/Comercial/Industrial)</t>
        </is>
      </c>
      <c r="D5" s="4" t="inlineStr">
        <is>
          <t>Tipo / Familia</t>
        </is>
      </c>
      <c r="E5" s="4" t="inlineStr">
        <is>
          <t>Unidad</t>
        </is>
      </c>
      <c r="F5" s="4" t="inlineStr">
        <is>
          <t>Cant.</t>
        </is>
      </c>
      <c r="G5" s="4" t="inlineStr">
        <is>
          <t>P. Ref. Est. ($)</t>
        </is>
      </c>
      <c r="H5" s="4" t="inlineStr">
        <is>
          <t>P. Unit. Local A ($)
(Megametales)</t>
        </is>
      </c>
      <c r="I5" s="4" t="inlineStr">
        <is>
          <t>Local A
Especificado</t>
        </is>
      </c>
      <c r="J5" s="4" t="inlineStr">
        <is>
          <t>P. Unit. Local B ($)
(Kywi/Ferrisariato)</t>
        </is>
      </c>
      <c r="K5" s="4" t="inlineStr">
        <is>
          <t>Local B
Especificado</t>
        </is>
      </c>
      <c r="L5" s="4" t="inlineStr">
        <is>
          <t>Subtotal Est. ($)</t>
        </is>
      </c>
      <c r="M5" s="4" t="inlineStr">
        <is>
          <t>Código DION</t>
        </is>
      </c>
      <c r="N5" s="4" t="inlineStr">
        <is>
          <t>Disciplina</t>
        </is>
      </c>
      <c r="O5" s="4" t="inlineStr">
        <is>
          <t>Fuente del precio</t>
        </is>
      </c>
      <c r="P5" s="4" t="inlineStr">
        <is>
          <t>Fecha precio</t>
        </is>
      </c>
      <c r="Q5" s="4" t="inlineStr">
        <is>
          <t>Rendimiento /
desperdicio %</t>
        </is>
      </c>
    </row>
    <row r="6">
      <c r="A6" s="96" t="inlineStr">
        <is>
          <t>ACCESORIOS</t>
        </is>
      </c>
      <c r="B6" s="143" t="n"/>
      <c r="C6" s="143" t="n"/>
      <c r="D6" s="143" t="n"/>
      <c r="E6" s="143" t="n"/>
      <c r="F6" s="143" t="n"/>
      <c r="G6" s="143" t="n"/>
      <c r="H6" s="143" t="n"/>
      <c r="I6" s="143" t="n"/>
      <c r="J6" s="143" t="n"/>
      <c r="K6" s="143" t="n"/>
      <c r="L6" s="143" t="n"/>
      <c r="M6" s="143" t="n"/>
      <c r="N6" s="143" t="n"/>
      <c r="O6" s="143" t="n"/>
      <c r="P6" s="143" t="n"/>
      <c r="Q6" s="144" t="n"/>
    </row>
    <row r="7">
      <c r="A7" s="97" t="inlineStr">
        <is>
          <t xml:space="preserve">  ► CATEGORÍA: DISTANCIADORES, SEPARADORES Y MALLAS</t>
        </is>
      </c>
      <c r="B7" s="143" t="n"/>
      <c r="C7" s="143" t="n"/>
      <c r="D7" s="143" t="n"/>
      <c r="E7" s="143" t="n"/>
      <c r="F7" s="143" t="n"/>
      <c r="G7" s="143" t="n"/>
      <c r="H7" s="143" t="n"/>
      <c r="I7" s="143" t="n"/>
      <c r="J7" s="143" t="n"/>
      <c r="K7" s="143" t="n"/>
      <c r="L7" s="143" t="n"/>
      <c r="M7" s="143" t="n"/>
      <c r="N7" s="143" t="n"/>
      <c r="O7" s="143" t="n"/>
      <c r="P7" s="143" t="n"/>
      <c r="Q7" s="144" t="n"/>
    </row>
    <row r="8">
      <c r="A8" s="98" t="inlineStr">
        <is>
          <t xml:space="preserve">      • Subcategoría Especificada: Separadores de Armadura</t>
        </is>
      </c>
      <c r="B8" s="143" t="n"/>
      <c r="C8" s="143" t="n"/>
      <c r="D8" s="143" t="n"/>
      <c r="E8" s="143" t="n"/>
      <c r="F8" s="143" t="n"/>
      <c r="G8" s="143" t="n"/>
      <c r="H8" s="143" t="n"/>
      <c r="I8" s="143" t="n"/>
      <c r="J8" s="143" t="n"/>
      <c r="K8" s="143" t="n"/>
      <c r="L8" s="143" t="n"/>
      <c r="M8" s="143" t="n"/>
      <c r="N8" s="143" t="n"/>
      <c r="O8" s="143" t="n"/>
      <c r="P8" s="143" t="n"/>
      <c r="Q8" s="144" t="n"/>
    </row>
    <row r="9">
      <c r="A9" s="18" t="n">
        <v>1</v>
      </c>
      <c r="B9" s="19" t="inlineStr">
        <is>
          <t xml:space="preserve">        Separador / Distanciador Plástico para Varilla de Columna 3cm</t>
        </is>
      </c>
      <c r="C9" s="20" t="inlineStr">
        <is>
          <t>Residencial / Comercial</t>
        </is>
      </c>
      <c r="D9" s="18" t="inlineStr">
        <is>
          <t>Distanciadores</t>
        </is>
      </c>
      <c r="E9" s="18" t="inlineStr">
        <is>
          <t>Caja 100u</t>
        </is>
      </c>
      <c r="F9" s="21" t="n">
        <v>4</v>
      </c>
      <c r="G9" s="22" t="n">
        <v>12.5</v>
      </c>
      <c r="H9" s="22" t="n">
        <v>13</v>
      </c>
      <c r="I9" s="18" t="inlineStr">
        <is>
          <t>Megametales</t>
        </is>
      </c>
      <c r="J9" s="22" t="n">
        <v>14.2</v>
      </c>
      <c r="K9" s="18" t="inlineStr">
        <is>
          <t>Ferrisariato</t>
        </is>
      </c>
      <c r="L9" s="8">
        <f>F9*G9</f>
        <v/>
      </c>
      <c r="M9" s="145" t="inlineStr">
        <is>
          <t>S-B10-ACC-SEP-030</t>
        </is>
      </c>
      <c r="N9" s="18" t="inlineStr">
        <is>
          <t>Estructuras</t>
        </is>
      </c>
      <c r="O9" s="18" t="inlineStr">
        <is>
          <t>Estimado · base original del usuario (sin cotización verificada)</t>
        </is>
      </c>
      <c r="P9" s="18" t="inlineStr">
        <is>
          <t>oct-2026 (est.)</t>
        </is>
      </c>
      <c r="Q9" s="18" t="n"/>
    </row>
    <row r="10">
      <c r="A10" s="99" t="n">
        <v>2</v>
      </c>
      <c r="B10" s="100" t="inlineStr">
        <is>
          <t xml:space="preserve">        Malla Electrosoldada 15x15cm 6mm (Panel 2.40x6.00m)</t>
        </is>
      </c>
      <c r="C10" s="101" t="inlineStr">
        <is>
          <t>Residencial / Comercial</t>
        </is>
      </c>
      <c r="D10" s="99" t="inlineStr">
        <is>
          <t>Mallas Electrosoldadas</t>
        </is>
      </c>
      <c r="E10" s="99" t="inlineStr">
        <is>
          <t>U</t>
        </is>
      </c>
      <c r="F10" s="102" t="n">
        <v>8</v>
      </c>
      <c r="G10" s="103" t="n">
        <v>28</v>
      </c>
      <c r="H10" s="103" t="n">
        <v>29.2</v>
      </c>
      <c r="I10" s="99" t="inlineStr">
        <is>
          <t>Megametales / Novacero</t>
        </is>
      </c>
      <c r="J10" s="103" t="n">
        <v>31</v>
      </c>
      <c r="K10" s="99" t="inlineStr">
        <is>
          <t>Ferrisariato</t>
        </is>
      </c>
      <c r="L10" s="104">
        <f>F10*G10</f>
        <v/>
      </c>
      <c r="M10" s="156" t="inlineStr">
        <is>
          <t>S-B10-ARM-MAL-R188</t>
        </is>
      </c>
      <c r="N10" s="99" t="inlineStr">
        <is>
          <t>Estructuras</t>
        </is>
      </c>
      <c r="O10" s="99" t="inlineStr">
        <is>
          <t>Estimado · base original del usuario (sin cotización verificada)</t>
        </is>
      </c>
      <c r="P10" s="99" t="inlineStr">
        <is>
          <t>oct-2026 (est.)</t>
        </is>
      </c>
      <c r="Q10" s="99" t="n">
        <v>5</v>
      </c>
    </row>
    <row r="11">
      <c r="A11" s="98" t="inlineStr">
        <is>
          <t xml:space="preserve">      • Subcategoría Especificada: Separadores por Recubrimiento y Mallas Electrosoldadas por Tipo</t>
        </is>
      </c>
      <c r="B11" s="143" t="n"/>
      <c r="C11" s="143" t="n"/>
      <c r="D11" s="143" t="n"/>
      <c r="E11" s="143" t="n"/>
      <c r="F11" s="143" t="n"/>
      <c r="G11" s="143" t="n"/>
      <c r="H11" s="143" t="n"/>
      <c r="I11" s="143" t="n"/>
      <c r="J11" s="143" t="n"/>
      <c r="K11" s="143" t="n"/>
      <c r="L11" s="143" t="n"/>
      <c r="M11" s="143" t="n"/>
      <c r="N11" s="143" t="n"/>
      <c r="O11" s="143" t="n"/>
      <c r="P11" s="143" t="n"/>
      <c r="Q11" s="144" t="n"/>
    </row>
    <row r="12">
      <c r="A12" s="18" t="n">
        <v>3</v>
      </c>
      <c r="B12" s="19" t="inlineStr">
        <is>
          <t xml:space="preserve">        Separador Plástico Tipo Silla/Rueda Recubrimiento 2 cm (Caja 100u)</t>
        </is>
      </c>
      <c r="C12" s="20" t="inlineStr">
        <is>
          <t>Residencial / Comercial</t>
        </is>
      </c>
      <c r="D12" s="18" t="inlineStr">
        <is>
          <t>Distanciadores</t>
        </is>
      </c>
      <c r="E12" s="18" t="inlineStr">
        <is>
          <t>Caja 100u</t>
        </is>
      </c>
      <c r="F12" s="21" t="n">
        <v>4</v>
      </c>
      <c r="G12" s="22" t="n">
        <v>9.5</v>
      </c>
      <c r="H12" s="22" t="n">
        <v>9.880000000000001</v>
      </c>
      <c r="I12" s="18" t="inlineStr">
        <is>
          <t>Megametales</t>
        </is>
      </c>
      <c r="J12" s="22" t="n">
        <v>10.26</v>
      </c>
      <c r="K12" s="18" t="inlineStr">
        <is>
          <t>Ferrisariato</t>
        </is>
      </c>
      <c r="L12" s="8">
        <f>F12*G12</f>
        <v/>
      </c>
      <c r="M12" s="145" t="inlineStr">
        <is>
          <t>S-B10-ACC-SEP-020</t>
        </is>
      </c>
      <c r="N12" s="18" t="inlineStr">
        <is>
          <t>Estructuras</t>
        </is>
      </c>
      <c r="O12" s="18" t="inlineStr">
        <is>
          <t>Estimado DION · criterio de mercado Guayaquil 2026 (no verificado en tienda)</t>
        </is>
      </c>
      <c r="P12" s="18" t="inlineStr">
        <is>
          <t>oct-2026 (est.)</t>
        </is>
      </c>
      <c r="Q12" s="18" t="n"/>
    </row>
    <row r="13">
      <c r="A13" s="99" t="n">
        <v>4</v>
      </c>
      <c r="B13" s="100" t="inlineStr">
        <is>
          <t xml:space="preserve">        Separador Plástico Tipo Silla/Rueda Recubrimiento 4 cm (Caja 100u)</t>
        </is>
      </c>
      <c r="C13" s="101" t="inlineStr">
        <is>
          <t>Residencial / Comercial</t>
        </is>
      </c>
      <c r="D13" s="99" t="inlineStr">
        <is>
          <t>Distanciadores</t>
        </is>
      </c>
      <c r="E13" s="99" t="inlineStr">
        <is>
          <t>Caja 100u</t>
        </is>
      </c>
      <c r="F13" s="102" t="n">
        <v>4</v>
      </c>
      <c r="G13" s="103" t="n">
        <v>14.5</v>
      </c>
      <c r="H13" s="103" t="n">
        <v>14.94</v>
      </c>
      <c r="I13" s="99" t="inlineStr">
        <is>
          <t>Megametales</t>
        </is>
      </c>
      <c r="J13" s="103" t="n">
        <v>16.1</v>
      </c>
      <c r="K13" s="99" t="inlineStr">
        <is>
          <t>Kywi / Megakywi</t>
        </is>
      </c>
      <c r="L13" s="104">
        <f>F13*G13</f>
        <v/>
      </c>
      <c r="M13" s="156" t="inlineStr">
        <is>
          <t>S-B10-ACC-SEP-040</t>
        </is>
      </c>
      <c r="N13" s="99" t="inlineStr">
        <is>
          <t>Estructuras</t>
        </is>
      </c>
      <c r="O13" s="99" t="inlineStr">
        <is>
          <t>Estimado DION · criterio de mercado Guayaquil 2026 (no verificado en tienda)</t>
        </is>
      </c>
      <c r="P13" s="99" t="inlineStr">
        <is>
          <t>oct-2026 (est.)</t>
        </is>
      </c>
      <c r="Q13" s="99" t="n"/>
    </row>
    <row r="14">
      <c r="A14" s="18" t="n">
        <v>5</v>
      </c>
      <c r="B14" s="19" t="inlineStr">
        <is>
          <t xml:space="preserve">        Separador Plástico Tipo Silla/Rueda Recubrimiento 5 cm (Caja 100u)</t>
        </is>
      </c>
      <c r="C14" s="20" t="inlineStr">
        <is>
          <t>Residencial / Comercial</t>
        </is>
      </c>
      <c r="D14" s="18" t="inlineStr">
        <is>
          <t>Distanciadores</t>
        </is>
      </c>
      <c r="E14" s="18" t="inlineStr">
        <is>
          <t>Caja 100u</t>
        </is>
      </c>
      <c r="F14" s="21" t="n">
        <v>4</v>
      </c>
      <c r="G14" s="22" t="n">
        <v>16.5</v>
      </c>
      <c r="H14" s="22" t="n">
        <v>16.83</v>
      </c>
      <c r="I14" s="18" t="inlineStr">
        <is>
          <t>Megametales</t>
        </is>
      </c>
      <c r="J14" s="22" t="n">
        <v>18.32</v>
      </c>
      <c r="K14" s="18" t="inlineStr">
        <is>
          <t>Ferrisariato</t>
        </is>
      </c>
      <c r="L14" s="8">
        <f>F14*G14</f>
        <v/>
      </c>
      <c r="M14" s="145" t="inlineStr">
        <is>
          <t>S-B10-ACC-SEP-050</t>
        </is>
      </c>
      <c r="N14" s="18" t="inlineStr">
        <is>
          <t>Estructuras</t>
        </is>
      </c>
      <c r="O14" s="18" t="inlineStr">
        <is>
          <t>Estimado DION · criterio de mercado Guayaquil 2026 (no verificado en tienda)</t>
        </is>
      </c>
      <c r="P14" s="18" t="inlineStr">
        <is>
          <t>oct-2026 (est.)</t>
        </is>
      </c>
      <c r="Q14" s="18" t="n"/>
    </row>
    <row r="15">
      <c r="A15" s="99" t="n">
        <v>6</v>
      </c>
      <c r="B15" s="100" t="inlineStr">
        <is>
          <t xml:space="preserve">        Separador Plástico Tipo Silla/Rueda Recubrimiento 7 cm (Caja 100u)</t>
        </is>
      </c>
      <c r="C15" s="101" t="inlineStr">
        <is>
          <t>Residencial / Comercial</t>
        </is>
      </c>
      <c r="D15" s="99" t="inlineStr">
        <is>
          <t>Distanciadores</t>
        </is>
      </c>
      <c r="E15" s="99" t="inlineStr">
        <is>
          <t>Caja 100u</t>
        </is>
      </c>
      <c r="F15" s="102" t="n">
        <v>4</v>
      </c>
      <c r="G15" s="103" t="n">
        <v>21</v>
      </c>
      <c r="H15" s="103" t="n">
        <v>21.84</v>
      </c>
      <c r="I15" s="99" t="inlineStr">
        <is>
          <t>Megametales</t>
        </is>
      </c>
      <c r="J15" s="103" t="n">
        <v>22.47</v>
      </c>
      <c r="K15" s="99" t="inlineStr">
        <is>
          <t>Kywi / Megakywi</t>
        </is>
      </c>
      <c r="L15" s="104">
        <f>F15*G15</f>
        <v/>
      </c>
      <c r="M15" s="156" t="inlineStr">
        <is>
          <t>S-B10-ACC-SEP-070</t>
        </is>
      </c>
      <c r="N15" s="99" t="inlineStr">
        <is>
          <t>Estructuras</t>
        </is>
      </c>
      <c r="O15" s="99" t="inlineStr">
        <is>
          <t>Estimado DION · criterio de mercado Guayaquil 2026 (no verificado en tienda)</t>
        </is>
      </c>
      <c r="P15" s="99" t="inlineStr">
        <is>
          <t>oct-2026 (est.)</t>
        </is>
      </c>
      <c r="Q15" s="99" t="n"/>
    </row>
    <row r="16">
      <c r="A16" s="18" t="n">
        <v>7</v>
      </c>
      <c r="B16" s="19" t="inlineStr">
        <is>
          <t xml:space="preserve">        Malla Electrosoldada R-84 Ø4mm@15 (Panel 2.40x6.25 m)</t>
        </is>
      </c>
      <c r="C16" s="20" t="inlineStr">
        <is>
          <t>Residencial / Comercial</t>
        </is>
      </c>
      <c r="D16" s="18" t="inlineStr">
        <is>
          <t>Mallas Electrosoldadas</t>
        </is>
      </c>
      <c r="E16" s="18" t="inlineStr">
        <is>
          <t>U</t>
        </is>
      </c>
      <c r="F16" s="21" t="n">
        <v>4</v>
      </c>
      <c r="G16" s="22" t="n">
        <v>18.5</v>
      </c>
      <c r="H16" s="22" t="n">
        <v>19.43</v>
      </c>
      <c r="I16" s="18" t="inlineStr">
        <is>
          <t>Megametales</t>
        </is>
      </c>
      <c r="J16" s="22" t="n">
        <v>20.35</v>
      </c>
      <c r="K16" s="18" t="inlineStr">
        <is>
          <t>Ferrisariato</t>
        </is>
      </c>
      <c r="L16" s="8">
        <f>F16*G16</f>
        <v/>
      </c>
      <c r="M16" s="145" t="inlineStr">
        <is>
          <t>S-B10-ARM-MAL-R84</t>
        </is>
      </c>
      <c r="N16" s="18" t="inlineStr">
        <is>
          <t>Estructuras</t>
        </is>
      </c>
      <c r="O16" s="18" t="inlineStr">
        <is>
          <t>Estimado DION · criterio de mercado Guayaquil 2026 (no verificado en tienda)</t>
        </is>
      </c>
      <c r="P16" s="18" t="inlineStr">
        <is>
          <t>oct-2026 (est.)</t>
        </is>
      </c>
      <c r="Q16" s="18" t="n">
        <v>5</v>
      </c>
    </row>
    <row r="17">
      <c r="A17" s="99" t="n">
        <v>8</v>
      </c>
      <c r="B17" s="100" t="inlineStr">
        <is>
          <t xml:space="preserve">        Malla Electrosoldada R-106 Ø4.5mm@15 (Panel 2.40x6.25 m)</t>
        </is>
      </c>
      <c r="C17" s="101" t="inlineStr">
        <is>
          <t>Residencial / Comercial</t>
        </is>
      </c>
      <c r="D17" s="99" t="inlineStr">
        <is>
          <t>Mallas Electrosoldadas</t>
        </is>
      </c>
      <c r="E17" s="99" t="inlineStr">
        <is>
          <t>U</t>
        </is>
      </c>
      <c r="F17" s="102" t="n">
        <v>4</v>
      </c>
      <c r="G17" s="103" t="n">
        <v>22.5</v>
      </c>
      <c r="H17" s="103" t="n">
        <v>23.4</v>
      </c>
      <c r="I17" s="99" t="inlineStr">
        <is>
          <t>Megametales</t>
        </is>
      </c>
      <c r="J17" s="103" t="n">
        <v>24.75</v>
      </c>
      <c r="K17" s="99" t="inlineStr">
        <is>
          <t>Kywi / Megakywi</t>
        </is>
      </c>
      <c r="L17" s="104">
        <f>F17*G17</f>
        <v/>
      </c>
      <c r="M17" s="156" t="inlineStr">
        <is>
          <t>S-B10-ARM-MAL-R106</t>
        </is>
      </c>
      <c r="N17" s="99" t="inlineStr">
        <is>
          <t>Estructuras</t>
        </is>
      </c>
      <c r="O17" s="99" t="inlineStr">
        <is>
          <t>Estimado DION · criterio de mercado Guayaquil 2026 (no verificado en tienda)</t>
        </is>
      </c>
      <c r="P17" s="99" t="inlineStr">
        <is>
          <t>oct-2026 (est.)</t>
        </is>
      </c>
      <c r="Q17" s="99" t="n">
        <v>5</v>
      </c>
    </row>
    <row r="18">
      <c r="A18" s="18" t="n">
        <v>9</v>
      </c>
      <c r="B18" s="19" t="inlineStr">
        <is>
          <t xml:space="preserve">        Malla Electrosoldada R-131 Ø5mm@15 (Panel 2.40x6.25 m)</t>
        </is>
      </c>
      <c r="C18" s="20" t="inlineStr">
        <is>
          <t>Residencial / Comercial</t>
        </is>
      </c>
      <c r="D18" s="18" t="inlineStr">
        <is>
          <t>Mallas Electrosoldadas</t>
        </is>
      </c>
      <c r="E18" s="18" t="inlineStr">
        <is>
          <t>U</t>
        </is>
      </c>
      <c r="F18" s="21" t="n">
        <v>4</v>
      </c>
      <c r="G18" s="22" t="n">
        <v>27</v>
      </c>
      <c r="H18" s="22" t="n">
        <v>27.54</v>
      </c>
      <c r="I18" s="18" t="inlineStr">
        <is>
          <t>Megametales</t>
        </is>
      </c>
      <c r="J18" s="22" t="n">
        <v>29.7</v>
      </c>
      <c r="K18" s="18" t="inlineStr">
        <is>
          <t>Ferrisariato</t>
        </is>
      </c>
      <c r="L18" s="8">
        <f>F18*G18</f>
        <v/>
      </c>
      <c r="M18" s="145" t="inlineStr">
        <is>
          <t>S-B10-ARM-MAL-R131</t>
        </is>
      </c>
      <c r="N18" s="18" t="inlineStr">
        <is>
          <t>Estructuras</t>
        </is>
      </c>
      <c r="O18" s="18" t="inlineStr">
        <is>
          <t>Estimado DION · criterio de mercado Guayaquil 2026 (no verificado en tienda)</t>
        </is>
      </c>
      <c r="P18" s="18" t="inlineStr">
        <is>
          <t>oct-2026 (est.)</t>
        </is>
      </c>
      <c r="Q18" s="18" t="n">
        <v>5</v>
      </c>
    </row>
    <row r="19">
      <c r="A19" s="99" t="n">
        <v>10</v>
      </c>
      <c r="B19" s="100" t="inlineStr">
        <is>
          <t xml:space="preserve">        Malla Electrosoldada R-158 Ø5.5mm@15 (Panel 2.40x6.25 m)</t>
        </is>
      </c>
      <c r="C19" s="101" t="inlineStr">
        <is>
          <t>Residencial / Comercial</t>
        </is>
      </c>
      <c r="D19" s="99" t="inlineStr">
        <is>
          <t>Mallas Electrosoldadas</t>
        </is>
      </c>
      <c r="E19" s="99" t="inlineStr">
        <is>
          <t>U</t>
        </is>
      </c>
      <c r="F19" s="102" t="n">
        <v>4</v>
      </c>
      <c r="G19" s="103" t="n">
        <v>32</v>
      </c>
      <c r="H19" s="103" t="n">
        <v>33.6</v>
      </c>
      <c r="I19" s="99" t="inlineStr">
        <is>
          <t>Megametales</t>
        </is>
      </c>
      <c r="J19" s="103" t="n">
        <v>34.88</v>
      </c>
      <c r="K19" s="99" t="inlineStr">
        <is>
          <t>Kywi / Megakywi</t>
        </is>
      </c>
      <c r="L19" s="104">
        <f>F19*G19</f>
        <v/>
      </c>
      <c r="M19" s="156" t="inlineStr">
        <is>
          <t>S-B10-ARM-MAL-R158</t>
        </is>
      </c>
      <c r="N19" s="99" t="inlineStr">
        <is>
          <t>Estructuras</t>
        </is>
      </c>
      <c r="O19" s="99" t="inlineStr">
        <is>
          <t>Estimado DION · criterio de mercado Guayaquil 2026 (no verificado en tienda)</t>
        </is>
      </c>
      <c r="P19" s="99" t="inlineStr">
        <is>
          <t>oct-2026 (est.)</t>
        </is>
      </c>
      <c r="Q19" s="99" t="n">
        <v>5</v>
      </c>
    </row>
    <row r="20">
      <c r="A20" s="18" t="n">
        <v>11</v>
      </c>
      <c r="B20" s="19" t="inlineStr">
        <is>
          <t xml:space="preserve">        Malla Electrosoldada R-196 Ø5mm@10 (Panel 2.40x6.25 m)</t>
        </is>
      </c>
      <c r="C20" s="20" t="inlineStr">
        <is>
          <t>Residencial / Comercial</t>
        </is>
      </c>
      <c r="D20" s="18" t="inlineStr">
        <is>
          <t>Mallas Electrosoldadas</t>
        </is>
      </c>
      <c r="E20" s="18" t="inlineStr">
        <is>
          <t>U</t>
        </is>
      </c>
      <c r="F20" s="21" t="n">
        <v>4</v>
      </c>
      <c r="G20" s="22" t="n">
        <v>40</v>
      </c>
      <c r="H20" s="22" t="n">
        <v>41.6</v>
      </c>
      <c r="I20" s="18" t="inlineStr">
        <is>
          <t>Megametales</t>
        </is>
      </c>
      <c r="J20" s="22" t="n">
        <v>42.8</v>
      </c>
      <c r="K20" s="18" t="inlineStr">
        <is>
          <t>Ferrisariato</t>
        </is>
      </c>
      <c r="L20" s="8">
        <f>F20*G20</f>
        <v/>
      </c>
      <c r="M20" s="145" t="inlineStr">
        <is>
          <t>S-B10-ARM-MAL-R196</t>
        </is>
      </c>
      <c r="N20" s="18" t="inlineStr">
        <is>
          <t>Estructuras</t>
        </is>
      </c>
      <c r="O20" s="18" t="inlineStr">
        <is>
          <t>Estimado DION · criterio de mercado Guayaquil 2026 (no verificado en tienda)</t>
        </is>
      </c>
      <c r="P20" s="18" t="inlineStr">
        <is>
          <t>oct-2026 (est.)</t>
        </is>
      </c>
      <c r="Q20" s="18" t="n">
        <v>5</v>
      </c>
    </row>
    <row r="21">
      <c r="A21" s="99" t="n">
        <v>12</v>
      </c>
      <c r="B21" s="100" t="inlineStr">
        <is>
          <t xml:space="preserve">        Malla Electrosoldada R-257 Ø7mm@15 (Panel 2.40x6.25 m)</t>
        </is>
      </c>
      <c r="C21" s="101" t="inlineStr">
        <is>
          <t>Residencial / Comercial</t>
        </is>
      </c>
      <c r="D21" s="99" t="inlineStr">
        <is>
          <t>Mallas Electrosoldadas</t>
        </is>
      </c>
      <c r="E21" s="99" t="inlineStr">
        <is>
          <t>U</t>
        </is>
      </c>
      <c r="F21" s="102" t="n">
        <v>4</v>
      </c>
      <c r="G21" s="103" t="n">
        <v>52</v>
      </c>
      <c r="H21" s="103" t="n">
        <v>53.56</v>
      </c>
      <c r="I21" s="99" t="inlineStr">
        <is>
          <t>Megametales</t>
        </is>
      </c>
      <c r="J21" s="103" t="n">
        <v>57.72</v>
      </c>
      <c r="K21" s="99" t="inlineStr">
        <is>
          <t>Kywi / Megakywi</t>
        </is>
      </c>
      <c r="L21" s="104">
        <f>F21*G21</f>
        <v/>
      </c>
      <c r="M21" s="156" t="inlineStr">
        <is>
          <t>S-B10-ARM-MAL-R257</t>
        </is>
      </c>
      <c r="N21" s="99" t="inlineStr">
        <is>
          <t>Estructuras</t>
        </is>
      </c>
      <c r="O21" s="99" t="inlineStr">
        <is>
          <t>Estimado DION · criterio de mercado Guayaquil 2026 (no verificado en tienda)</t>
        </is>
      </c>
      <c r="P21" s="99" t="inlineStr">
        <is>
          <t>oct-2026 (est.)</t>
        </is>
      </c>
      <c r="Q21" s="99" t="n">
        <v>5</v>
      </c>
    </row>
    <row r="22">
      <c r="A22" s="18" t="n">
        <v>13</v>
      </c>
      <c r="B22" s="19" t="inlineStr">
        <is>
          <t xml:space="preserve">        Malla Electrosoldada R-335 Ø8mm@15 (Panel 2.40x6.25 m)</t>
        </is>
      </c>
      <c r="C22" s="20" t="inlineStr">
        <is>
          <t>Residencial / Comercial</t>
        </is>
      </c>
      <c r="D22" s="18" t="inlineStr">
        <is>
          <t>Mallas Electrosoldadas</t>
        </is>
      </c>
      <c r="E22" s="18" t="inlineStr">
        <is>
          <t>U</t>
        </is>
      </c>
      <c r="F22" s="21" t="n">
        <v>4</v>
      </c>
      <c r="G22" s="22" t="n">
        <v>68</v>
      </c>
      <c r="H22" s="22" t="n">
        <v>70.72</v>
      </c>
      <c r="I22" s="18" t="inlineStr">
        <is>
          <t>Megametales</t>
        </is>
      </c>
      <c r="J22" s="22" t="n">
        <v>74.8</v>
      </c>
      <c r="K22" s="18" t="inlineStr">
        <is>
          <t>Ferrisariato</t>
        </is>
      </c>
      <c r="L22" s="8">
        <f>F22*G22</f>
        <v/>
      </c>
      <c r="M22" s="145" t="inlineStr">
        <is>
          <t>S-B10-ARM-MAL-R335</t>
        </is>
      </c>
      <c r="N22" s="18" t="inlineStr">
        <is>
          <t>Estructuras</t>
        </is>
      </c>
      <c r="O22" s="18" t="inlineStr">
        <is>
          <t>Estimado DION · criterio de mercado Guayaquil 2026 (no verificado en tienda)</t>
        </is>
      </c>
      <c r="P22" s="18" t="inlineStr">
        <is>
          <t>oct-2026 (est.)</t>
        </is>
      </c>
      <c r="Q22" s="18" t="n">
        <v>5</v>
      </c>
    </row>
    <row r="23">
      <c r="A23" s="99" t="n">
        <v>14</v>
      </c>
      <c r="B23" s="100" t="inlineStr">
        <is>
          <t xml:space="preserve">        Malla Hexagonal / Gallinero 1" (Rollo 30 m)</t>
        </is>
      </c>
      <c r="C23" s="101" t="inlineStr">
        <is>
          <t>Residencial / Comercial</t>
        </is>
      </c>
      <c r="D23" s="99" t="inlineStr">
        <is>
          <t>Mallas Livianas</t>
        </is>
      </c>
      <c r="E23" s="99" t="inlineStr">
        <is>
          <t>Rollo</t>
        </is>
      </c>
      <c r="F23" s="102" t="n">
        <v>1</v>
      </c>
      <c r="G23" s="103" t="n">
        <v>32</v>
      </c>
      <c r="H23" s="103" t="n">
        <v>32.64</v>
      </c>
      <c r="I23" s="99" t="inlineStr">
        <is>
          <t>Megametales</t>
        </is>
      </c>
      <c r="J23" s="103" t="n">
        <v>34.88</v>
      </c>
      <c r="K23" s="99" t="inlineStr">
        <is>
          <t>Kywi / Megakywi</t>
        </is>
      </c>
      <c r="L23" s="104">
        <f>F23*G23</f>
        <v/>
      </c>
      <c r="M23" s="156" t="inlineStr">
        <is>
          <t>S-B10-ACC-MHX-30M</t>
        </is>
      </c>
      <c r="N23" s="99" t="inlineStr">
        <is>
          <t>Estructuras</t>
        </is>
      </c>
      <c r="O23" s="99" t="inlineStr">
        <is>
          <t>Estimado DION · criterio de mercado Guayaquil 2026 (no verificado en tienda)</t>
        </is>
      </c>
      <c r="P23" s="99" t="inlineStr">
        <is>
          <t>oct-2026 (est.)</t>
        </is>
      </c>
      <c r="Q23" s="99" t="n"/>
    </row>
    <row r="24">
      <c r="A24" s="18" t="n">
        <v>15</v>
      </c>
      <c r="B24" s="19" t="inlineStr">
        <is>
          <t xml:space="preserve">        Fibra de Acero para Hormigón (kg)</t>
        </is>
      </c>
      <c r="C24" s="20" t="inlineStr">
        <is>
          <t>Comercial / Industrial</t>
        </is>
      </c>
      <c r="D24" s="18" t="inlineStr">
        <is>
          <t>Fibras</t>
        </is>
      </c>
      <c r="E24" s="18" t="inlineStr">
        <is>
          <t>kg</t>
        </is>
      </c>
      <c r="F24" s="21" t="n">
        <v>50</v>
      </c>
      <c r="G24" s="22" t="n">
        <v>2.4</v>
      </c>
      <c r="H24" s="22" t="n">
        <v>2.47</v>
      </c>
      <c r="I24" s="18" t="inlineStr">
        <is>
          <t>Megametales</t>
        </is>
      </c>
      <c r="J24" s="22" t="n">
        <v>2.64</v>
      </c>
      <c r="K24" s="18" t="inlineStr">
        <is>
          <t>Ferrisariato</t>
        </is>
      </c>
      <c r="L24" s="8">
        <f>F24*G24</f>
        <v/>
      </c>
      <c r="M24" s="145" t="inlineStr">
        <is>
          <t>S-B10-ARM-FIB-ACE</t>
        </is>
      </c>
      <c r="N24" s="18" t="inlineStr">
        <is>
          <t>Estructuras</t>
        </is>
      </c>
      <c r="O24" s="18" t="inlineStr">
        <is>
          <t>Estimado DION · criterio de mercado Guayaquil 2026 (no verificado en tienda)</t>
        </is>
      </c>
      <c r="P24" s="18" t="inlineStr">
        <is>
          <t>oct-2026 (est.)</t>
        </is>
      </c>
      <c r="Q24" s="18" t="n"/>
    </row>
    <row r="25">
      <c r="A25" s="99" t="n">
        <v>16</v>
      </c>
      <c r="B25" s="100" t="inlineStr">
        <is>
          <t xml:space="preserve">        Fibra de Polipropileno Microfibra (Funda 600 g)</t>
        </is>
      </c>
      <c r="C25" s="101" t="inlineStr">
        <is>
          <t>Residencial / Comercial</t>
        </is>
      </c>
      <c r="D25" s="99" t="inlineStr">
        <is>
          <t>Fibras</t>
        </is>
      </c>
      <c r="E25" s="99" t="inlineStr">
        <is>
          <t>Funda</t>
        </is>
      </c>
      <c r="F25" s="102" t="n">
        <v>10</v>
      </c>
      <c r="G25" s="103" t="n">
        <v>6.5</v>
      </c>
      <c r="H25" s="103" t="n">
        <v>6.76</v>
      </c>
      <c r="I25" s="99" t="inlineStr">
        <is>
          <t>Megametales</t>
        </is>
      </c>
      <c r="J25" s="103" t="n">
        <v>7.02</v>
      </c>
      <c r="K25" s="99" t="inlineStr">
        <is>
          <t>Kywi / Megakywi</t>
        </is>
      </c>
      <c r="L25" s="104">
        <f>F25*G25</f>
        <v/>
      </c>
      <c r="M25" s="156" t="inlineStr">
        <is>
          <t>S-B10-ACC-FIB-PP</t>
        </is>
      </c>
      <c r="N25" s="99" t="inlineStr">
        <is>
          <t>Estructuras</t>
        </is>
      </c>
      <c r="O25" s="99" t="inlineStr">
        <is>
          <t>Estimado DION · criterio de mercado Guayaquil 2026 (no verificado en tienda)</t>
        </is>
      </c>
      <c r="P25" s="99" t="inlineStr">
        <is>
          <t>oct-2026 (est.)</t>
        </is>
      </c>
      <c r="Q25" s="99" t="n"/>
    </row>
    <row r="26">
      <c r="A26" s="96" t="inlineStr">
        <is>
          <t>TUBERÍAS</t>
        </is>
      </c>
      <c r="B26" s="143" t="n"/>
      <c r="C26" s="143" t="n"/>
      <c r="D26" s="143" t="n"/>
      <c r="E26" s="143" t="n"/>
      <c r="F26" s="143" t="n"/>
      <c r="G26" s="143" t="n"/>
      <c r="H26" s="143" t="n"/>
      <c r="I26" s="143" t="n"/>
      <c r="J26" s="143" t="n"/>
      <c r="K26" s="143" t="n"/>
      <c r="L26" s="143" t="n"/>
      <c r="M26" s="143" t="n"/>
      <c r="N26" s="143" t="n"/>
      <c r="O26" s="143" t="n"/>
      <c r="P26" s="143" t="n"/>
      <c r="Q26" s="144" t="n"/>
    </row>
    <row r="27">
      <c r="A27" s="97" t="inlineStr">
        <is>
          <t xml:space="preserve">  ► CATEGORÍA: PASES DE TUBERÍA Y ENCOFRADOS PÉRDIDOS</t>
        </is>
      </c>
      <c r="B27" s="143" t="n"/>
      <c r="C27" s="143" t="n"/>
      <c r="D27" s="143" t="n"/>
      <c r="E27" s="143" t="n"/>
      <c r="F27" s="143" t="n"/>
      <c r="G27" s="143" t="n"/>
      <c r="H27" s="143" t="n"/>
      <c r="I27" s="143" t="n"/>
      <c r="J27" s="143" t="n"/>
      <c r="K27" s="143" t="n"/>
      <c r="L27" s="143" t="n"/>
      <c r="M27" s="143" t="n"/>
      <c r="N27" s="143" t="n"/>
      <c r="O27" s="143" t="n"/>
      <c r="P27" s="143" t="n"/>
      <c r="Q27" s="144" t="n"/>
    </row>
    <row r="28">
      <c r="A28" s="98" t="inlineStr">
        <is>
          <t xml:space="preserve">      • Subcategoría Especificada: Pases Estructurales</t>
        </is>
      </c>
      <c r="B28" s="143" t="n"/>
      <c r="C28" s="143" t="n"/>
      <c r="D28" s="143" t="n"/>
      <c r="E28" s="143" t="n"/>
      <c r="F28" s="143" t="n"/>
      <c r="G28" s="143" t="n"/>
      <c r="H28" s="143" t="n"/>
      <c r="I28" s="143" t="n"/>
      <c r="J28" s="143" t="n"/>
      <c r="K28" s="143" t="n"/>
      <c r="L28" s="143" t="n"/>
      <c r="M28" s="143" t="n"/>
      <c r="N28" s="143" t="n"/>
      <c r="O28" s="143" t="n"/>
      <c r="P28" s="143" t="n"/>
      <c r="Q28" s="144" t="n"/>
    </row>
    <row r="29">
      <c r="A29" s="18" t="n">
        <v>17</v>
      </c>
      <c r="B29" s="19" t="inlineStr">
        <is>
          <t xml:space="preserve">        Tubo PVC Pase Estructural para Losa 110mm / 4" (6m)</t>
        </is>
      </c>
      <c r="C29" s="20" t="inlineStr">
        <is>
          <t>Residencial / Comercial</t>
        </is>
      </c>
      <c r="D29" s="18" t="inlineStr">
        <is>
          <t>Pases PVC Losa</t>
        </is>
      </c>
      <c r="E29" s="18" t="inlineStr">
        <is>
          <t>U</t>
        </is>
      </c>
      <c r="F29" s="21" t="n">
        <v>6</v>
      </c>
      <c r="G29" s="22" t="n">
        <v>18.5</v>
      </c>
      <c r="H29" s="22" t="n">
        <v>18.9</v>
      </c>
      <c r="I29" s="18" t="inlineStr">
        <is>
          <t>Megametales</t>
        </is>
      </c>
      <c r="J29" s="22" t="n">
        <v>19.8</v>
      </c>
      <c r="K29" s="18" t="inlineStr">
        <is>
          <t>Ferrisariato</t>
        </is>
      </c>
      <c r="L29" s="8">
        <f>F29*G29</f>
        <v/>
      </c>
      <c r="M29" s="145" t="inlineStr">
        <is>
          <t>S-B10-ACC-PAS-110</t>
        </is>
      </c>
      <c r="N29" s="18" t="inlineStr">
        <is>
          <t>Estructuras</t>
        </is>
      </c>
      <c r="O29" s="18" t="inlineStr">
        <is>
          <t>Estimado · base original del usuario (sin cotización verificada)</t>
        </is>
      </c>
      <c r="P29" s="18" t="inlineStr">
        <is>
          <t>oct-2026 (est.)</t>
        </is>
      </c>
      <c r="Q29" s="18" t="n"/>
    </row>
    <row r="30">
      <c r="A30" s="98" t="inlineStr">
        <is>
          <t xml:space="preserve">      • Subcategoría Especificada: Pases, Encofrados y Apuntalamiento</t>
        </is>
      </c>
      <c r="B30" s="143" t="n"/>
      <c r="C30" s="143" t="n"/>
      <c r="D30" s="143" t="n"/>
      <c r="E30" s="143" t="n"/>
      <c r="F30" s="143" t="n"/>
      <c r="G30" s="143" t="n"/>
      <c r="H30" s="143" t="n"/>
      <c r="I30" s="143" t="n"/>
      <c r="J30" s="143" t="n"/>
      <c r="K30" s="143" t="n"/>
      <c r="L30" s="143" t="n"/>
      <c r="M30" s="143" t="n"/>
      <c r="N30" s="143" t="n"/>
      <c r="O30" s="143" t="n"/>
      <c r="P30" s="143" t="n"/>
      <c r="Q30" s="144" t="n"/>
    </row>
    <row r="31">
      <c r="A31" s="99" t="n">
        <v>18</v>
      </c>
      <c r="B31" s="100" t="inlineStr">
        <is>
          <t xml:space="preserve">        Tubo PVC Pase en Viga/Losa Ø50 mm (Tramo 1 m)</t>
        </is>
      </c>
      <c r="C31" s="101" t="inlineStr">
        <is>
          <t>Residencial / Comercial</t>
        </is>
      </c>
      <c r="D31" s="99" t="inlineStr">
        <is>
          <t>Pases PVC</t>
        </is>
      </c>
      <c r="E31" s="99" t="inlineStr">
        <is>
          <t>U</t>
        </is>
      </c>
      <c r="F31" s="102" t="n">
        <v>10</v>
      </c>
      <c r="G31" s="103" t="n">
        <v>1.8</v>
      </c>
      <c r="H31" s="103" t="n">
        <v>1.89</v>
      </c>
      <c r="I31" s="99" t="inlineStr">
        <is>
          <t>Megametales</t>
        </is>
      </c>
      <c r="J31" s="103" t="n">
        <v>2</v>
      </c>
      <c r="K31" s="99" t="inlineStr">
        <is>
          <t>Kywi / Megakywi</t>
        </is>
      </c>
      <c r="L31" s="104">
        <f>F31*G31</f>
        <v/>
      </c>
      <c r="M31" s="156" t="inlineStr">
        <is>
          <t>S-B10-ACC-PAS-050</t>
        </is>
      </c>
      <c r="N31" s="99" t="inlineStr">
        <is>
          <t>Estructuras</t>
        </is>
      </c>
      <c r="O31" s="99" t="inlineStr">
        <is>
          <t>Estimado DION · criterio de mercado Guayaquil 2026 (no verificado en tienda)</t>
        </is>
      </c>
      <c r="P31" s="99" t="inlineStr">
        <is>
          <t>oct-2026 (est.)</t>
        </is>
      </c>
      <c r="Q31" s="99" t="n"/>
    </row>
    <row r="32">
      <c r="A32" s="18" t="n">
        <v>19</v>
      </c>
      <c r="B32" s="19" t="inlineStr">
        <is>
          <t xml:space="preserve">        Tubo PVC Pase en Viga/Losa Ø75 mm (Tramo 1 m)</t>
        </is>
      </c>
      <c r="C32" s="20" t="inlineStr">
        <is>
          <t>Residencial / Comercial</t>
        </is>
      </c>
      <c r="D32" s="18" t="inlineStr">
        <is>
          <t>Pases PVC</t>
        </is>
      </c>
      <c r="E32" s="18" t="inlineStr">
        <is>
          <t>U</t>
        </is>
      </c>
      <c r="F32" s="21" t="n">
        <v>10</v>
      </c>
      <c r="G32" s="22" t="n">
        <v>2.6</v>
      </c>
      <c r="H32" s="22" t="n">
        <v>2.7</v>
      </c>
      <c r="I32" s="18" t="inlineStr">
        <is>
          <t>Megametales</t>
        </is>
      </c>
      <c r="J32" s="22" t="n">
        <v>2.89</v>
      </c>
      <c r="K32" s="18" t="inlineStr">
        <is>
          <t>Ferrisariato</t>
        </is>
      </c>
      <c r="L32" s="8">
        <f>F32*G32</f>
        <v/>
      </c>
      <c r="M32" s="145" t="inlineStr">
        <is>
          <t>S-B10-ACC-PAS-075</t>
        </is>
      </c>
      <c r="N32" s="18" t="inlineStr">
        <is>
          <t>Estructuras</t>
        </is>
      </c>
      <c r="O32" s="18" t="inlineStr">
        <is>
          <t>Estimado DION · criterio de mercado Guayaquil 2026 (no verificado en tienda)</t>
        </is>
      </c>
      <c r="P32" s="18" t="inlineStr">
        <is>
          <t>oct-2026 (est.)</t>
        </is>
      </c>
      <c r="Q32" s="18" t="n"/>
    </row>
    <row r="33">
      <c r="A33" s="99" t="n">
        <v>20</v>
      </c>
      <c r="B33" s="100" t="inlineStr">
        <is>
          <t xml:space="preserve">        Tubo PVC Pase en Viga/Losa Ø160 mm (Tramo 1 m)</t>
        </is>
      </c>
      <c r="C33" s="101" t="inlineStr">
        <is>
          <t>Residencial / Comercial</t>
        </is>
      </c>
      <c r="D33" s="99" t="inlineStr">
        <is>
          <t>Pases PVC</t>
        </is>
      </c>
      <c r="E33" s="99" t="inlineStr">
        <is>
          <t>U</t>
        </is>
      </c>
      <c r="F33" s="102" t="n">
        <v>10</v>
      </c>
      <c r="G33" s="103" t="n">
        <v>8.5</v>
      </c>
      <c r="H33" s="103" t="n">
        <v>8.76</v>
      </c>
      <c r="I33" s="99" t="inlineStr">
        <is>
          <t>Megametales</t>
        </is>
      </c>
      <c r="J33" s="103" t="n">
        <v>9.18</v>
      </c>
      <c r="K33" s="99" t="inlineStr">
        <is>
          <t>Kywi / Megakywi</t>
        </is>
      </c>
      <c r="L33" s="104">
        <f>F33*G33</f>
        <v/>
      </c>
      <c r="M33" s="156" t="inlineStr">
        <is>
          <t>S-B10-ACC-PAS-160</t>
        </is>
      </c>
      <c r="N33" s="99" t="inlineStr">
        <is>
          <t>Estructuras</t>
        </is>
      </c>
      <c r="O33" s="99" t="inlineStr">
        <is>
          <t>Estimado DION · criterio de mercado Guayaquil 2026 (no verificado en tienda)</t>
        </is>
      </c>
      <c r="P33" s="99" t="inlineStr">
        <is>
          <t>oct-2026 (est.)</t>
        </is>
      </c>
      <c r="Q33" s="99" t="n"/>
    </row>
    <row r="34">
      <c r="A34" s="18" t="n">
        <v>21</v>
      </c>
      <c r="B34" s="19" t="inlineStr">
        <is>
          <t xml:space="preserve">        Tablero Contrachapado Encofrado 15 mm 1.22x2.44 m (Fenólico)</t>
        </is>
      </c>
      <c r="C34" s="20" t="inlineStr">
        <is>
          <t>Residencial / Comercial</t>
        </is>
      </c>
      <c r="D34" s="18" t="inlineStr">
        <is>
          <t>Encofrados</t>
        </is>
      </c>
      <c r="E34" s="18" t="inlineStr">
        <is>
          <t>U</t>
        </is>
      </c>
      <c r="F34" s="21" t="n">
        <v>20</v>
      </c>
      <c r="G34" s="22" t="n">
        <v>38</v>
      </c>
      <c r="H34" s="22" t="n">
        <v>39.14</v>
      </c>
      <c r="I34" s="18" t="inlineStr">
        <is>
          <t>Megametales</t>
        </is>
      </c>
      <c r="J34" s="22" t="n">
        <v>40.66</v>
      </c>
      <c r="K34" s="18" t="inlineStr">
        <is>
          <t>Ferrisariato</t>
        </is>
      </c>
      <c r="L34" s="8">
        <f>F34*G34</f>
        <v/>
      </c>
      <c r="M34" s="145" t="inlineStr">
        <is>
          <t>S-B10-ENC-TRI-015</t>
        </is>
      </c>
      <c r="N34" s="18" t="inlineStr">
        <is>
          <t>Estructuras</t>
        </is>
      </c>
      <c r="O34" s="18" t="inlineStr">
        <is>
          <t>Estimado DION · criterio de mercado Guayaquil 2026 (no verificado en tienda)</t>
        </is>
      </c>
      <c r="P34" s="18" t="inlineStr">
        <is>
          <t>oct-2026 (est.)</t>
        </is>
      </c>
      <c r="Q34" s="18" t="n">
        <v>15</v>
      </c>
    </row>
    <row r="35">
      <c r="A35" s="99" t="n">
        <v>22</v>
      </c>
      <c r="B35" s="100" t="inlineStr">
        <is>
          <t xml:space="preserve">        Tabla de Encofrado Semidura 30 cm x 2.40 m</t>
        </is>
      </c>
      <c r="C35" s="101" t="inlineStr">
        <is>
          <t>Residencial / Comercial</t>
        </is>
      </c>
      <c r="D35" s="99" t="inlineStr">
        <is>
          <t>Encofrados</t>
        </is>
      </c>
      <c r="E35" s="99" t="inlineStr">
        <is>
          <t>U</t>
        </is>
      </c>
      <c r="F35" s="102" t="n">
        <v>40</v>
      </c>
      <c r="G35" s="103" t="n">
        <v>3.6</v>
      </c>
      <c r="H35" s="103" t="n">
        <v>3.74</v>
      </c>
      <c r="I35" s="99" t="inlineStr">
        <is>
          <t>Megametales</t>
        </is>
      </c>
      <c r="J35" s="103" t="n">
        <v>3.89</v>
      </c>
      <c r="K35" s="99" t="inlineStr">
        <is>
          <t>Kywi / Megakywi</t>
        </is>
      </c>
      <c r="L35" s="104">
        <f>F35*G35</f>
        <v/>
      </c>
      <c r="M35" s="156" t="inlineStr">
        <is>
          <t>S-B10-ENC-TAB-030</t>
        </is>
      </c>
      <c r="N35" s="99" t="inlineStr">
        <is>
          <t>Estructuras</t>
        </is>
      </c>
      <c r="O35" s="99" t="inlineStr">
        <is>
          <t>Estimado DION · criterio de mercado Guayaquil 2026 (no verificado en tienda)</t>
        </is>
      </c>
      <c r="P35" s="99" t="inlineStr">
        <is>
          <t>oct-2026 (est.)</t>
        </is>
      </c>
      <c r="Q35" s="99" t="n">
        <v>20</v>
      </c>
    </row>
    <row r="36">
      <c r="A36" s="18" t="n">
        <v>23</v>
      </c>
      <c r="B36" s="19" t="inlineStr">
        <is>
          <t xml:space="preserve">        Cuartón de Encofrado 4x5 cm x 2.40 m</t>
        </is>
      </c>
      <c r="C36" s="20" t="inlineStr">
        <is>
          <t>Residencial / Comercial</t>
        </is>
      </c>
      <c r="D36" s="18" t="inlineStr">
        <is>
          <t>Encofrados</t>
        </is>
      </c>
      <c r="E36" s="18" t="inlineStr">
        <is>
          <t>U</t>
        </is>
      </c>
      <c r="F36" s="21" t="n">
        <v>40</v>
      </c>
      <c r="G36" s="22" t="n">
        <v>1.9</v>
      </c>
      <c r="H36" s="22" t="n">
        <v>1.94</v>
      </c>
      <c r="I36" s="18" t="inlineStr">
        <is>
          <t>Megametales</t>
        </is>
      </c>
      <c r="J36" s="22" t="n">
        <v>2.11</v>
      </c>
      <c r="K36" s="18" t="inlineStr">
        <is>
          <t>Ferrisariato</t>
        </is>
      </c>
      <c r="L36" s="8">
        <f>F36*G36</f>
        <v/>
      </c>
      <c r="M36" s="145" t="inlineStr">
        <is>
          <t>S-B10-ENC-CUA-4X5</t>
        </is>
      </c>
      <c r="N36" s="18" t="inlineStr">
        <is>
          <t>Estructuras</t>
        </is>
      </c>
      <c r="O36" s="18" t="inlineStr">
        <is>
          <t>Estimado DION · criterio de mercado Guayaquil 2026 (no verificado en tienda)</t>
        </is>
      </c>
      <c r="P36" s="18" t="inlineStr">
        <is>
          <t>oct-2026 (est.)</t>
        </is>
      </c>
      <c r="Q36" s="18" t="n">
        <v>15</v>
      </c>
    </row>
    <row r="37">
      <c r="A37" s="99" t="n">
        <v>24</v>
      </c>
      <c r="B37" s="100" t="inlineStr">
        <is>
          <t xml:space="preserve">        Puntal Metálico Telescópico 2.0–3.5 m</t>
        </is>
      </c>
      <c r="C37" s="101" t="inlineStr">
        <is>
          <t>Residencial / Comercial</t>
        </is>
      </c>
      <c r="D37" s="99" t="inlineStr">
        <is>
          <t>Puntales</t>
        </is>
      </c>
      <c r="E37" s="99" t="inlineStr">
        <is>
          <t>U</t>
        </is>
      </c>
      <c r="F37" s="102" t="n">
        <v>30</v>
      </c>
      <c r="G37" s="103" t="n">
        <v>24</v>
      </c>
      <c r="H37" s="103" t="n">
        <v>24.48</v>
      </c>
      <c r="I37" s="99" t="inlineStr">
        <is>
          <t>Megametales</t>
        </is>
      </c>
      <c r="J37" s="103" t="n">
        <v>26.64</v>
      </c>
      <c r="K37" s="99" t="inlineStr">
        <is>
          <t>Kywi / Megakywi</t>
        </is>
      </c>
      <c r="L37" s="104">
        <f>F37*G37</f>
        <v/>
      </c>
      <c r="M37" s="156" t="inlineStr">
        <is>
          <t>S-B10-ENC-PUN-350</t>
        </is>
      </c>
      <c r="N37" s="99" t="inlineStr">
        <is>
          <t>Estructuras</t>
        </is>
      </c>
      <c r="O37" s="99" t="inlineStr">
        <is>
          <t>Estimado DION · criterio de mercado Guayaquil 2026 (no verificado en tienda)</t>
        </is>
      </c>
      <c r="P37" s="99" t="inlineStr">
        <is>
          <t>oct-2026 (est.)</t>
        </is>
      </c>
      <c r="Q37" s="99" t="n"/>
    </row>
    <row r="38">
      <c r="A38" s="18" t="n">
        <v>25</v>
      </c>
      <c r="B38" s="19" t="inlineStr">
        <is>
          <t xml:space="preserve">        Puntal de Caña Guadúa 3 m</t>
        </is>
      </c>
      <c r="C38" s="20" t="inlineStr">
        <is>
          <t>Residencial / Comercial</t>
        </is>
      </c>
      <c r="D38" s="18" t="inlineStr">
        <is>
          <t>Puntales</t>
        </is>
      </c>
      <c r="E38" s="18" t="inlineStr">
        <is>
          <t>U</t>
        </is>
      </c>
      <c r="F38" s="21" t="n">
        <v>40</v>
      </c>
      <c r="G38" s="22" t="n">
        <v>2.8</v>
      </c>
      <c r="H38" s="22" t="n">
        <v>2.94</v>
      </c>
      <c r="I38" s="18" t="inlineStr">
        <is>
          <t>Megametales</t>
        </is>
      </c>
      <c r="J38" s="22" t="n">
        <v>3.02</v>
      </c>
      <c r="K38" s="18" t="inlineStr">
        <is>
          <t>Ferrisariato</t>
        </is>
      </c>
      <c r="L38" s="8">
        <f>F38*G38</f>
        <v/>
      </c>
      <c r="M38" s="145" t="inlineStr">
        <is>
          <t>S-B10-ENC-PUN-GUA</t>
        </is>
      </c>
      <c r="N38" s="18" t="inlineStr">
        <is>
          <t>Estructuras</t>
        </is>
      </c>
      <c r="O38" s="18" t="inlineStr">
        <is>
          <t>Estimado DION · criterio de mercado Guayaquil 2026 (no verificado en tienda)</t>
        </is>
      </c>
      <c r="P38" s="18" t="inlineStr">
        <is>
          <t>oct-2026 (est.)</t>
        </is>
      </c>
      <c r="Q38" s="18" t="n">
        <v>10</v>
      </c>
    </row>
    <row r="39">
      <c r="A39" s="99" t="n">
        <v>26</v>
      </c>
      <c r="B39" s="100" t="inlineStr">
        <is>
          <t xml:space="preserve">        Encofrado Metálico Modular para Columna (m²)</t>
        </is>
      </c>
      <c r="C39" s="101" t="inlineStr">
        <is>
          <t>Comercial / Industrial</t>
        </is>
      </c>
      <c r="D39" s="99" t="inlineStr">
        <is>
          <t>Encofrados Metálicos</t>
        </is>
      </c>
      <c r="E39" s="99" t="inlineStr">
        <is>
          <t>m2</t>
        </is>
      </c>
      <c r="F39" s="102" t="n">
        <v>20</v>
      </c>
      <c r="G39" s="103" t="n">
        <v>85</v>
      </c>
      <c r="H39" s="103" t="n">
        <v>89.25</v>
      </c>
      <c r="I39" s="99" t="inlineStr">
        <is>
          <t>Megametales</t>
        </is>
      </c>
      <c r="J39" s="103" t="n">
        <v>91.8</v>
      </c>
      <c r="K39" s="99" t="inlineStr">
        <is>
          <t>Kywi / Megakywi</t>
        </is>
      </c>
      <c r="L39" s="104">
        <f>F39*G39</f>
        <v/>
      </c>
      <c r="M39" s="156" t="inlineStr">
        <is>
          <t>S-B10-ENC-MET-COL</t>
        </is>
      </c>
      <c r="N39" s="99" t="inlineStr">
        <is>
          <t>Estructuras</t>
        </is>
      </c>
      <c r="O39" s="99" t="inlineStr">
        <is>
          <t>Estimado DION · criterio de mercado Guayaquil 2026 (no verificado en tienda)</t>
        </is>
      </c>
      <c r="P39" s="99" t="inlineStr">
        <is>
          <t>oct-2026 (est.)</t>
        </is>
      </c>
      <c r="Q39" s="99" t="n"/>
    </row>
    <row r="40">
      <c r="A40" s="18" t="n">
        <v>27</v>
      </c>
      <c r="B40" s="19" t="inlineStr">
        <is>
          <t xml:space="preserve">        Bloque Alivianado Losa 40x20x15 cm (Encofrado Perdido)</t>
        </is>
      </c>
      <c r="C40" s="20" t="inlineStr">
        <is>
          <t>Residencial / Comercial</t>
        </is>
      </c>
      <c r="D40" s="18" t="inlineStr">
        <is>
          <t>Alivianamientos</t>
        </is>
      </c>
      <c r="E40" s="18" t="inlineStr">
        <is>
          <t>U</t>
        </is>
      </c>
      <c r="F40" s="21" t="n">
        <v>500</v>
      </c>
      <c r="G40" s="22" t="n">
        <v>0.46</v>
      </c>
      <c r="H40" s="22" t="n">
        <v>0.47</v>
      </c>
      <c r="I40" s="18" t="inlineStr">
        <is>
          <t>Megametales</t>
        </is>
      </c>
      <c r="J40" s="22" t="n">
        <v>0.49</v>
      </c>
      <c r="K40" s="18" t="inlineStr">
        <is>
          <t>Ferrisariato</t>
        </is>
      </c>
      <c r="L40" s="8">
        <f>F40*G40</f>
        <v/>
      </c>
      <c r="M40" s="145" t="inlineStr">
        <is>
          <t>S-B10-ENC-ALI-150</t>
        </is>
      </c>
      <c r="N40" s="18" t="inlineStr">
        <is>
          <t>Estructuras</t>
        </is>
      </c>
      <c r="O40" s="18" t="inlineStr">
        <is>
          <t>Estimado DION · criterio de mercado Guayaquil 2026 (no verificado en tienda)</t>
        </is>
      </c>
      <c r="P40" s="18" t="inlineStr">
        <is>
          <t>oct-2026 (est.)</t>
        </is>
      </c>
      <c r="Q40" s="18" t="n">
        <v>5</v>
      </c>
    </row>
    <row r="41">
      <c r="A41" s="99" t="n">
        <v>28</v>
      </c>
      <c r="B41" s="100" t="inlineStr">
        <is>
          <t xml:space="preserve">        Casetón Poliestireno EPS 40x40x20 cm</t>
        </is>
      </c>
      <c r="C41" s="101" t="inlineStr">
        <is>
          <t>Residencial / Comercial</t>
        </is>
      </c>
      <c r="D41" s="99" t="inlineStr">
        <is>
          <t>Alivianamientos</t>
        </is>
      </c>
      <c r="E41" s="99" t="inlineStr">
        <is>
          <t>U</t>
        </is>
      </c>
      <c r="F41" s="102" t="n">
        <v>100</v>
      </c>
      <c r="G41" s="103" t="n">
        <v>1.35</v>
      </c>
      <c r="H41" s="103" t="n">
        <v>1.4</v>
      </c>
      <c r="I41" s="99" t="inlineStr">
        <is>
          <t>Megametales</t>
        </is>
      </c>
      <c r="J41" s="103" t="n">
        <v>1.5</v>
      </c>
      <c r="K41" s="99" t="inlineStr">
        <is>
          <t>Kywi / Megakywi</t>
        </is>
      </c>
      <c r="L41" s="104">
        <f>F41*G41</f>
        <v/>
      </c>
      <c r="M41" s="156" t="inlineStr">
        <is>
          <t>S-B10-ENC-EPS-200</t>
        </is>
      </c>
      <c r="N41" s="99" t="inlineStr">
        <is>
          <t>Estructuras</t>
        </is>
      </c>
      <c r="O41" s="99" t="inlineStr">
        <is>
          <t>Estimado DION · criterio de mercado Guayaquil 2026 (no verificado en tienda)</t>
        </is>
      </c>
      <c r="P41" s="99" t="inlineStr">
        <is>
          <t>oct-2026 (est.)</t>
        </is>
      </c>
      <c r="Q41" s="99" t="n">
        <v>5</v>
      </c>
    </row>
    <row r="42">
      <c r="A42" s="18" t="n">
        <v>29</v>
      </c>
      <c r="B42" s="19" t="inlineStr">
        <is>
          <t xml:space="preserve">        Desmoldante para Encofrado (Caneca 20 L)</t>
        </is>
      </c>
      <c r="C42" s="20" t="inlineStr">
        <is>
          <t>Residencial / Comercial</t>
        </is>
      </c>
      <c r="D42" s="18" t="inlineStr">
        <is>
          <t>Desmoldantes</t>
        </is>
      </c>
      <c r="E42" s="18" t="inlineStr">
        <is>
          <t>Caneca</t>
        </is>
      </c>
      <c r="F42" s="21" t="n">
        <v>1</v>
      </c>
      <c r="G42" s="22" t="n">
        <v>48</v>
      </c>
      <c r="H42" s="22" t="n">
        <v>48.96</v>
      </c>
      <c r="I42" s="18" t="inlineStr">
        <is>
          <t>Megametales</t>
        </is>
      </c>
      <c r="J42" s="22" t="n">
        <v>51.36</v>
      </c>
      <c r="K42" s="18" t="inlineStr">
        <is>
          <t>Ferrisariato</t>
        </is>
      </c>
      <c r="L42" s="8">
        <f>F42*G42</f>
        <v/>
      </c>
      <c r="M42" s="145" t="inlineStr">
        <is>
          <t>S-B10-ENC-DES-20L</t>
        </is>
      </c>
      <c r="N42" s="18" t="inlineStr">
        <is>
          <t>Estructuras</t>
        </is>
      </c>
      <c r="O42" s="18" t="inlineStr">
        <is>
          <t>Estimado DION · criterio de mercado Guayaquil 2026 (no verificado en tienda)</t>
        </is>
      </c>
      <c r="P42" s="18" t="inlineStr">
        <is>
          <t>oct-2026 (est.)</t>
        </is>
      </c>
      <c r="Q42" s="18" t="n"/>
    </row>
    <row r="43">
      <c r="A43" s="99" t="n">
        <v>30</v>
      </c>
      <c r="B43" s="100" t="inlineStr">
        <is>
          <t xml:space="preserve">        Clavos de Acero 2½" (kg)</t>
        </is>
      </c>
      <c r="C43" s="101" t="inlineStr">
        <is>
          <t>Residencial / Comercial</t>
        </is>
      </c>
      <c r="D43" s="99" t="inlineStr">
        <is>
          <t>Clavos</t>
        </is>
      </c>
      <c r="E43" s="99" t="inlineStr">
        <is>
          <t>kg</t>
        </is>
      </c>
      <c r="F43" s="102" t="n">
        <v>10</v>
      </c>
      <c r="G43" s="103" t="n">
        <v>1.85</v>
      </c>
      <c r="H43" s="103" t="n">
        <v>1.89</v>
      </c>
      <c r="I43" s="99" t="inlineStr">
        <is>
          <t>Megametales</t>
        </is>
      </c>
      <c r="J43" s="103" t="n">
        <v>2.05</v>
      </c>
      <c r="K43" s="99" t="inlineStr">
        <is>
          <t>Kywi / Megakywi</t>
        </is>
      </c>
      <c r="L43" s="104">
        <f>F43*G43</f>
        <v/>
      </c>
      <c r="M43" s="156" t="inlineStr">
        <is>
          <t>S-B10-ENC-CLA-212</t>
        </is>
      </c>
      <c r="N43" s="99" t="inlineStr">
        <is>
          <t>Estructuras</t>
        </is>
      </c>
      <c r="O43" s="99" t="inlineStr">
        <is>
          <t>Estimado DION · criterio de mercado Guayaquil 2026 (no verificado en tienda)</t>
        </is>
      </c>
      <c r="P43" s="99" t="inlineStr">
        <is>
          <t>oct-2026 (est.)</t>
        </is>
      </c>
      <c r="Q43" s="99" t="n">
        <v>10</v>
      </c>
    </row>
    <row r="44">
      <c r="A44" s="96" t="inlineStr">
        <is>
          <t>EQUIPOS</t>
        </is>
      </c>
      <c r="B44" s="143" t="n"/>
      <c r="C44" s="143" t="n"/>
      <c r="D44" s="143" t="n"/>
      <c r="E44" s="143" t="n"/>
      <c r="F44" s="143" t="n"/>
      <c r="G44" s="143" t="n"/>
      <c r="H44" s="143" t="n"/>
      <c r="I44" s="143" t="n"/>
      <c r="J44" s="143" t="n"/>
      <c r="K44" s="143" t="n"/>
      <c r="L44" s="143" t="n"/>
      <c r="M44" s="143" t="n"/>
      <c r="N44" s="143" t="n"/>
      <c r="O44" s="143" t="n"/>
      <c r="P44" s="143" t="n"/>
      <c r="Q44" s="144" t="n"/>
    </row>
    <row r="45">
      <c r="A45" s="97" t="inlineStr">
        <is>
          <t xml:space="preserve">  ► CATEGORÍA: VIBRADORES DE HORMIGÓN Y MIXERS</t>
        </is>
      </c>
      <c r="B45" s="143" t="n"/>
      <c r="C45" s="143" t="n"/>
      <c r="D45" s="143" t="n"/>
      <c r="E45" s="143" t="n"/>
      <c r="F45" s="143" t="n"/>
      <c r="G45" s="143" t="n"/>
      <c r="H45" s="143" t="n"/>
      <c r="I45" s="143" t="n"/>
      <c r="J45" s="143" t="n"/>
      <c r="K45" s="143" t="n"/>
      <c r="L45" s="143" t="n"/>
      <c r="M45" s="143" t="n"/>
      <c r="N45" s="143" t="n"/>
      <c r="O45" s="143" t="n"/>
      <c r="P45" s="143" t="n"/>
      <c r="Q45" s="144" t="n"/>
    </row>
    <row r="46">
      <c r="A46" s="98" t="inlineStr">
        <is>
          <t xml:space="preserve">      • Subcategoría Especificada: Vibrado y Mezcla</t>
        </is>
      </c>
      <c r="B46" s="143" t="n"/>
      <c r="C46" s="143" t="n"/>
      <c r="D46" s="143" t="n"/>
      <c r="E46" s="143" t="n"/>
      <c r="F46" s="143" t="n"/>
      <c r="G46" s="143" t="n"/>
      <c r="H46" s="143" t="n"/>
      <c r="I46" s="143" t="n"/>
      <c r="J46" s="143" t="n"/>
      <c r="K46" s="143" t="n"/>
      <c r="L46" s="143" t="n"/>
      <c r="M46" s="143" t="n"/>
      <c r="N46" s="143" t="n"/>
      <c r="O46" s="143" t="n"/>
      <c r="P46" s="143" t="n"/>
      <c r="Q46" s="144" t="n"/>
    </row>
    <row r="47">
      <c r="A47" s="18" t="n">
        <v>31</v>
      </c>
      <c r="B47" s="19" t="inlineStr">
        <is>
          <t xml:space="preserve">        Vibrador de Hormigón a Gasolina 5.5 HP Manguera 4m</t>
        </is>
      </c>
      <c r="C47" s="20" t="inlineStr">
        <is>
          <t>Residencial / Comercial</t>
        </is>
      </c>
      <c r="D47" s="18" t="inlineStr">
        <is>
          <t>Vibradores Hormigón</t>
        </is>
      </c>
      <c r="E47" s="18" t="inlineStr">
        <is>
          <t>U</t>
        </is>
      </c>
      <c r="F47" s="21" t="n">
        <v>1</v>
      </c>
      <c r="G47" s="22" t="n">
        <v>380</v>
      </c>
      <c r="H47" s="22" t="n">
        <v>395</v>
      </c>
      <c r="I47" s="18" t="inlineStr">
        <is>
          <t>Megametales</t>
        </is>
      </c>
      <c r="J47" s="22" t="n">
        <v>415</v>
      </c>
      <c r="K47" s="18" t="inlineStr">
        <is>
          <t>Ferrisariato</t>
        </is>
      </c>
      <c r="L47" s="8">
        <f>F47*G47</f>
        <v/>
      </c>
      <c r="M47" s="145" t="inlineStr">
        <is>
          <t>Z-Z10-EQH-VIB-GAS</t>
        </is>
      </c>
      <c r="N47" s="18" t="inlineStr">
        <is>
          <t>General / coordinación multidisciplinar</t>
        </is>
      </c>
      <c r="O47" s="18" t="inlineStr">
        <is>
          <t>Estimado · base original del usuario (sin cotización verificada)</t>
        </is>
      </c>
      <c r="P47" s="18" t="inlineStr">
        <is>
          <t>oct-2026 (est.)</t>
        </is>
      </c>
      <c r="Q47" s="18" t="n"/>
    </row>
    <row r="48">
      <c r="A48" s="98" t="inlineStr">
        <is>
          <t xml:space="preserve">      • Subcategoría Especificada: Mezcla, Vibrado y Corte de Varilla</t>
        </is>
      </c>
      <c r="B48" s="143" t="n"/>
      <c r="C48" s="143" t="n"/>
      <c r="D48" s="143" t="n"/>
      <c r="E48" s="143" t="n"/>
      <c r="F48" s="143" t="n"/>
      <c r="G48" s="143" t="n"/>
      <c r="H48" s="143" t="n"/>
      <c r="I48" s="143" t="n"/>
      <c r="J48" s="143" t="n"/>
      <c r="K48" s="143" t="n"/>
      <c r="L48" s="143" t="n"/>
      <c r="M48" s="143" t="n"/>
      <c r="N48" s="143" t="n"/>
      <c r="O48" s="143" t="n"/>
      <c r="P48" s="143" t="n"/>
      <c r="Q48" s="144" t="n"/>
    </row>
    <row r="49">
      <c r="A49" s="99" t="n">
        <v>32</v>
      </c>
      <c r="B49" s="100" t="inlineStr">
        <is>
          <t xml:space="preserve">        Concretera / Mezcladora 1 Saco Motor Gasolina 9 HP</t>
        </is>
      </c>
      <c r="C49" s="101" t="inlineStr">
        <is>
          <t>Residencial / Comercial</t>
        </is>
      </c>
      <c r="D49" s="99" t="inlineStr">
        <is>
          <t>Concreteras</t>
        </is>
      </c>
      <c r="E49" s="99" t="inlineStr">
        <is>
          <t>U</t>
        </is>
      </c>
      <c r="F49" s="102" t="n">
        <v>0</v>
      </c>
      <c r="G49" s="103" t="n">
        <v>1850</v>
      </c>
      <c r="H49" s="103" t="n">
        <v>1924</v>
      </c>
      <c r="I49" s="99" t="inlineStr">
        <is>
          <t>Megametales</t>
        </is>
      </c>
      <c r="J49" s="103" t="n">
        <v>2053.5</v>
      </c>
      <c r="K49" s="99" t="inlineStr">
        <is>
          <t>Kywi / Megakywi</t>
        </is>
      </c>
      <c r="L49" s="104">
        <f>F49*G49</f>
        <v/>
      </c>
      <c r="M49" s="156" t="inlineStr">
        <is>
          <t>Z-Z10-EQH-CON-1S</t>
        </is>
      </c>
      <c r="N49" s="99" t="inlineStr">
        <is>
          <t>General / coordinación multidisciplinar</t>
        </is>
      </c>
      <c r="O49" s="99" t="inlineStr">
        <is>
          <t>Estimado DION · criterio de mercado Guayaquil 2026 (no verificado en tienda)</t>
        </is>
      </c>
      <c r="P49" s="99" t="inlineStr">
        <is>
          <t>oct-2026 (est.)</t>
        </is>
      </c>
      <c r="Q49" s="99" t="n"/>
    </row>
    <row r="50">
      <c r="A50" s="18" t="n">
        <v>33</v>
      </c>
      <c r="B50" s="19" t="inlineStr">
        <is>
          <t xml:space="preserve">        Vibrador Eléctrico de Inmersión 2 HP + Manguera 6 m</t>
        </is>
      </c>
      <c r="C50" s="20" t="inlineStr">
        <is>
          <t>Residencial / Comercial</t>
        </is>
      </c>
      <c r="D50" s="18" t="inlineStr">
        <is>
          <t>Vibradores Hormigón</t>
        </is>
      </c>
      <c r="E50" s="18" t="inlineStr">
        <is>
          <t>U</t>
        </is>
      </c>
      <c r="F50" s="21" t="n">
        <v>1</v>
      </c>
      <c r="G50" s="22" t="n">
        <v>420</v>
      </c>
      <c r="H50" s="22" t="n">
        <v>441</v>
      </c>
      <c r="I50" s="18" t="inlineStr">
        <is>
          <t>Megametales</t>
        </is>
      </c>
      <c r="J50" s="22" t="n">
        <v>457.8</v>
      </c>
      <c r="K50" s="18" t="inlineStr">
        <is>
          <t>Ferrisariato</t>
        </is>
      </c>
      <c r="L50" s="8">
        <f>F50*G50</f>
        <v/>
      </c>
      <c r="M50" s="145" t="inlineStr">
        <is>
          <t>Z-Z10-EQH-VIB-ELE</t>
        </is>
      </c>
      <c r="N50" s="18" t="inlineStr">
        <is>
          <t>General / coordinación multidisciplinar</t>
        </is>
      </c>
      <c r="O50" s="18" t="inlineStr">
        <is>
          <t>Estimado DION · criterio de mercado Guayaquil 2026 (no verificado en tienda)</t>
        </is>
      </c>
      <c r="P50" s="18" t="inlineStr">
        <is>
          <t>oct-2026 (est.)</t>
        </is>
      </c>
      <c r="Q50" s="18" t="n"/>
    </row>
    <row r="51">
      <c r="A51" s="99" t="n">
        <v>34</v>
      </c>
      <c r="B51" s="100" t="inlineStr">
        <is>
          <t xml:space="preserve">        Dobladora / Cortadora Eléctrica de Varilla hasta 25 mm</t>
        </is>
      </c>
      <c r="C51" s="101" t="inlineStr">
        <is>
          <t>Comercial / Industrial</t>
        </is>
      </c>
      <c r="D51" s="99" t="inlineStr">
        <is>
          <t>Dobladoras</t>
        </is>
      </c>
      <c r="E51" s="99" t="inlineStr">
        <is>
          <t>U</t>
        </is>
      </c>
      <c r="F51" s="102" t="n">
        <v>0</v>
      </c>
      <c r="G51" s="103" t="n">
        <v>2450</v>
      </c>
      <c r="H51" s="103" t="n">
        <v>2572.5</v>
      </c>
      <c r="I51" s="99" t="inlineStr">
        <is>
          <t>Megametales</t>
        </is>
      </c>
      <c r="J51" s="103" t="n">
        <v>2719.5</v>
      </c>
      <c r="K51" s="99" t="inlineStr">
        <is>
          <t>Kywi / Megakywi</t>
        </is>
      </c>
      <c r="L51" s="104">
        <f>F51*G51</f>
        <v/>
      </c>
      <c r="M51" s="156" t="inlineStr">
        <is>
          <t>Z-Z10-EQH-DOB-VAR</t>
        </is>
      </c>
      <c r="N51" s="99" t="inlineStr">
        <is>
          <t>General / coordinación multidisciplinar</t>
        </is>
      </c>
      <c r="O51" s="99" t="inlineStr">
        <is>
          <t>Estimado DION · criterio de mercado Guayaquil 2026 (no verificado en tienda)</t>
        </is>
      </c>
      <c r="P51" s="99" t="inlineStr">
        <is>
          <t>oct-2026 (est.)</t>
        </is>
      </c>
      <c r="Q51" s="99" t="n"/>
    </row>
    <row r="52">
      <c r="A52" s="18" t="n">
        <v>35</v>
      </c>
      <c r="B52" s="19" t="inlineStr">
        <is>
          <t xml:space="preserve">        Cizalla Manual para Varilla 36"</t>
        </is>
      </c>
      <c r="C52" s="20" t="inlineStr">
        <is>
          <t>Residencial / Comercial</t>
        </is>
      </c>
      <c r="D52" s="18" t="inlineStr">
        <is>
          <t>Cizallas</t>
        </is>
      </c>
      <c r="E52" s="18" t="inlineStr">
        <is>
          <t>U</t>
        </is>
      </c>
      <c r="F52" s="21" t="n">
        <v>1</v>
      </c>
      <c r="G52" s="22" t="n">
        <v>95</v>
      </c>
      <c r="H52" s="22" t="n">
        <v>99.75</v>
      </c>
      <c r="I52" s="18" t="inlineStr">
        <is>
          <t>Megametales</t>
        </is>
      </c>
      <c r="J52" s="22" t="n">
        <v>104.5</v>
      </c>
      <c r="K52" s="18" t="inlineStr">
        <is>
          <t>Ferrisariato</t>
        </is>
      </c>
      <c r="L52" s="8">
        <f>F52*G52</f>
        <v/>
      </c>
      <c r="M52" s="145" t="inlineStr">
        <is>
          <t>Z-Z10-EQH-CIZ-36IN</t>
        </is>
      </c>
      <c r="N52" s="18" t="inlineStr">
        <is>
          <t>General / coordinación multidisciplinar</t>
        </is>
      </c>
      <c r="O52" s="18" t="inlineStr">
        <is>
          <t>Estimado DION · criterio de mercado Guayaquil 2026 (no verificado en tienda)</t>
        </is>
      </c>
      <c r="P52" s="18" t="inlineStr">
        <is>
          <t>oct-2026 (est.)</t>
        </is>
      </c>
      <c r="Q52" s="18" t="n"/>
    </row>
    <row r="53">
      <c r="A53" s="96" t="inlineStr">
        <is>
          <t>CONEXIONES</t>
        </is>
      </c>
      <c r="B53" s="143" t="n"/>
      <c r="C53" s="143" t="n"/>
      <c r="D53" s="143" t="n"/>
      <c r="E53" s="143" t="n"/>
      <c r="F53" s="143" t="n"/>
      <c r="G53" s="143" t="n"/>
      <c r="H53" s="143" t="n"/>
      <c r="I53" s="143" t="n"/>
      <c r="J53" s="143" t="n"/>
      <c r="K53" s="143" t="n"/>
      <c r="L53" s="143" t="n"/>
      <c r="M53" s="143" t="n"/>
      <c r="N53" s="143" t="n"/>
      <c r="O53" s="143" t="n"/>
      <c r="P53" s="143" t="n"/>
      <c r="Q53" s="144" t="n"/>
    </row>
    <row r="54">
      <c r="A54" s="97" t="inlineStr">
        <is>
          <t xml:space="preserve">  ► CATEGORÍA: VARILLAS CORRUGADAS A615 GRADO 60, ESTRIBOS Y TRASLAPOS</t>
        </is>
      </c>
      <c r="B54" s="143" t="n"/>
      <c r="C54" s="143" t="n"/>
      <c r="D54" s="143" t="n"/>
      <c r="E54" s="143" t="n"/>
      <c r="F54" s="143" t="n"/>
      <c r="G54" s="143" t="n"/>
      <c r="H54" s="143" t="n"/>
      <c r="I54" s="143" t="n"/>
      <c r="J54" s="143" t="n"/>
      <c r="K54" s="143" t="n"/>
      <c r="L54" s="143" t="n"/>
      <c r="M54" s="143" t="n"/>
      <c r="N54" s="143" t="n"/>
      <c r="O54" s="143" t="n"/>
      <c r="P54" s="143" t="n"/>
      <c r="Q54" s="144" t="n"/>
    </row>
    <row r="55">
      <c r="A55" s="98" t="inlineStr">
        <is>
          <t xml:space="preserve">      • Subcategoría Especificada: Acero de Refuerzo</t>
        </is>
      </c>
      <c r="B55" s="143" t="n"/>
      <c r="C55" s="143" t="n"/>
      <c r="D55" s="143" t="n"/>
      <c r="E55" s="143" t="n"/>
      <c r="F55" s="143" t="n"/>
      <c r="G55" s="143" t="n"/>
      <c r="H55" s="143" t="n"/>
      <c r="I55" s="143" t="n"/>
      <c r="J55" s="143" t="n"/>
      <c r="K55" s="143" t="n"/>
      <c r="L55" s="143" t="n"/>
      <c r="M55" s="143" t="n"/>
      <c r="N55" s="143" t="n"/>
      <c r="O55" s="143" t="n"/>
      <c r="P55" s="143" t="n"/>
      <c r="Q55" s="144" t="n"/>
    </row>
    <row r="56">
      <c r="A56" s="99" t="n">
        <v>36</v>
      </c>
      <c r="B56" s="100" t="inlineStr">
        <is>
          <t xml:space="preserve">        Varilla Corrugada A615 Grado 60 12mm x 12m</t>
        </is>
      </c>
      <c r="C56" s="101" t="inlineStr">
        <is>
          <t>Residencial / Comercial</t>
        </is>
      </c>
      <c r="D56" s="99" t="inlineStr">
        <is>
          <t>Varillas Corrugadas</t>
        </is>
      </c>
      <c r="E56" s="99" t="inlineStr">
        <is>
          <t>U</t>
        </is>
      </c>
      <c r="F56" s="102" t="n">
        <v>40</v>
      </c>
      <c r="G56" s="103" t="n">
        <v>9.800000000000001</v>
      </c>
      <c r="H56" s="103" t="n">
        <v>10.15</v>
      </c>
      <c r="I56" s="99" t="inlineStr">
        <is>
          <t>Megametales / Novacero / Andec</t>
        </is>
      </c>
      <c r="J56" s="103" t="n">
        <v>10.8</v>
      </c>
      <c r="K56" s="99" t="inlineStr">
        <is>
          <t>Ferrisariato</t>
        </is>
      </c>
      <c r="L56" s="104">
        <f>F56*G56</f>
        <v/>
      </c>
      <c r="M56" s="156" t="inlineStr">
        <is>
          <t>S-B10-ARM-D12</t>
        </is>
      </c>
      <c r="N56" s="99" t="inlineStr">
        <is>
          <t>Estructuras</t>
        </is>
      </c>
      <c r="O56" s="99" t="inlineStr">
        <is>
          <t>Estimado · base original del usuario (sin cotización verificada)</t>
        </is>
      </c>
      <c r="P56" s="99" t="inlineStr">
        <is>
          <t>oct-2026 (est.)</t>
        </is>
      </c>
      <c r="Q56" s="99" t="n">
        <v>7</v>
      </c>
    </row>
    <row r="57">
      <c r="A57" s="18" t="n">
        <v>37</v>
      </c>
      <c r="B57" s="19" t="inlineStr">
        <is>
          <t xml:space="preserve">        Varilla Corrugada A615 Grado 60 16mm x 12m</t>
        </is>
      </c>
      <c r="C57" s="20" t="inlineStr">
        <is>
          <t>Residencial / Comercial</t>
        </is>
      </c>
      <c r="D57" s="18" t="inlineStr">
        <is>
          <t>Varillas Corrugadas</t>
        </is>
      </c>
      <c r="E57" s="18" t="inlineStr">
        <is>
          <t>U</t>
        </is>
      </c>
      <c r="F57" s="21" t="n">
        <v>30</v>
      </c>
      <c r="G57" s="22" t="n">
        <v>17.5</v>
      </c>
      <c r="H57" s="22" t="n">
        <v>18.1</v>
      </c>
      <c r="I57" s="18" t="inlineStr">
        <is>
          <t>Megametales / Novacero / Andec</t>
        </is>
      </c>
      <c r="J57" s="22" t="n">
        <v>19.2</v>
      </c>
      <c r="K57" s="18" t="inlineStr">
        <is>
          <t>Ferrisariato</t>
        </is>
      </c>
      <c r="L57" s="8">
        <f>F57*G57</f>
        <v/>
      </c>
      <c r="M57" s="145" t="inlineStr">
        <is>
          <t>S-B10-ARM-D16</t>
        </is>
      </c>
      <c r="N57" s="18" t="inlineStr">
        <is>
          <t>Estructuras</t>
        </is>
      </c>
      <c r="O57" s="18" t="inlineStr">
        <is>
          <t>Estimado · base original del usuario (sin cotización verificada)</t>
        </is>
      </c>
      <c r="P57" s="18" t="inlineStr">
        <is>
          <t>oct-2026 (est.)</t>
        </is>
      </c>
      <c r="Q57" s="18" t="n">
        <v>7</v>
      </c>
    </row>
    <row r="58">
      <c r="A58" s="99" t="n">
        <v>38</v>
      </c>
      <c r="B58" s="100" t="inlineStr">
        <is>
          <t xml:space="preserve">        Estribos Armados de Figurado 10mm (20x20cm)</t>
        </is>
      </c>
      <c r="C58" s="101" t="inlineStr">
        <is>
          <t>Residencial / Comercial</t>
        </is>
      </c>
      <c r="D58" s="99" t="inlineStr">
        <is>
          <t>Estribos Armados</t>
        </is>
      </c>
      <c r="E58" s="99" t="inlineStr">
        <is>
          <t>U</t>
        </is>
      </c>
      <c r="F58" s="102" t="n">
        <v>100</v>
      </c>
      <c r="G58" s="103" t="n">
        <v>0.95</v>
      </c>
      <c r="H58" s="103" t="n">
        <v>1</v>
      </c>
      <c r="I58" s="99" t="inlineStr">
        <is>
          <t>Megametales / Novacero</t>
        </is>
      </c>
      <c r="J58" s="103" t="n">
        <v>1.15</v>
      </c>
      <c r="K58" s="99" t="inlineStr">
        <is>
          <t>Ferrisariato</t>
        </is>
      </c>
      <c r="L58" s="104">
        <f>F58*G58</f>
        <v/>
      </c>
      <c r="M58" s="156" t="inlineStr">
        <is>
          <t>S-B10-ARM-EST-PRE</t>
        </is>
      </c>
      <c r="N58" s="99" t="inlineStr">
        <is>
          <t>Estructuras</t>
        </is>
      </c>
      <c r="O58" s="99" t="inlineStr">
        <is>
          <t>Estimado · base original del usuario (sin cotización verificada)</t>
        </is>
      </c>
      <c r="P58" s="99" t="inlineStr">
        <is>
          <t>oct-2026 (est.)</t>
        </is>
      </c>
      <c r="Q58" s="99" t="n">
        <v>3</v>
      </c>
    </row>
    <row r="59">
      <c r="A59" s="18" t="n">
        <v>39</v>
      </c>
      <c r="B59" s="19" t="inlineStr">
        <is>
          <t xml:space="preserve">        Alambre de Amarre Recocido #18 (Kilo)</t>
        </is>
      </c>
      <c r="C59" s="20" t="inlineStr">
        <is>
          <t>Residencial / Comercial / Ind</t>
        </is>
      </c>
      <c r="D59" s="18" t="inlineStr">
        <is>
          <t>Alambre Recocido</t>
        </is>
      </c>
      <c r="E59" s="18" t="inlineStr">
        <is>
          <t>kg</t>
        </is>
      </c>
      <c r="F59" s="21" t="n">
        <v>25</v>
      </c>
      <c r="G59" s="22" t="n">
        <v>1.8</v>
      </c>
      <c r="H59" s="22" t="n">
        <v>1.88</v>
      </c>
      <c r="I59" s="18" t="inlineStr">
        <is>
          <t>Megametales</t>
        </is>
      </c>
      <c r="J59" s="22" t="n">
        <v>2.05</v>
      </c>
      <c r="K59" s="18" t="inlineStr">
        <is>
          <t>Ferrisariato</t>
        </is>
      </c>
      <c r="L59" s="8">
        <f>F59*G59</f>
        <v/>
      </c>
      <c r="M59" s="145" t="inlineStr">
        <is>
          <t>S-B10-ACC-ALA-18</t>
        </is>
      </c>
      <c r="N59" s="18" t="inlineStr">
        <is>
          <t>Estructuras</t>
        </is>
      </c>
      <c r="O59" s="18" t="inlineStr">
        <is>
          <t>Estimado · base original del usuario (sin cotización verificada)</t>
        </is>
      </c>
      <c r="P59" s="18" t="inlineStr">
        <is>
          <t>oct-2026 (est.)</t>
        </is>
      </c>
      <c r="Q59" s="18" t="n">
        <v>10</v>
      </c>
    </row>
    <row r="60">
      <c r="A60" s="98" t="inlineStr">
        <is>
          <t xml:space="preserve">      • Subcategoría Especificada: Todos los Diámetros Ø8–Ø32 mm (Adelca / Novacero / Andec)</t>
        </is>
      </c>
      <c r="B60" s="143" t="n"/>
      <c r="C60" s="143" t="n"/>
      <c r="D60" s="143" t="n"/>
      <c r="E60" s="143" t="n"/>
      <c r="F60" s="143" t="n"/>
      <c r="G60" s="143" t="n"/>
      <c r="H60" s="143" t="n"/>
      <c r="I60" s="143" t="n"/>
      <c r="J60" s="143" t="n"/>
      <c r="K60" s="143" t="n"/>
      <c r="L60" s="143" t="n"/>
      <c r="M60" s="143" t="n"/>
      <c r="N60" s="143" t="n"/>
      <c r="O60" s="143" t="n"/>
      <c r="P60" s="143" t="n"/>
      <c r="Q60" s="144" t="n"/>
    </row>
    <row r="61">
      <c r="A61" s="99" t="n">
        <v>40</v>
      </c>
      <c r="B61" s="100" t="inlineStr">
        <is>
          <t xml:space="preserve">        Varilla Corrugada A615/A706 Gr. 60 Ø8 mm x 12 m (≈4.7 kg)</t>
        </is>
      </c>
      <c r="C61" s="101" t="inlineStr">
        <is>
          <t>Residencial / Comercial</t>
        </is>
      </c>
      <c r="D61" s="99" t="inlineStr">
        <is>
          <t>Varillas Corrugadas</t>
        </is>
      </c>
      <c r="E61" s="99" t="inlineStr">
        <is>
          <t>U</t>
        </is>
      </c>
      <c r="F61" s="102" t="n">
        <v>30</v>
      </c>
      <c r="G61" s="103" t="n">
        <v>4.35</v>
      </c>
      <c r="H61" s="103" t="n">
        <v>4.57</v>
      </c>
      <c r="I61" s="99" t="inlineStr">
        <is>
          <t>Megametales</t>
        </is>
      </c>
      <c r="J61" s="103" t="n">
        <v>4.7</v>
      </c>
      <c r="K61" s="99" t="inlineStr">
        <is>
          <t>Kywi / Megakywi</t>
        </is>
      </c>
      <c r="L61" s="104">
        <f>F61*G61</f>
        <v/>
      </c>
      <c r="M61" s="156" t="inlineStr">
        <is>
          <t>S-B10-ARM-D08</t>
        </is>
      </c>
      <c r="N61" s="99" t="inlineStr">
        <is>
          <t>Estructuras</t>
        </is>
      </c>
      <c r="O61" s="99" t="inlineStr">
        <is>
          <t>Estimado DION · criterio de mercado Guayaquil 2026 (no verificado en tienda)</t>
        </is>
      </c>
      <c r="P61" s="99" t="inlineStr">
        <is>
          <t>oct-2026 (est.)</t>
        </is>
      </c>
      <c r="Q61" s="99" t="n">
        <v>7</v>
      </c>
    </row>
    <row r="62">
      <c r="A62" s="18" t="n">
        <v>41</v>
      </c>
      <c r="B62" s="19" t="inlineStr">
        <is>
          <t xml:space="preserve">        Varilla Corrugada A615/A706 Gr. 60 Ø10 mm x 12 m (≈7.4 kg)</t>
        </is>
      </c>
      <c r="C62" s="20" t="inlineStr">
        <is>
          <t>Residencial / Comercial</t>
        </is>
      </c>
      <c r="D62" s="18" t="inlineStr">
        <is>
          <t>Varillas Corrugadas</t>
        </is>
      </c>
      <c r="E62" s="18" t="inlineStr">
        <is>
          <t>U</t>
        </is>
      </c>
      <c r="F62" s="21" t="n">
        <v>30</v>
      </c>
      <c r="G62" s="22" t="n">
        <v>6.6</v>
      </c>
      <c r="H62" s="22" t="n">
        <v>6.93</v>
      </c>
      <c r="I62" s="18" t="inlineStr">
        <is>
          <t>Megametales</t>
        </is>
      </c>
      <c r="J62" s="22" t="n">
        <v>7.06</v>
      </c>
      <c r="K62" s="18" t="inlineStr">
        <is>
          <t>Ferrisariato</t>
        </is>
      </c>
      <c r="L62" s="8">
        <f>F62*G62</f>
        <v/>
      </c>
      <c r="M62" s="145" t="inlineStr">
        <is>
          <t>S-B10-ARM-D10</t>
        </is>
      </c>
      <c r="N62" s="18" t="inlineStr">
        <is>
          <t>Estructuras</t>
        </is>
      </c>
      <c r="O62" s="18" t="inlineStr">
        <is>
          <t>Estimado DION · criterio de mercado Guayaquil 2026 (no verificado en tienda)</t>
        </is>
      </c>
      <c r="P62" s="18" t="inlineStr">
        <is>
          <t>oct-2026 (est.)</t>
        </is>
      </c>
      <c r="Q62" s="18" t="n">
        <v>7</v>
      </c>
    </row>
    <row r="63">
      <c r="A63" s="99" t="n">
        <v>42</v>
      </c>
      <c r="B63" s="100" t="inlineStr">
        <is>
          <t xml:space="preserve">        Varilla Corrugada A615/A706 Gr. 60 Ø14 mm x 12 m (≈14.5 kg)</t>
        </is>
      </c>
      <c r="C63" s="101" t="inlineStr">
        <is>
          <t>Residencial / Comercial</t>
        </is>
      </c>
      <c r="D63" s="99" t="inlineStr">
        <is>
          <t>Varillas Corrugadas</t>
        </is>
      </c>
      <c r="E63" s="99" t="inlineStr">
        <is>
          <t>U</t>
        </is>
      </c>
      <c r="F63" s="102" t="n">
        <v>30</v>
      </c>
      <c r="G63" s="103" t="n">
        <v>13.1</v>
      </c>
      <c r="H63" s="103" t="n">
        <v>13.76</v>
      </c>
      <c r="I63" s="99" t="inlineStr">
        <is>
          <t>Megametales</t>
        </is>
      </c>
      <c r="J63" s="103" t="n">
        <v>14.41</v>
      </c>
      <c r="K63" s="99" t="inlineStr">
        <is>
          <t>Kywi / Megakywi</t>
        </is>
      </c>
      <c r="L63" s="104">
        <f>F63*G63</f>
        <v/>
      </c>
      <c r="M63" s="156" t="inlineStr">
        <is>
          <t>S-B10-ARM-D14</t>
        </is>
      </c>
      <c r="N63" s="99" t="inlineStr">
        <is>
          <t>Estructuras</t>
        </is>
      </c>
      <c r="O63" s="99" t="inlineStr">
        <is>
          <t>Estimado DION · criterio de mercado Guayaquil 2026 (no verificado en tienda)</t>
        </is>
      </c>
      <c r="P63" s="99" t="inlineStr">
        <is>
          <t>oct-2026 (est.)</t>
        </is>
      </c>
      <c r="Q63" s="99" t="n">
        <v>7</v>
      </c>
    </row>
    <row r="64">
      <c r="A64" s="18" t="n">
        <v>43</v>
      </c>
      <c r="B64" s="19" t="inlineStr">
        <is>
          <t xml:space="preserve">        Varilla Corrugada A615/A706 Gr. 60 Ø18 mm x 12 m (≈24.0 kg)</t>
        </is>
      </c>
      <c r="C64" s="20" t="inlineStr">
        <is>
          <t>Comercial / Industrial</t>
        </is>
      </c>
      <c r="D64" s="18" t="inlineStr">
        <is>
          <t>Varillas Corrugadas</t>
        </is>
      </c>
      <c r="E64" s="18" t="inlineStr">
        <is>
          <t>U</t>
        </is>
      </c>
      <c r="F64" s="21" t="n">
        <v>10</v>
      </c>
      <c r="G64" s="22" t="n">
        <v>22.2</v>
      </c>
      <c r="H64" s="22" t="n">
        <v>23.31</v>
      </c>
      <c r="I64" s="18" t="inlineStr">
        <is>
          <t>Megametales</t>
        </is>
      </c>
      <c r="J64" s="22" t="n">
        <v>24.64</v>
      </c>
      <c r="K64" s="18" t="inlineStr">
        <is>
          <t>Ferrisariato</t>
        </is>
      </c>
      <c r="L64" s="8">
        <f>F64*G64</f>
        <v/>
      </c>
      <c r="M64" s="145" t="inlineStr">
        <is>
          <t>S-B10-ARM-D18</t>
        </is>
      </c>
      <c r="N64" s="18" t="inlineStr">
        <is>
          <t>Estructuras</t>
        </is>
      </c>
      <c r="O64" s="18" t="inlineStr">
        <is>
          <t>Estimado DION · criterio de mercado Guayaquil 2026 (no verificado en tienda)</t>
        </is>
      </c>
      <c r="P64" s="18" t="inlineStr">
        <is>
          <t>oct-2026 (est.)</t>
        </is>
      </c>
      <c r="Q64" s="18" t="n">
        <v>7</v>
      </c>
    </row>
    <row r="65">
      <c r="A65" s="99" t="n">
        <v>44</v>
      </c>
      <c r="B65" s="100" t="inlineStr">
        <is>
          <t xml:space="preserve">        Varilla Corrugada A615/A706 Gr. 60 Ø20 mm x 12 m (≈29.6 kg)</t>
        </is>
      </c>
      <c r="C65" s="101" t="inlineStr">
        <is>
          <t>Comercial / Industrial</t>
        </is>
      </c>
      <c r="D65" s="99" t="inlineStr">
        <is>
          <t>Varillas Corrugadas</t>
        </is>
      </c>
      <c r="E65" s="99" t="inlineStr">
        <is>
          <t>U</t>
        </is>
      </c>
      <c r="F65" s="102" t="n">
        <v>10</v>
      </c>
      <c r="G65" s="103" t="n">
        <v>27.2</v>
      </c>
      <c r="H65" s="103" t="n">
        <v>28.56</v>
      </c>
      <c r="I65" s="99" t="inlineStr">
        <is>
          <t>Megametales</t>
        </is>
      </c>
      <c r="J65" s="103" t="n">
        <v>29.92</v>
      </c>
      <c r="K65" s="99" t="inlineStr">
        <is>
          <t>Kywi / Megakywi</t>
        </is>
      </c>
      <c r="L65" s="104">
        <f>F65*G65</f>
        <v/>
      </c>
      <c r="M65" s="156" t="inlineStr">
        <is>
          <t>S-B10-ARM-D20</t>
        </is>
      </c>
      <c r="N65" s="99" t="inlineStr">
        <is>
          <t>Estructuras</t>
        </is>
      </c>
      <c r="O65" s="99" t="inlineStr">
        <is>
          <t>Estimado DION · criterio de mercado Guayaquil 2026 (no verificado en tienda)</t>
        </is>
      </c>
      <c r="P65" s="99" t="inlineStr">
        <is>
          <t>oct-2026 (est.)</t>
        </is>
      </c>
      <c r="Q65" s="99" t="n">
        <v>7</v>
      </c>
    </row>
    <row r="66">
      <c r="A66" s="18" t="n">
        <v>45</v>
      </c>
      <c r="B66" s="19" t="inlineStr">
        <is>
          <t xml:space="preserve">        Varilla Corrugada A615/A706 Gr. 60 Ø22 mm x 12 m (≈35.8 kg)</t>
        </is>
      </c>
      <c r="C66" s="20" t="inlineStr">
        <is>
          <t>Comercial / Industrial</t>
        </is>
      </c>
      <c r="D66" s="18" t="inlineStr">
        <is>
          <t>Varillas Corrugadas</t>
        </is>
      </c>
      <c r="E66" s="18" t="inlineStr">
        <is>
          <t>U</t>
        </is>
      </c>
      <c r="F66" s="21" t="n">
        <v>10</v>
      </c>
      <c r="G66" s="22" t="n">
        <v>33</v>
      </c>
      <c r="H66" s="22" t="n">
        <v>34.65</v>
      </c>
      <c r="I66" s="18" t="inlineStr">
        <is>
          <t>Megametales</t>
        </is>
      </c>
      <c r="J66" s="22" t="n">
        <v>35.31</v>
      </c>
      <c r="K66" s="18" t="inlineStr">
        <is>
          <t>Ferrisariato</t>
        </is>
      </c>
      <c r="L66" s="8">
        <f>F66*G66</f>
        <v/>
      </c>
      <c r="M66" s="145" t="inlineStr">
        <is>
          <t>S-B10-ARM-D22</t>
        </is>
      </c>
      <c r="N66" s="18" t="inlineStr">
        <is>
          <t>Estructuras</t>
        </is>
      </c>
      <c r="O66" s="18" t="inlineStr">
        <is>
          <t>Estimado DION · criterio de mercado Guayaquil 2026 (no verificado en tienda)</t>
        </is>
      </c>
      <c r="P66" s="18" t="inlineStr">
        <is>
          <t>oct-2026 (est.)</t>
        </is>
      </c>
      <c r="Q66" s="18" t="n">
        <v>7</v>
      </c>
    </row>
    <row r="67">
      <c r="A67" s="99" t="n">
        <v>46</v>
      </c>
      <c r="B67" s="100" t="inlineStr">
        <is>
          <t xml:space="preserve">        Varilla Corrugada A615/A706 Gr. 60 Ø25 mm x 12 m (≈46.2 kg)</t>
        </is>
      </c>
      <c r="C67" s="101" t="inlineStr">
        <is>
          <t>Comercial / Industrial</t>
        </is>
      </c>
      <c r="D67" s="99" t="inlineStr">
        <is>
          <t>Varillas Corrugadas</t>
        </is>
      </c>
      <c r="E67" s="99" t="inlineStr">
        <is>
          <t>U</t>
        </is>
      </c>
      <c r="F67" s="102" t="n">
        <v>10</v>
      </c>
      <c r="G67" s="103" t="n">
        <v>42.5</v>
      </c>
      <c r="H67" s="103" t="n">
        <v>43.35</v>
      </c>
      <c r="I67" s="99" t="inlineStr">
        <is>
          <t>Megametales</t>
        </is>
      </c>
      <c r="J67" s="103" t="n">
        <v>46.75</v>
      </c>
      <c r="K67" s="99" t="inlineStr">
        <is>
          <t>Kywi / Megakywi</t>
        </is>
      </c>
      <c r="L67" s="104">
        <f>F67*G67</f>
        <v/>
      </c>
      <c r="M67" s="156" t="inlineStr">
        <is>
          <t>S-B10-ARM-D25</t>
        </is>
      </c>
      <c r="N67" s="99" t="inlineStr">
        <is>
          <t>Estructuras</t>
        </is>
      </c>
      <c r="O67" s="99" t="inlineStr">
        <is>
          <t>Estimado DION · criterio de mercado Guayaquil 2026 (no verificado en tienda)</t>
        </is>
      </c>
      <c r="P67" s="99" t="inlineStr">
        <is>
          <t>oct-2026 (est.)</t>
        </is>
      </c>
      <c r="Q67" s="99" t="n">
        <v>7</v>
      </c>
    </row>
    <row r="68">
      <c r="A68" s="18" t="n">
        <v>47</v>
      </c>
      <c r="B68" s="19" t="inlineStr">
        <is>
          <t xml:space="preserve">        Varilla Corrugada A615/A706 Gr. 60 Ø28 mm x 12 m (≈58.0 kg)</t>
        </is>
      </c>
      <c r="C68" s="20" t="inlineStr">
        <is>
          <t>Comercial / Industrial</t>
        </is>
      </c>
      <c r="D68" s="18" t="inlineStr">
        <is>
          <t>Varillas Corrugadas</t>
        </is>
      </c>
      <c r="E68" s="18" t="inlineStr">
        <is>
          <t>U</t>
        </is>
      </c>
      <c r="F68" s="21" t="n">
        <v>10</v>
      </c>
      <c r="G68" s="22" t="n">
        <v>53.5</v>
      </c>
      <c r="H68" s="22" t="n">
        <v>56.18</v>
      </c>
      <c r="I68" s="18" t="inlineStr">
        <is>
          <t>Megametales</t>
        </is>
      </c>
      <c r="J68" s="22" t="n">
        <v>57.78</v>
      </c>
      <c r="K68" s="18" t="inlineStr">
        <is>
          <t>Ferrisariato</t>
        </is>
      </c>
      <c r="L68" s="8">
        <f>F68*G68</f>
        <v/>
      </c>
      <c r="M68" s="145" t="inlineStr">
        <is>
          <t>S-B10-ARM-D28</t>
        </is>
      </c>
      <c r="N68" s="18" t="inlineStr">
        <is>
          <t>Estructuras</t>
        </is>
      </c>
      <c r="O68" s="18" t="inlineStr">
        <is>
          <t>Estimado DION · criterio de mercado Guayaquil 2026 (no verificado en tienda)</t>
        </is>
      </c>
      <c r="P68" s="18" t="inlineStr">
        <is>
          <t>oct-2026 (est.)</t>
        </is>
      </c>
      <c r="Q68" s="18" t="n">
        <v>7</v>
      </c>
    </row>
    <row r="69">
      <c r="A69" s="99" t="n">
        <v>48</v>
      </c>
      <c r="B69" s="100" t="inlineStr">
        <is>
          <t xml:space="preserve">        Varilla Corrugada A615/A706 Gr. 60 Ø32 mm x 12 m (≈75.7 kg)</t>
        </is>
      </c>
      <c r="C69" s="101" t="inlineStr">
        <is>
          <t>Comercial / Industrial</t>
        </is>
      </c>
      <c r="D69" s="99" t="inlineStr">
        <is>
          <t>Varillas Corrugadas</t>
        </is>
      </c>
      <c r="E69" s="99" t="inlineStr">
        <is>
          <t>U</t>
        </is>
      </c>
      <c r="F69" s="102" t="n">
        <v>10</v>
      </c>
      <c r="G69" s="103" t="n">
        <v>70</v>
      </c>
      <c r="H69" s="103" t="n">
        <v>73.5</v>
      </c>
      <c r="I69" s="99" t="inlineStr">
        <is>
          <t>Megametales</t>
        </is>
      </c>
      <c r="J69" s="103" t="n">
        <v>77</v>
      </c>
      <c r="K69" s="99" t="inlineStr">
        <is>
          <t>Kywi / Megakywi</t>
        </is>
      </c>
      <c r="L69" s="104">
        <f>F69*G69</f>
        <v/>
      </c>
      <c r="M69" s="156" t="inlineStr">
        <is>
          <t>S-B10-ARM-D32</t>
        </is>
      </c>
      <c r="N69" s="99" t="inlineStr">
        <is>
          <t>Estructuras</t>
        </is>
      </c>
      <c r="O69" s="99" t="inlineStr">
        <is>
          <t>Estimado DION · criterio de mercado Guayaquil 2026 (no verificado en tienda)</t>
        </is>
      </c>
      <c r="P69" s="99" t="inlineStr">
        <is>
          <t>oct-2026 (est.)</t>
        </is>
      </c>
      <c r="Q69" s="99" t="n">
        <v>7</v>
      </c>
    </row>
    <row r="70">
      <c r="A70" s="18" t="n">
        <v>49</v>
      </c>
      <c r="B70" s="19" t="inlineStr">
        <is>
          <t xml:space="preserve">        Acero de Refuerzo Corrugado Gr. 60 Figurado (kg)</t>
        </is>
      </c>
      <c r="C70" s="20" t="inlineStr">
        <is>
          <t>Residencial / Comercial</t>
        </is>
      </c>
      <c r="D70" s="18" t="inlineStr">
        <is>
          <t>Acero Figurado</t>
        </is>
      </c>
      <c r="E70" s="18" t="inlineStr">
        <is>
          <t>kg</t>
        </is>
      </c>
      <c r="F70" s="21" t="n">
        <v>500</v>
      </c>
      <c r="G70" s="22" t="n">
        <v>1.18</v>
      </c>
      <c r="H70" s="22" t="n">
        <v>1.24</v>
      </c>
      <c r="I70" s="18" t="inlineStr">
        <is>
          <t>Megametales</t>
        </is>
      </c>
      <c r="J70" s="22" t="n">
        <v>1.27</v>
      </c>
      <c r="K70" s="18" t="inlineStr">
        <is>
          <t>Ferrisariato</t>
        </is>
      </c>
      <c r="L70" s="8">
        <f>F70*G70</f>
        <v/>
      </c>
      <c r="M70" s="145" t="inlineStr">
        <is>
          <t>S-B10-ARM-FIG-KG</t>
        </is>
      </c>
      <c r="N70" s="18" t="inlineStr">
        <is>
          <t>Estructuras</t>
        </is>
      </c>
      <c r="O70" s="18" t="inlineStr">
        <is>
          <t>Estimado DION · criterio de mercado Guayaquil 2026 (no verificado en tienda)</t>
        </is>
      </c>
      <c r="P70" s="18" t="inlineStr">
        <is>
          <t>oct-2026 (est.)</t>
        </is>
      </c>
      <c r="Q70" s="18" t="n">
        <v>3</v>
      </c>
    </row>
    <row r="71">
      <c r="A71" s="99" t="n">
        <v>50</v>
      </c>
      <c r="B71" s="100" t="inlineStr">
        <is>
          <t xml:space="preserve">        Varilla Lisa Ø5.5 mm (Estribos Livianos) x 6 m</t>
        </is>
      </c>
      <c r="C71" s="101" t="inlineStr">
        <is>
          <t>Residencial / Comercial</t>
        </is>
      </c>
      <c r="D71" s="99" t="inlineStr">
        <is>
          <t>Varilla Lisa</t>
        </is>
      </c>
      <c r="E71" s="99" t="inlineStr">
        <is>
          <t>U</t>
        </is>
      </c>
      <c r="F71" s="102" t="n">
        <v>20</v>
      </c>
      <c r="G71" s="103" t="n">
        <v>1.35</v>
      </c>
      <c r="H71" s="103" t="n">
        <v>1.42</v>
      </c>
      <c r="I71" s="99" t="inlineStr">
        <is>
          <t>Megametales</t>
        </is>
      </c>
      <c r="J71" s="103" t="n">
        <v>1.49</v>
      </c>
      <c r="K71" s="99" t="inlineStr">
        <is>
          <t>Kywi / Megakywi</t>
        </is>
      </c>
      <c r="L71" s="104">
        <f>F71*G71</f>
        <v/>
      </c>
      <c r="M71" s="156" t="inlineStr">
        <is>
          <t>S-B10-ARM-D5P5</t>
        </is>
      </c>
      <c r="N71" s="99" t="inlineStr">
        <is>
          <t>Estructuras</t>
        </is>
      </c>
      <c r="O71" s="99" t="inlineStr">
        <is>
          <t>Estimado DION · criterio de mercado Guayaquil 2026 (no verificado en tienda)</t>
        </is>
      </c>
      <c r="P71" s="99" t="inlineStr">
        <is>
          <t>oct-2026 (est.)</t>
        </is>
      </c>
      <c r="Q71" s="99" t="n">
        <v>7</v>
      </c>
    </row>
    <row r="72">
      <c r="A72" s="18" t="n">
        <v>51</v>
      </c>
      <c r="B72" s="19" t="inlineStr">
        <is>
          <t xml:space="preserve">        Alambre Galvanizado #16 (kg)</t>
        </is>
      </c>
      <c r="C72" s="20" t="inlineStr">
        <is>
          <t>Residencial / Comercial</t>
        </is>
      </c>
      <c r="D72" s="18" t="inlineStr">
        <is>
          <t>Alambre Galvanizado</t>
        </is>
      </c>
      <c r="E72" s="18" t="inlineStr">
        <is>
          <t>kg</t>
        </is>
      </c>
      <c r="F72" s="21" t="n">
        <v>10</v>
      </c>
      <c r="G72" s="22" t="n">
        <v>2.25</v>
      </c>
      <c r="H72" s="22" t="n">
        <v>2.32</v>
      </c>
      <c r="I72" s="18" t="inlineStr">
        <is>
          <t>Megametales</t>
        </is>
      </c>
      <c r="J72" s="22" t="n">
        <v>2.5</v>
      </c>
      <c r="K72" s="18" t="inlineStr">
        <is>
          <t>Ferrisariato</t>
        </is>
      </c>
      <c r="L72" s="8">
        <f>F72*G72</f>
        <v/>
      </c>
      <c r="M72" s="145" t="inlineStr">
        <is>
          <t>S-B10-ACC-ALA-16</t>
        </is>
      </c>
      <c r="N72" s="18" t="inlineStr">
        <is>
          <t>Estructuras</t>
        </is>
      </c>
      <c r="O72" s="18" t="inlineStr">
        <is>
          <t>Estimado DION · criterio de mercado Guayaquil 2026 (no verificado en tienda)</t>
        </is>
      </c>
      <c r="P72" s="18" t="inlineStr">
        <is>
          <t>oct-2026 (est.)</t>
        </is>
      </c>
      <c r="Q72" s="18" t="n">
        <v>10</v>
      </c>
    </row>
    <row r="73">
      <c r="A73" s="99" t="n">
        <v>52</v>
      </c>
      <c r="B73" s="100" t="inlineStr">
        <is>
          <t xml:space="preserve">        Chicote / Anclaje de Mampostería Ø8 mm x 60 cm</t>
        </is>
      </c>
      <c r="C73" s="101" t="inlineStr">
        <is>
          <t>Residencial / Comercial</t>
        </is>
      </c>
      <c r="D73" s="99" t="inlineStr">
        <is>
          <t>Chicotes</t>
        </is>
      </c>
      <c r="E73" s="99" t="inlineStr">
        <is>
          <t>U</t>
        </is>
      </c>
      <c r="F73" s="102" t="n">
        <v>100</v>
      </c>
      <c r="G73" s="103" t="n">
        <v>0.38</v>
      </c>
      <c r="H73" s="103" t="n">
        <v>0.4</v>
      </c>
      <c r="I73" s="99" t="inlineStr">
        <is>
          <t>Megametales</t>
        </is>
      </c>
      <c r="J73" s="103" t="n">
        <v>0.41</v>
      </c>
      <c r="K73" s="99" t="inlineStr">
        <is>
          <t>Kywi / Megakywi</t>
        </is>
      </c>
      <c r="L73" s="104">
        <f>F73*G73</f>
        <v/>
      </c>
      <c r="M73" s="156" t="inlineStr">
        <is>
          <t>S-B10-ACC-CHI-008</t>
        </is>
      </c>
      <c r="N73" s="99" t="inlineStr">
        <is>
          <t>Estructuras</t>
        </is>
      </c>
      <c r="O73" s="99" t="inlineStr">
        <is>
          <t>Estimado DION · criterio de mercado Guayaquil 2026 (no verificado en tienda)</t>
        </is>
      </c>
      <c r="P73" s="99" t="inlineStr">
        <is>
          <t>oct-2026 (est.)</t>
        </is>
      </c>
      <c r="Q73" s="99" t="n">
        <v>3</v>
      </c>
    </row>
    <row r="74">
      <c r="A74" s="18" t="n">
        <v>53</v>
      </c>
      <c r="B74" s="19" t="inlineStr">
        <is>
          <t xml:space="preserve">        Acoplador Mecánico Roscado para Varilla Ø25 mm</t>
        </is>
      </c>
      <c r="C74" s="20" t="inlineStr">
        <is>
          <t>Comercial / Industrial</t>
        </is>
      </c>
      <c r="D74" s="18" t="inlineStr">
        <is>
          <t>Acopladores</t>
        </is>
      </c>
      <c r="E74" s="18" t="inlineStr">
        <is>
          <t>U</t>
        </is>
      </c>
      <c r="F74" s="21" t="n">
        <v>10</v>
      </c>
      <c r="G74" s="22" t="n">
        <v>9.5</v>
      </c>
      <c r="H74" s="22" t="n">
        <v>9.69</v>
      </c>
      <c r="I74" s="18" t="inlineStr">
        <is>
          <t>Megametales</t>
        </is>
      </c>
      <c r="J74" s="22" t="n">
        <v>10.36</v>
      </c>
      <c r="K74" s="18" t="inlineStr">
        <is>
          <t>Ferrisariato</t>
        </is>
      </c>
      <c r="L74" s="8">
        <f>F74*G74</f>
        <v/>
      </c>
      <c r="M74" s="145" t="inlineStr">
        <is>
          <t>S-B10-ACC-ACO-025</t>
        </is>
      </c>
      <c r="N74" s="18" t="inlineStr">
        <is>
          <t>Estructuras</t>
        </is>
      </c>
      <c r="O74" s="18" t="inlineStr">
        <is>
          <t>Estimado DION · criterio de mercado Guayaquil 2026 (no verificado en tienda)</t>
        </is>
      </c>
      <c r="P74" s="18" t="inlineStr">
        <is>
          <t>oct-2026 (est.)</t>
        </is>
      </c>
      <c r="Q74" s="18" t="n"/>
    </row>
    <row r="75">
      <c r="A75" s="96" t="inlineStr">
        <is>
          <t>EQUIPOS ESPECIALIZADOS</t>
        </is>
      </c>
      <c r="B75" s="143" t="n"/>
      <c r="C75" s="143" t="n"/>
      <c r="D75" s="143" t="n"/>
      <c r="E75" s="143" t="n"/>
      <c r="F75" s="143" t="n"/>
      <c r="G75" s="143" t="n"/>
      <c r="H75" s="143" t="n"/>
      <c r="I75" s="143" t="n"/>
      <c r="J75" s="143" t="n"/>
      <c r="K75" s="143" t="n"/>
      <c r="L75" s="143" t="n"/>
      <c r="M75" s="143" t="n"/>
      <c r="N75" s="143" t="n"/>
      <c r="O75" s="143" t="n"/>
      <c r="P75" s="143" t="n"/>
      <c r="Q75" s="144" t="n"/>
    </row>
    <row r="76">
      <c r="A76" s="97" t="inlineStr">
        <is>
          <t xml:space="preserve">  ► CATEGORÍA: ADITIVOS, CURADORES Y ENSAYOS DE PROBETAS</t>
        </is>
      </c>
      <c r="B76" s="143" t="n"/>
      <c r="C76" s="143" t="n"/>
      <c r="D76" s="143" t="n"/>
      <c r="E76" s="143" t="n"/>
      <c r="F76" s="143" t="n"/>
      <c r="G76" s="143" t="n"/>
      <c r="H76" s="143" t="n"/>
      <c r="I76" s="143" t="n"/>
      <c r="J76" s="143" t="n"/>
      <c r="K76" s="143" t="n"/>
      <c r="L76" s="143" t="n"/>
      <c r="M76" s="143" t="n"/>
      <c r="N76" s="143" t="n"/>
      <c r="O76" s="143" t="n"/>
      <c r="P76" s="143" t="n"/>
      <c r="Q76" s="144" t="n"/>
    </row>
    <row r="77">
      <c r="A77" s="98" t="inlineStr">
        <is>
          <t xml:space="preserve">      • Subcategoría Especificada: Aditivos Química de la Construcción</t>
        </is>
      </c>
      <c r="B77" s="143" t="n"/>
      <c r="C77" s="143" t="n"/>
      <c r="D77" s="143" t="n"/>
      <c r="E77" s="143" t="n"/>
      <c r="F77" s="143" t="n"/>
      <c r="G77" s="143" t="n"/>
      <c r="H77" s="143" t="n"/>
      <c r="I77" s="143" t="n"/>
      <c r="J77" s="143" t="n"/>
      <c r="K77" s="143" t="n"/>
      <c r="L77" s="143" t="n"/>
      <c r="M77" s="143" t="n"/>
      <c r="N77" s="143" t="n"/>
      <c r="O77" s="143" t="n"/>
      <c r="P77" s="143" t="n"/>
      <c r="Q77" s="144" t="n"/>
    </row>
    <row r="78">
      <c r="A78" s="99" t="n">
        <v>54</v>
      </c>
      <c r="B78" s="100" t="inlineStr">
        <is>
          <t xml:space="preserve">        Aditivo Plastificante / Reductores de Agua Sika ViscoCrete</t>
        </is>
      </c>
      <c r="C78" s="101" t="inlineStr">
        <is>
          <t>Comercial / Industrial</t>
        </is>
      </c>
      <c r="D78" s="99" t="inlineStr">
        <is>
          <t>Aditivos Hormigón</t>
        </is>
      </c>
      <c r="E78" s="99" t="inlineStr">
        <is>
          <t>Galón</t>
        </is>
      </c>
      <c r="F78" s="102" t="n">
        <v>2</v>
      </c>
      <c r="G78" s="103" t="n">
        <v>28</v>
      </c>
      <c r="H78" s="103" t="n">
        <v>29.2</v>
      </c>
      <c r="I78" s="99" t="inlineStr">
        <is>
          <t>Megametales</t>
        </is>
      </c>
      <c r="J78" s="103" t="n">
        <v>31.5</v>
      </c>
      <c r="K78" s="99" t="inlineStr">
        <is>
          <t>Kywi / Megakywi</t>
        </is>
      </c>
      <c r="L78" s="104">
        <f>F78*G78</f>
        <v/>
      </c>
      <c r="M78" s="156" t="inlineStr">
        <is>
          <t>S-B10-ADI-PLA</t>
        </is>
      </c>
      <c r="N78" s="99" t="inlineStr">
        <is>
          <t>Estructuras</t>
        </is>
      </c>
      <c r="O78" s="99" t="inlineStr">
        <is>
          <t>Estimado · base original del usuario (sin cotización verificada)</t>
        </is>
      </c>
      <c r="P78" s="99" t="inlineStr">
        <is>
          <t>oct-2026 (est.)</t>
        </is>
      </c>
      <c r="Q78" s="99" t="n"/>
    </row>
    <row r="79">
      <c r="A79" s="18" t="n">
        <v>55</v>
      </c>
      <c r="B79" s="19" t="inlineStr">
        <is>
          <t xml:space="preserve">        Curador Químico de Membrana para Hormigón (Caneca 20L)</t>
        </is>
      </c>
      <c r="C79" s="20" t="inlineStr">
        <is>
          <t>Residencial / Comercial</t>
        </is>
      </c>
      <c r="D79" s="18" t="inlineStr">
        <is>
          <t>Curadores Hormigón</t>
        </is>
      </c>
      <c r="E79" s="18" t="inlineStr">
        <is>
          <t>Caneca 20L</t>
        </is>
      </c>
      <c r="F79" s="21" t="n">
        <v>1</v>
      </c>
      <c r="G79" s="22" t="n">
        <v>45</v>
      </c>
      <c r="H79" s="22" t="n">
        <v>46.8</v>
      </c>
      <c r="I79" s="18" t="inlineStr">
        <is>
          <t>Megametales</t>
        </is>
      </c>
      <c r="J79" s="22" t="n">
        <v>49.5</v>
      </c>
      <c r="K79" s="18" t="inlineStr">
        <is>
          <t>Ferrisariato</t>
        </is>
      </c>
      <c r="L79" s="8">
        <f>F79*G79</f>
        <v/>
      </c>
      <c r="M79" s="145" t="inlineStr">
        <is>
          <t>S-B10-ADI-CUR</t>
        </is>
      </c>
      <c r="N79" s="18" t="inlineStr">
        <is>
          <t>Estructuras</t>
        </is>
      </c>
      <c r="O79" s="18" t="inlineStr">
        <is>
          <t>Estimado · base original del usuario (sin cotización verificada)</t>
        </is>
      </c>
      <c r="P79" s="18" t="inlineStr">
        <is>
          <t>oct-2026 (est.)</t>
        </is>
      </c>
      <c r="Q79" s="18" t="n"/>
    </row>
    <row r="80">
      <c r="A80" s="98" t="inlineStr">
        <is>
          <t xml:space="preserve">      • Subcategoría Especificada: Aditivos por Función, Epóxicos y Ensayos de Laboratorio</t>
        </is>
      </c>
      <c r="B80" s="143" t="n"/>
      <c r="C80" s="143" t="n"/>
      <c r="D80" s="143" t="n"/>
      <c r="E80" s="143" t="n"/>
      <c r="F80" s="143" t="n"/>
      <c r="G80" s="143" t="n"/>
      <c r="H80" s="143" t="n"/>
      <c r="I80" s="143" t="n"/>
      <c r="J80" s="143" t="n"/>
      <c r="K80" s="143" t="n"/>
      <c r="L80" s="143" t="n"/>
      <c r="M80" s="143" t="n"/>
      <c r="N80" s="143" t="n"/>
      <c r="O80" s="143" t="n"/>
      <c r="P80" s="143" t="n"/>
      <c r="Q80" s="144" t="n"/>
    </row>
    <row r="81">
      <c r="A81" s="99" t="n">
        <v>56</v>
      </c>
      <c r="B81" s="100" t="inlineStr">
        <is>
          <t xml:space="preserve">        Aditivo Acelerante de Fraguado (Galón)</t>
        </is>
      </c>
      <c r="C81" s="101" t="inlineStr">
        <is>
          <t>Residencial / Comercial</t>
        </is>
      </c>
      <c r="D81" s="99" t="inlineStr">
        <is>
          <t>Aditivos</t>
        </is>
      </c>
      <c r="E81" s="99" t="inlineStr">
        <is>
          <t>Galón</t>
        </is>
      </c>
      <c r="F81" s="102" t="n">
        <v>2</v>
      </c>
      <c r="G81" s="103" t="n">
        <v>14.5</v>
      </c>
      <c r="H81" s="103" t="n">
        <v>15.08</v>
      </c>
      <c r="I81" s="99" t="inlineStr">
        <is>
          <t>Megametales</t>
        </is>
      </c>
      <c r="J81" s="103" t="n">
        <v>15.81</v>
      </c>
      <c r="K81" s="99" t="inlineStr">
        <is>
          <t>Kywi / Megakywi</t>
        </is>
      </c>
      <c r="L81" s="104">
        <f>F81*G81</f>
        <v/>
      </c>
      <c r="M81" s="156" t="inlineStr">
        <is>
          <t>S-B10-ADI-ACE</t>
        </is>
      </c>
      <c r="N81" s="99" t="inlineStr">
        <is>
          <t>Estructuras</t>
        </is>
      </c>
      <c r="O81" s="99" t="inlineStr">
        <is>
          <t>Estimado DION · criterio de mercado Guayaquil 2026 (no verificado en tienda)</t>
        </is>
      </c>
      <c r="P81" s="99" t="inlineStr">
        <is>
          <t>oct-2026 (est.)</t>
        </is>
      </c>
      <c r="Q81" s="99" t="n"/>
    </row>
    <row r="82">
      <c r="A82" s="18" t="n">
        <v>57</v>
      </c>
      <c r="B82" s="19" t="inlineStr">
        <is>
          <t xml:space="preserve">        Aditivo Retardante de Fraguado (Galón)</t>
        </is>
      </c>
      <c r="C82" s="20" t="inlineStr">
        <is>
          <t>Comercial / Industrial</t>
        </is>
      </c>
      <c r="D82" s="18" t="inlineStr">
        <is>
          <t>Aditivos</t>
        </is>
      </c>
      <c r="E82" s="18" t="inlineStr">
        <is>
          <t>Galón</t>
        </is>
      </c>
      <c r="F82" s="21" t="n">
        <v>2</v>
      </c>
      <c r="G82" s="22" t="n">
        <v>16.5</v>
      </c>
      <c r="H82" s="22" t="n">
        <v>17.16</v>
      </c>
      <c r="I82" s="18" t="inlineStr">
        <is>
          <t>Megametales</t>
        </is>
      </c>
      <c r="J82" s="22" t="n">
        <v>17.66</v>
      </c>
      <c r="K82" s="18" t="inlineStr">
        <is>
          <t>Ferrisariato</t>
        </is>
      </c>
      <c r="L82" s="8">
        <f>F82*G82</f>
        <v/>
      </c>
      <c r="M82" s="145" t="inlineStr">
        <is>
          <t>S-B10-ADI-RET</t>
        </is>
      </c>
      <c r="N82" s="18" t="inlineStr">
        <is>
          <t>Estructuras</t>
        </is>
      </c>
      <c r="O82" s="18" t="inlineStr">
        <is>
          <t>Estimado DION · criterio de mercado Guayaquil 2026 (no verificado en tienda)</t>
        </is>
      </c>
      <c r="P82" s="18" t="inlineStr">
        <is>
          <t>oct-2026 (est.)</t>
        </is>
      </c>
      <c r="Q82" s="18" t="n"/>
    </row>
    <row r="83">
      <c r="A83" s="99" t="n">
        <v>58</v>
      </c>
      <c r="B83" s="100" t="inlineStr">
        <is>
          <t xml:space="preserve">        Aditivo Impermeabilizante Integral (Galón)</t>
        </is>
      </c>
      <c r="C83" s="101" t="inlineStr">
        <is>
          <t>Residencial / Comercial</t>
        </is>
      </c>
      <c r="D83" s="99" t="inlineStr">
        <is>
          <t>Aditivos</t>
        </is>
      </c>
      <c r="E83" s="99" t="inlineStr">
        <is>
          <t>Galón</t>
        </is>
      </c>
      <c r="F83" s="102" t="n">
        <v>2</v>
      </c>
      <c r="G83" s="103" t="n">
        <v>12.5</v>
      </c>
      <c r="H83" s="103" t="n">
        <v>13</v>
      </c>
      <c r="I83" s="99" t="inlineStr">
        <is>
          <t>Megametales</t>
        </is>
      </c>
      <c r="J83" s="103" t="n">
        <v>13.75</v>
      </c>
      <c r="K83" s="99" t="inlineStr">
        <is>
          <t>Kywi / Megakywi</t>
        </is>
      </c>
      <c r="L83" s="104">
        <f>F83*G83</f>
        <v/>
      </c>
      <c r="M83" s="156" t="inlineStr">
        <is>
          <t>S-B10-ADI-IMP</t>
        </is>
      </c>
      <c r="N83" s="99" t="inlineStr">
        <is>
          <t>Estructuras</t>
        </is>
      </c>
      <c r="O83" s="99" t="inlineStr">
        <is>
          <t>Estimado DION · criterio de mercado Guayaquil 2026 (no verificado en tienda)</t>
        </is>
      </c>
      <c r="P83" s="99" t="inlineStr">
        <is>
          <t>oct-2026 (est.)</t>
        </is>
      </c>
      <c r="Q83" s="99" t="n"/>
    </row>
    <row r="84">
      <c r="A84" s="18" t="n">
        <v>59</v>
      </c>
      <c r="B84" s="19" t="inlineStr">
        <is>
          <t xml:space="preserve">        Superplastificante Policarboxilato (Caneca 20 L)</t>
        </is>
      </c>
      <c r="C84" s="20" t="inlineStr">
        <is>
          <t>Comercial / Industrial</t>
        </is>
      </c>
      <c r="D84" s="18" t="inlineStr">
        <is>
          <t>Aditivos</t>
        </is>
      </c>
      <c r="E84" s="18" t="inlineStr">
        <is>
          <t>Caneca</t>
        </is>
      </c>
      <c r="F84" s="21" t="n">
        <v>1</v>
      </c>
      <c r="G84" s="22" t="n">
        <v>120</v>
      </c>
      <c r="H84" s="22" t="n">
        <v>122.4</v>
      </c>
      <c r="I84" s="18" t="inlineStr">
        <is>
          <t>Megametales</t>
        </is>
      </c>
      <c r="J84" s="22" t="n">
        <v>130.8</v>
      </c>
      <c r="K84" s="18" t="inlineStr">
        <is>
          <t>Ferrisariato</t>
        </is>
      </c>
      <c r="L84" s="8">
        <f>F84*G84</f>
        <v/>
      </c>
      <c r="M84" s="145" t="inlineStr">
        <is>
          <t>S-B10-ADI-SPL</t>
        </is>
      </c>
      <c r="N84" s="18" t="inlineStr">
        <is>
          <t>Estructuras</t>
        </is>
      </c>
      <c r="O84" s="18" t="inlineStr">
        <is>
          <t>Estimado DION · criterio de mercado Guayaquil 2026 (no verificado en tienda)</t>
        </is>
      </c>
      <c r="P84" s="18" t="inlineStr">
        <is>
          <t>oct-2026 (est.)</t>
        </is>
      </c>
      <c r="Q84" s="18" t="n"/>
    </row>
    <row r="85">
      <c r="A85" s="99" t="n">
        <v>60</v>
      </c>
      <c r="B85" s="100" t="inlineStr">
        <is>
          <t xml:space="preserve">        Puente de Adherencia Epóxico Hormigón Viejo-Nuevo (Kit 1 kg)</t>
        </is>
      </c>
      <c r="C85" s="101" t="inlineStr">
        <is>
          <t>Residencial / Comercial</t>
        </is>
      </c>
      <c r="D85" s="99" t="inlineStr">
        <is>
          <t>Epóxicos</t>
        </is>
      </c>
      <c r="E85" s="99" t="inlineStr">
        <is>
          <t>Kit</t>
        </is>
      </c>
      <c r="F85" s="102" t="n">
        <v>2</v>
      </c>
      <c r="G85" s="103" t="n">
        <v>24</v>
      </c>
      <c r="H85" s="103" t="n">
        <v>24.72</v>
      </c>
      <c r="I85" s="99" t="inlineStr">
        <is>
          <t>Megametales</t>
        </is>
      </c>
      <c r="J85" s="103" t="n">
        <v>25.68</v>
      </c>
      <c r="K85" s="99" t="inlineStr">
        <is>
          <t>Kywi / Megakywi</t>
        </is>
      </c>
      <c r="L85" s="104">
        <f>F85*G85</f>
        <v/>
      </c>
      <c r="M85" s="156" t="inlineStr">
        <is>
          <t>S-B10-ADI-EPX-ADH</t>
        </is>
      </c>
      <c r="N85" s="99" t="inlineStr">
        <is>
          <t>Estructuras</t>
        </is>
      </c>
      <c r="O85" s="99" t="inlineStr">
        <is>
          <t>Estimado DION · criterio de mercado Guayaquil 2026 (no verificado en tienda)</t>
        </is>
      </c>
      <c r="P85" s="99" t="inlineStr">
        <is>
          <t>oct-2026 (est.)</t>
        </is>
      </c>
      <c r="Q85" s="99" t="n"/>
    </row>
    <row r="86">
      <c r="A86" s="18" t="n">
        <v>61</v>
      </c>
      <c r="B86" s="19" t="inlineStr">
        <is>
          <t xml:space="preserve">        Mortero de Reparación Estructural (Saco 25 kg)</t>
        </is>
      </c>
      <c r="C86" s="20" t="inlineStr">
        <is>
          <t>Comercial / Industrial</t>
        </is>
      </c>
      <c r="D86" s="18" t="inlineStr">
        <is>
          <t>Morteros Reparación</t>
        </is>
      </c>
      <c r="E86" s="18" t="inlineStr">
        <is>
          <t>Saco</t>
        </is>
      </c>
      <c r="F86" s="21" t="n">
        <v>4</v>
      </c>
      <c r="G86" s="22" t="n">
        <v>28</v>
      </c>
      <c r="H86" s="22" t="n">
        <v>29.4</v>
      </c>
      <c r="I86" s="18" t="inlineStr">
        <is>
          <t>Megametales</t>
        </is>
      </c>
      <c r="J86" s="22" t="n">
        <v>30.52</v>
      </c>
      <c r="K86" s="18" t="inlineStr">
        <is>
          <t>Ferrisariato</t>
        </is>
      </c>
      <c r="L86" s="8">
        <f>F86*G86</f>
        <v/>
      </c>
      <c r="M86" s="145" t="inlineStr">
        <is>
          <t>S-B10-ADI-MRE</t>
        </is>
      </c>
      <c r="N86" s="18" t="inlineStr">
        <is>
          <t>Estructuras</t>
        </is>
      </c>
      <c r="O86" s="18" t="inlineStr">
        <is>
          <t>Estimado DION · criterio de mercado Guayaquil 2026 (no verificado en tienda)</t>
        </is>
      </c>
      <c r="P86" s="18" t="inlineStr">
        <is>
          <t>oct-2026 (est.)</t>
        </is>
      </c>
      <c r="Q86" s="18" t="n"/>
    </row>
    <row r="87">
      <c r="A87" s="99" t="n">
        <v>62</v>
      </c>
      <c r="B87" s="100" t="inlineStr">
        <is>
          <t xml:space="preserve">        Grout Cementicio sin Retracción (Saco 25 kg)</t>
        </is>
      </c>
      <c r="C87" s="101" t="inlineStr">
        <is>
          <t>Comercial / Industrial</t>
        </is>
      </c>
      <c r="D87" s="99" t="inlineStr">
        <is>
          <t>Grouts</t>
        </is>
      </c>
      <c r="E87" s="99" t="inlineStr">
        <is>
          <t>Saco</t>
        </is>
      </c>
      <c r="F87" s="102" t="n">
        <v>4</v>
      </c>
      <c r="G87" s="103" t="n">
        <v>24</v>
      </c>
      <c r="H87" s="103" t="n">
        <v>24.48</v>
      </c>
      <c r="I87" s="99" t="inlineStr">
        <is>
          <t>Megametales</t>
        </is>
      </c>
      <c r="J87" s="103" t="n">
        <v>26.64</v>
      </c>
      <c r="K87" s="99" t="inlineStr">
        <is>
          <t>Kywi / Megakywi</t>
        </is>
      </c>
      <c r="L87" s="104">
        <f>F87*G87</f>
        <v/>
      </c>
      <c r="M87" s="156" t="inlineStr">
        <is>
          <t>S-B10-HOR-GRT</t>
        </is>
      </c>
      <c r="N87" s="99" t="inlineStr">
        <is>
          <t>Estructuras</t>
        </is>
      </c>
      <c r="O87" s="99" t="inlineStr">
        <is>
          <t>Estimado DION · criterio de mercado Guayaquil 2026 (no verificado en tienda)</t>
        </is>
      </c>
      <c r="P87" s="99" t="inlineStr">
        <is>
          <t>oct-2026 (est.)</t>
        </is>
      </c>
      <c r="Q87" s="99" t="n"/>
    </row>
    <row r="88">
      <c r="A88" s="18" t="n">
        <v>63</v>
      </c>
      <c r="B88" s="19" t="inlineStr">
        <is>
          <t xml:space="preserve">        Sika Anchorfix Anclaje Epóxico (Cartucho)</t>
        </is>
      </c>
      <c r="C88" s="20" t="inlineStr">
        <is>
          <t>Comercial / Industrial</t>
        </is>
      </c>
      <c r="D88" s="18" t="inlineStr">
        <is>
          <t>Anclajes</t>
        </is>
      </c>
      <c r="E88" s="18" t="inlineStr">
        <is>
          <t>U</t>
        </is>
      </c>
      <c r="F88" s="21" t="n">
        <v>4</v>
      </c>
      <c r="G88" s="22" t="n">
        <v>22</v>
      </c>
      <c r="H88" s="22" t="n">
        <v>22.88</v>
      </c>
      <c r="I88" s="18" t="inlineStr">
        <is>
          <t>Megametales</t>
        </is>
      </c>
      <c r="J88" s="22" t="n">
        <v>24.42</v>
      </c>
      <c r="K88" s="18" t="inlineStr">
        <is>
          <t>Ferrisariato</t>
        </is>
      </c>
      <c r="L88" s="8">
        <f>F88*G88</f>
        <v/>
      </c>
      <c r="M88" s="145" t="inlineStr">
        <is>
          <t>S-B10-ADI-ANC</t>
        </is>
      </c>
      <c r="N88" s="18" t="inlineStr">
        <is>
          <t>Estructuras</t>
        </is>
      </c>
      <c r="O88" s="18" t="inlineStr">
        <is>
          <t>Estimado DION · criterio de mercado Guayaquil 2026 (no verificado en tienda)</t>
        </is>
      </c>
      <c r="P88" s="18" t="inlineStr">
        <is>
          <t>oct-2026 (est.)</t>
        </is>
      </c>
      <c r="Q88" s="18" t="n"/>
    </row>
    <row r="89">
      <c r="A89" s="99" t="n">
        <v>64</v>
      </c>
      <c r="B89" s="100" t="inlineStr">
        <is>
          <t xml:space="preserve">        Ensayo de Compresión de Cilindros (Juego 3 Probetas)</t>
        </is>
      </c>
      <c r="C89" s="101" t="inlineStr">
        <is>
          <t>Residencial / Comercial / Ind</t>
        </is>
      </c>
      <c r="D89" s="99" t="inlineStr">
        <is>
          <t>Ensayos</t>
        </is>
      </c>
      <c r="E89" s="99" t="inlineStr">
        <is>
          <t>Juego</t>
        </is>
      </c>
      <c r="F89" s="102" t="n">
        <v>4</v>
      </c>
      <c r="G89" s="103" t="n">
        <v>18</v>
      </c>
      <c r="H89" s="103" t="n">
        <v>18.9</v>
      </c>
      <c r="I89" s="99" t="inlineStr">
        <is>
          <t>Megametales</t>
        </is>
      </c>
      <c r="J89" s="103" t="n">
        <v>19.8</v>
      </c>
      <c r="K89" s="99" t="inlineStr">
        <is>
          <t>Kywi / Megakywi</t>
        </is>
      </c>
      <c r="L89" s="104">
        <f>F89*G89</f>
        <v/>
      </c>
      <c r="M89" s="156" t="inlineStr">
        <is>
          <t>S-B10-ADI-ENS-CIL</t>
        </is>
      </c>
      <c r="N89" s="99" t="inlineStr">
        <is>
          <t>Estructuras</t>
        </is>
      </c>
      <c r="O89" s="99" t="inlineStr">
        <is>
          <t>Estimado DION · criterio de mercado Guayaquil 2026 (no verificado en tienda)</t>
        </is>
      </c>
      <c r="P89" s="99" t="inlineStr">
        <is>
          <t>oct-2026 (est.)</t>
        </is>
      </c>
      <c r="Q89" s="99" t="n"/>
    </row>
    <row r="90">
      <c r="A90" s="18" t="n">
        <v>65</v>
      </c>
      <c r="B90" s="19" t="inlineStr">
        <is>
          <t xml:space="preserve">        Ensayo de Tracción de Varilla (Muestra)</t>
        </is>
      </c>
      <c r="C90" s="20" t="inlineStr">
        <is>
          <t>Comercial / Industrial</t>
        </is>
      </c>
      <c r="D90" s="18" t="inlineStr">
        <is>
          <t>Ensayos</t>
        </is>
      </c>
      <c r="E90" s="18" t="inlineStr">
        <is>
          <t>U</t>
        </is>
      </c>
      <c r="F90" s="21" t="n">
        <v>2</v>
      </c>
      <c r="G90" s="22" t="n">
        <v>25</v>
      </c>
      <c r="H90" s="22" t="n">
        <v>25.5</v>
      </c>
      <c r="I90" s="18" t="inlineStr">
        <is>
          <t>Megametales</t>
        </is>
      </c>
      <c r="J90" s="22" t="n">
        <v>27.5</v>
      </c>
      <c r="K90" s="18" t="inlineStr">
        <is>
          <t>Ferrisariato</t>
        </is>
      </c>
      <c r="L90" s="8">
        <f>F90*G90</f>
        <v/>
      </c>
      <c r="M90" s="145" t="inlineStr">
        <is>
          <t>S-B10-ADI-ENS-VAR</t>
        </is>
      </c>
      <c r="N90" s="18" t="inlineStr">
        <is>
          <t>Estructuras</t>
        </is>
      </c>
      <c r="O90" s="18" t="inlineStr">
        <is>
          <t>Estimado DION · criterio de mercado Guayaquil 2026 (no verificado en tienda)</t>
        </is>
      </c>
      <c r="P90" s="18" t="inlineStr">
        <is>
          <t>oct-2026 (est.)</t>
        </is>
      </c>
      <c r="Q90" s="18" t="n"/>
    </row>
    <row r="91">
      <c r="A91" s="99" t="n">
        <v>66</v>
      </c>
      <c r="B91" s="100" t="inlineStr">
        <is>
          <t xml:space="preserve">        Extracción de Núcleo de Hormigón (Unidad)</t>
        </is>
      </c>
      <c r="C91" s="101" t="inlineStr">
        <is>
          <t>Comercial / Industrial</t>
        </is>
      </c>
      <c r="D91" s="99" t="inlineStr">
        <is>
          <t>Ensayos</t>
        </is>
      </c>
      <c r="E91" s="99" t="inlineStr">
        <is>
          <t>U</t>
        </is>
      </c>
      <c r="F91" s="102" t="n">
        <v>2</v>
      </c>
      <c r="G91" s="103" t="n">
        <v>95</v>
      </c>
      <c r="H91" s="103" t="n">
        <v>96.90000000000001</v>
      </c>
      <c r="I91" s="99" t="inlineStr">
        <is>
          <t>Megametales</t>
        </is>
      </c>
      <c r="J91" s="103" t="n">
        <v>104.5</v>
      </c>
      <c r="K91" s="99" t="inlineStr">
        <is>
          <t>Kywi / Megakywi</t>
        </is>
      </c>
      <c r="L91" s="104">
        <f>F91*G91</f>
        <v/>
      </c>
      <c r="M91" s="156" t="inlineStr">
        <is>
          <t>S-B10-ADI-ENS-NUC</t>
        </is>
      </c>
      <c r="N91" s="99" t="inlineStr">
        <is>
          <t>Estructuras</t>
        </is>
      </c>
      <c r="O91" s="99" t="inlineStr">
        <is>
          <t>Estimado DION · criterio de mercado Guayaquil 2026 (no verificado en tienda)</t>
        </is>
      </c>
      <c r="P91" s="99" t="inlineStr">
        <is>
          <t>oct-2026 (est.)</t>
        </is>
      </c>
      <c r="Q91" s="99" t="n"/>
    </row>
    <row r="92">
      <c r="A92" s="18" t="n">
        <v>67</v>
      </c>
      <c r="B92" s="19" t="inlineStr">
        <is>
          <t xml:space="preserve">        Molde Metálico para Cilindro 15x30 cm</t>
        </is>
      </c>
      <c r="C92" s="20" t="inlineStr">
        <is>
          <t>Residencial / Comercial</t>
        </is>
      </c>
      <c r="D92" s="18" t="inlineStr">
        <is>
          <t>Moldes</t>
        </is>
      </c>
      <c r="E92" s="18" t="inlineStr">
        <is>
          <t>U</t>
        </is>
      </c>
      <c r="F92" s="21" t="n">
        <v>3</v>
      </c>
      <c r="G92" s="22" t="n">
        <v>22</v>
      </c>
      <c r="H92" s="22" t="n">
        <v>23.1</v>
      </c>
      <c r="I92" s="18" t="inlineStr">
        <is>
          <t>Megametales</t>
        </is>
      </c>
      <c r="J92" s="22" t="n">
        <v>23.98</v>
      </c>
      <c r="K92" s="18" t="inlineStr">
        <is>
          <t>Ferrisariato</t>
        </is>
      </c>
      <c r="L92" s="8">
        <f>F92*G92</f>
        <v/>
      </c>
      <c r="M92" s="145" t="inlineStr">
        <is>
          <t>S-B10-ADI-MOL-CIL</t>
        </is>
      </c>
      <c r="N92" s="18" t="inlineStr">
        <is>
          <t>Estructuras</t>
        </is>
      </c>
      <c r="O92" s="18" t="inlineStr">
        <is>
          <t>Estimado DION · criterio de mercado Guayaquil 2026 (no verificado en tienda)</t>
        </is>
      </c>
      <c r="P92" s="18" t="inlineStr">
        <is>
          <t>oct-2026 (est.)</t>
        </is>
      </c>
      <c r="Q92" s="18" t="n"/>
    </row>
    <row r="93">
      <c r="A93" s="99" t="n">
        <v>68</v>
      </c>
      <c r="B93" s="100" t="inlineStr">
        <is>
          <t xml:space="preserve">        Cono de Abrams Completo (Asentamiento)</t>
        </is>
      </c>
      <c r="C93" s="101" t="inlineStr">
        <is>
          <t>Residencial / Comercial</t>
        </is>
      </c>
      <c r="D93" s="99" t="inlineStr">
        <is>
          <t>Ensayos</t>
        </is>
      </c>
      <c r="E93" s="99" t="inlineStr">
        <is>
          <t>Juego</t>
        </is>
      </c>
      <c r="F93" s="102" t="n">
        <v>1</v>
      </c>
      <c r="G93" s="103" t="n">
        <v>65</v>
      </c>
      <c r="H93" s="103" t="n">
        <v>66.95</v>
      </c>
      <c r="I93" s="99" t="inlineStr">
        <is>
          <t>Megametales</t>
        </is>
      </c>
      <c r="J93" s="103" t="n">
        <v>70.84999999999999</v>
      </c>
      <c r="K93" s="99" t="inlineStr">
        <is>
          <t>Kywi / Megakywi</t>
        </is>
      </c>
      <c r="L93" s="104">
        <f>F93*G93</f>
        <v/>
      </c>
      <c r="M93" s="156" t="inlineStr">
        <is>
          <t>S-B10-ADI-CON-ABR</t>
        </is>
      </c>
      <c r="N93" s="99" t="inlineStr">
        <is>
          <t>Estructuras</t>
        </is>
      </c>
      <c r="O93" s="99" t="inlineStr">
        <is>
          <t>Estimado DION · criterio de mercado Guayaquil 2026 (no verificado en tienda)</t>
        </is>
      </c>
      <c r="P93" s="99" t="inlineStr">
        <is>
          <t>oct-2026 (est.)</t>
        </is>
      </c>
      <c r="Q93" s="99" t="n"/>
    </row>
    <row r="94">
      <c r="A94" s="10" t="n"/>
      <c r="B94" s="147" t="inlineStr">
        <is>
          <t>TOTAL BASE DE DATOS HORMIGÓN ARMADO (H.A.) (ESTIMADO)</t>
        </is>
      </c>
      <c r="C94" s="148" t="n"/>
      <c r="D94" s="148" t="n"/>
      <c r="E94" s="148" t="n"/>
      <c r="F94" s="148" t="n"/>
      <c r="G94" s="148" t="n"/>
      <c r="H94" s="148" t="n"/>
      <c r="I94" s="148" t="n"/>
      <c r="J94" s="148" t="n"/>
      <c r="K94" s="148" t="n"/>
      <c r="L94" s="30">
        <f>SUM(L6:L93)</f>
        <v/>
      </c>
      <c r="M94" s="30" t="n"/>
      <c r="N94" s="30" t="n"/>
      <c r="O94" s="30" t="n"/>
      <c r="P94" s="30" t="n"/>
      <c r="Q94" s="30" t="n"/>
    </row>
  </sheetData>
  <mergeCells count="21">
    <mergeCell ref="A44:Q44"/>
    <mergeCell ref="A30:Q30"/>
    <mergeCell ref="A77:Q77"/>
    <mergeCell ref="A48:Q48"/>
    <mergeCell ref="A60:Q60"/>
    <mergeCell ref="A11:Q11"/>
    <mergeCell ref="A45:Q45"/>
    <mergeCell ref="B94:K94"/>
    <mergeCell ref="A6:Q6"/>
    <mergeCell ref="A7:Q7"/>
    <mergeCell ref="A54:Q54"/>
    <mergeCell ref="A80:Q80"/>
    <mergeCell ref="A75:Q75"/>
    <mergeCell ref="A46:Q46"/>
    <mergeCell ref="A27:Q27"/>
    <mergeCell ref="A55:Q55"/>
    <mergeCell ref="A26:Q26"/>
    <mergeCell ref="A76:Q76"/>
    <mergeCell ref="A8:Q8"/>
    <mergeCell ref="A53:Q53"/>
    <mergeCell ref="A28:Q28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67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8" customWidth="1" min="2" max="2"/>
    <col width="30" customWidth="1" min="3" max="3"/>
    <col width="32" customWidth="1" min="4" max="4"/>
    <col width="8" customWidth="1" min="5" max="5"/>
    <col width="10" customWidth="1" min="6" max="6"/>
    <col width="15" customWidth="1" min="7" max="7"/>
    <col width="16" customWidth="1" min="8" max="8"/>
    <col width="22" customWidth="1" min="9" max="9"/>
    <col width="16" customWidth="1" min="10" max="10"/>
    <col width="20" customWidth="1" min="11" max="11"/>
    <col width="16" customWidth="1" min="12" max="12"/>
    <col width="27" customWidth="1" min="13" max="13"/>
    <col width="30" customWidth="1" min="14" max="14"/>
    <col width="44" customWidth="1" min="15" max="15"/>
    <col width="15" customWidth="1" min="16" max="16"/>
    <col width="14" customWidth="1" min="17" max="17"/>
  </cols>
  <sheetData>
    <row r="1">
      <c r="A1" s="1" t="inlineStr">
        <is>
          <t>BASE DE DATOS COMPLETA DE CATALOGACIÓN: CONCRETO EN GENERAL</t>
        </is>
      </c>
    </row>
    <row r="2">
      <c r="A2" s="2" t="inlineStr">
        <is>
          <t>Estructura Jerárquica Homogénea: Accesorios &gt; Tuberías &gt; Equipos &gt; Conexiones &gt; Equipos Especializados | Degradé por Niveles (Ecuador - USD)</t>
        </is>
      </c>
    </row>
    <row r="3">
      <c r="A3" s="13" t="inlineStr">
        <is>
          <t>« Volver al Índice General</t>
        </is>
      </c>
    </row>
    <row r="5" ht="30" customHeight="1">
      <c r="A5" s="4" t="inlineStr">
        <is>
          <t>Item</t>
        </is>
      </c>
      <c r="B5" s="4" t="inlineStr">
        <is>
          <t>Descripción de Accesorio / Ítem Especificado</t>
        </is>
      </c>
      <c r="C5" s="4" t="inlineStr">
        <is>
          <t>Clasificación / Ámbito de Uso
(Residencial/Comercial/Industrial)</t>
        </is>
      </c>
      <c r="D5" s="4" t="inlineStr">
        <is>
          <t>Tipo / Familia</t>
        </is>
      </c>
      <c r="E5" s="4" t="inlineStr">
        <is>
          <t>Unidad</t>
        </is>
      </c>
      <c r="F5" s="4" t="inlineStr">
        <is>
          <t>Cant.</t>
        </is>
      </c>
      <c r="G5" s="4" t="inlineStr">
        <is>
          <t>P. Ref. Est. ($)</t>
        </is>
      </c>
      <c r="H5" s="4" t="inlineStr">
        <is>
          <t>P. Unit. Local A ($)
(Megametales)</t>
        </is>
      </c>
      <c r="I5" s="4" t="inlineStr">
        <is>
          <t>Local A
Especificado</t>
        </is>
      </c>
      <c r="J5" s="4" t="inlineStr">
        <is>
          <t>P. Unit. Local B ($)
(Kywi/Ferrisariato)</t>
        </is>
      </c>
      <c r="K5" s="4" t="inlineStr">
        <is>
          <t>Local B
Especificado</t>
        </is>
      </c>
      <c r="L5" s="4" t="inlineStr">
        <is>
          <t>Subtotal Est. ($)</t>
        </is>
      </c>
      <c r="M5" s="4" t="inlineStr">
        <is>
          <t>Código DION</t>
        </is>
      </c>
      <c r="N5" s="4" t="inlineStr">
        <is>
          <t>Disciplina</t>
        </is>
      </c>
      <c r="O5" s="4" t="inlineStr">
        <is>
          <t>Fuente del precio</t>
        </is>
      </c>
      <c r="P5" s="4" t="inlineStr">
        <is>
          <t>Fecha precio</t>
        </is>
      </c>
      <c r="Q5" s="4" t="inlineStr">
        <is>
          <t>Rendimiento /
desperdicio %</t>
        </is>
      </c>
    </row>
    <row r="6">
      <c r="A6" s="105" t="inlineStr">
        <is>
          <t>ACCESORIOS</t>
        </is>
      </c>
      <c r="B6" s="143" t="n"/>
      <c r="C6" s="143" t="n"/>
      <c r="D6" s="143" t="n"/>
      <c r="E6" s="143" t="n"/>
      <c r="F6" s="143" t="n"/>
      <c r="G6" s="143" t="n"/>
      <c r="H6" s="143" t="n"/>
      <c r="I6" s="143" t="n"/>
      <c r="J6" s="143" t="n"/>
      <c r="K6" s="143" t="n"/>
      <c r="L6" s="143" t="n"/>
      <c r="M6" s="143" t="n"/>
      <c r="N6" s="143" t="n"/>
      <c r="O6" s="143" t="n"/>
      <c r="P6" s="143" t="n"/>
      <c r="Q6" s="144" t="n"/>
    </row>
    <row r="7">
      <c r="A7" s="106" t="inlineStr">
        <is>
          <t xml:space="preserve">  ► CATEGORÍA: ADOQUINES, BLOQUES Y BORDILLOS PREFABRICADOS</t>
        </is>
      </c>
      <c r="B7" s="143" t="n"/>
      <c r="C7" s="143" t="n"/>
      <c r="D7" s="143" t="n"/>
      <c r="E7" s="143" t="n"/>
      <c r="F7" s="143" t="n"/>
      <c r="G7" s="143" t="n"/>
      <c r="H7" s="143" t="n"/>
      <c r="I7" s="143" t="n"/>
      <c r="J7" s="143" t="n"/>
      <c r="K7" s="143" t="n"/>
      <c r="L7" s="143" t="n"/>
      <c r="M7" s="143" t="n"/>
      <c r="N7" s="143" t="n"/>
      <c r="O7" s="143" t="n"/>
      <c r="P7" s="143" t="n"/>
      <c r="Q7" s="144" t="n"/>
    </row>
    <row r="8">
      <c r="A8" s="107" t="inlineStr">
        <is>
          <t xml:space="preserve">      • Subcategoría Especificada: Prefabricados de Concreto</t>
        </is>
      </c>
      <c r="B8" s="143" t="n"/>
      <c r="C8" s="143" t="n"/>
      <c r="D8" s="143" t="n"/>
      <c r="E8" s="143" t="n"/>
      <c r="F8" s="143" t="n"/>
      <c r="G8" s="143" t="n"/>
      <c r="H8" s="143" t="n"/>
      <c r="I8" s="143" t="n"/>
      <c r="J8" s="143" t="n"/>
      <c r="K8" s="143" t="n"/>
      <c r="L8" s="143" t="n"/>
      <c r="M8" s="143" t="n"/>
      <c r="N8" s="143" t="n"/>
      <c r="O8" s="143" t="n"/>
      <c r="P8" s="143" t="n"/>
      <c r="Q8" s="144" t="n"/>
    </row>
    <row r="9">
      <c r="A9" s="18" t="n">
        <v>1</v>
      </c>
      <c r="B9" s="19" t="inlineStr">
        <is>
          <t xml:space="preserve">        Bloque de Concreto Estructural 15x20x40cm</t>
        </is>
      </c>
      <c r="C9" s="20" t="inlineStr">
        <is>
          <t>Residencial / Comercial</t>
        </is>
      </c>
      <c r="D9" s="18" t="inlineStr">
        <is>
          <t>Bloques Concreto</t>
        </is>
      </c>
      <c r="E9" s="18" t="inlineStr">
        <is>
          <t>U</t>
        </is>
      </c>
      <c r="F9" s="21" t="n">
        <v>500</v>
      </c>
      <c r="G9" s="22" t="n">
        <v>0.45</v>
      </c>
      <c r="H9" s="22" t="n">
        <v>0.48</v>
      </c>
      <c r="I9" s="18" t="inlineStr">
        <is>
          <t>Megametales</t>
        </is>
      </c>
      <c r="J9" s="22" t="n">
        <v>0.55</v>
      </c>
      <c r="K9" s="18" t="inlineStr">
        <is>
          <t>Ferrisariato</t>
        </is>
      </c>
      <c r="L9" s="8">
        <f>F9*G9</f>
        <v/>
      </c>
      <c r="M9" s="145" t="inlineStr">
        <is>
          <t>A-B20-MAM-BLO-150</t>
        </is>
      </c>
      <c r="N9" s="18" t="inlineStr">
        <is>
          <t>Arquitectura</t>
        </is>
      </c>
      <c r="O9" s="18" t="inlineStr">
        <is>
          <t>Estimado · base original del usuario (sin cotización verificada)</t>
        </is>
      </c>
      <c r="P9" s="18" t="inlineStr">
        <is>
          <t>oct-2026 (est.)</t>
        </is>
      </c>
      <c r="Q9" s="18" t="n">
        <v>5</v>
      </c>
    </row>
    <row r="10">
      <c r="A10" s="108" t="n">
        <v>2</v>
      </c>
      <c r="B10" s="109" t="inlineStr">
        <is>
          <t xml:space="preserve">        Adoquin de Concreto Holandés 6cm Tráfico Peatonal/Vehicular</t>
        </is>
      </c>
      <c r="C10" s="110" t="inlineStr">
        <is>
          <t>Residencial / Comercial</t>
        </is>
      </c>
      <c r="D10" s="108" t="inlineStr">
        <is>
          <t>Adoquines Concreto</t>
        </is>
      </c>
      <c r="E10" s="108" t="inlineStr">
        <is>
          <t>m2</t>
        </is>
      </c>
      <c r="F10" s="111" t="n">
        <v>40</v>
      </c>
      <c r="G10" s="112" t="n">
        <v>8.5</v>
      </c>
      <c r="H10" s="112" t="n">
        <v>8.800000000000001</v>
      </c>
      <c r="I10" s="108" t="inlineStr">
        <is>
          <t>Megametales</t>
        </is>
      </c>
      <c r="J10" s="112" t="n">
        <v>9.5</v>
      </c>
      <c r="K10" s="108" t="inlineStr">
        <is>
          <t>Kywi / Megakywi</t>
        </is>
      </c>
      <c r="L10" s="113">
        <f>F10*G10</f>
        <v/>
      </c>
      <c r="M10" s="157" t="inlineStr">
        <is>
          <t>AP-G20-PEX-ADQ-006</t>
        </is>
      </c>
      <c r="N10" s="108" t="inlineStr">
        <is>
          <t>Paisajismo y obras exteriores</t>
        </is>
      </c>
      <c r="O10" s="108" t="inlineStr">
        <is>
          <t>Estimado · base original del usuario (sin cotización verificada)</t>
        </is>
      </c>
      <c r="P10" s="108" t="inlineStr">
        <is>
          <t>oct-2026 (est.)</t>
        </is>
      </c>
      <c r="Q10" s="108" t="n">
        <v>5</v>
      </c>
    </row>
    <row r="11">
      <c r="A11" s="107" t="inlineStr">
        <is>
          <t xml:space="preserve">      • Subcategoría Especificada: Adoquines, Bordillos, Cunetas y Prefabricados</t>
        </is>
      </c>
      <c r="B11" s="143" t="n"/>
      <c r="C11" s="143" t="n"/>
      <c r="D11" s="143" t="n"/>
      <c r="E11" s="143" t="n"/>
      <c r="F11" s="143" t="n"/>
      <c r="G11" s="143" t="n"/>
      <c r="H11" s="143" t="n"/>
      <c r="I11" s="143" t="n"/>
      <c r="J11" s="143" t="n"/>
      <c r="K11" s="143" t="n"/>
      <c r="L11" s="143" t="n"/>
      <c r="M11" s="143" t="n"/>
      <c r="N11" s="143" t="n"/>
      <c r="O11" s="143" t="n"/>
      <c r="P11" s="143" t="n"/>
      <c r="Q11" s="144" t="n"/>
    </row>
    <row r="12">
      <c r="A12" s="18" t="n">
        <v>3</v>
      </c>
      <c r="B12" s="19" t="inlineStr">
        <is>
          <t xml:space="preserve">        Adoquín de Concreto 8 cm Tráfico Vehicular (m²)</t>
        </is>
      </c>
      <c r="C12" s="20" t="inlineStr">
        <is>
          <t>Residencial / Comercial</t>
        </is>
      </c>
      <c r="D12" s="18" t="inlineStr">
        <is>
          <t>Adoquines Concreto</t>
        </is>
      </c>
      <c r="E12" s="18" t="inlineStr">
        <is>
          <t>m2</t>
        </is>
      </c>
      <c r="F12" s="21" t="n">
        <v>40</v>
      </c>
      <c r="G12" s="22" t="n">
        <v>10.5</v>
      </c>
      <c r="H12" s="22" t="n">
        <v>10.81</v>
      </c>
      <c r="I12" s="18" t="inlineStr">
        <is>
          <t>Megametales</t>
        </is>
      </c>
      <c r="J12" s="22" t="n">
        <v>11.55</v>
      </c>
      <c r="K12" s="18" t="inlineStr">
        <is>
          <t>Ferrisariato</t>
        </is>
      </c>
      <c r="L12" s="8">
        <f>F12*G12</f>
        <v/>
      </c>
      <c r="M12" s="145" t="inlineStr">
        <is>
          <t>AP-G20-PEX-ADQ-008</t>
        </is>
      </c>
      <c r="N12" s="18" t="inlineStr">
        <is>
          <t>Paisajismo y obras exteriores</t>
        </is>
      </c>
      <c r="O12" s="18" t="inlineStr">
        <is>
          <t>Estimado DION · criterio de mercado Guayaquil 2026 (no verificado en tienda)</t>
        </is>
      </c>
      <c r="P12" s="18" t="inlineStr">
        <is>
          <t>oct-2026 (est.)</t>
        </is>
      </c>
      <c r="Q12" s="18" t="n">
        <v>5</v>
      </c>
    </row>
    <row r="13">
      <c r="A13" s="108" t="n">
        <v>4</v>
      </c>
      <c r="B13" s="109" t="inlineStr">
        <is>
          <t xml:space="preserve">        Adoquín Ecológico / Grama (m²)</t>
        </is>
      </c>
      <c r="C13" s="110" t="inlineStr">
        <is>
          <t>Residencial / Comercial</t>
        </is>
      </c>
      <c r="D13" s="108" t="inlineStr">
        <is>
          <t>Adoquines Ecológicos</t>
        </is>
      </c>
      <c r="E13" s="108" t="inlineStr">
        <is>
          <t>m2</t>
        </is>
      </c>
      <c r="F13" s="111" t="n">
        <v>20</v>
      </c>
      <c r="G13" s="112" t="n">
        <v>12.5</v>
      </c>
      <c r="H13" s="112" t="n">
        <v>13.12</v>
      </c>
      <c r="I13" s="108" t="inlineStr">
        <is>
          <t>Megametales</t>
        </is>
      </c>
      <c r="J13" s="112" t="n">
        <v>13.5</v>
      </c>
      <c r="K13" s="108" t="inlineStr">
        <is>
          <t>Kywi / Megakywi</t>
        </is>
      </c>
      <c r="L13" s="113">
        <f>F13*G13</f>
        <v/>
      </c>
      <c r="M13" s="157" t="inlineStr">
        <is>
          <t>AP-G20-PEX-ADQ-ECO</t>
        </is>
      </c>
      <c r="N13" s="108" t="inlineStr">
        <is>
          <t>Paisajismo y obras exteriores</t>
        </is>
      </c>
      <c r="O13" s="108" t="inlineStr">
        <is>
          <t>Estimado DION · criterio de mercado Guayaquil 2026 (no verificado en tienda)</t>
        </is>
      </c>
      <c r="P13" s="108" t="inlineStr">
        <is>
          <t>oct-2026 (est.)</t>
        </is>
      </c>
      <c r="Q13" s="108" t="n">
        <v>5</v>
      </c>
    </row>
    <row r="14">
      <c r="A14" s="18" t="n">
        <v>5</v>
      </c>
      <c r="B14" s="19" t="inlineStr">
        <is>
          <t xml:space="preserve">        Bordillo Prefabricado de Hormigón 15x30x50 cm</t>
        </is>
      </c>
      <c r="C14" s="20" t="inlineStr">
        <is>
          <t>Residencial / Comercial</t>
        </is>
      </c>
      <c r="D14" s="18" t="inlineStr">
        <is>
          <t>Bordillos</t>
        </is>
      </c>
      <c r="E14" s="18" t="inlineStr">
        <is>
          <t>U</t>
        </is>
      </c>
      <c r="F14" s="21" t="n">
        <v>40</v>
      </c>
      <c r="G14" s="22" t="n">
        <v>4.8</v>
      </c>
      <c r="H14" s="22" t="n">
        <v>4.99</v>
      </c>
      <c r="I14" s="18" t="inlineStr">
        <is>
          <t>Megametales</t>
        </is>
      </c>
      <c r="J14" s="22" t="n">
        <v>5.14</v>
      </c>
      <c r="K14" s="18" t="inlineStr">
        <is>
          <t>Ferrisariato</t>
        </is>
      </c>
      <c r="L14" s="8">
        <f>F14*G14</f>
        <v/>
      </c>
      <c r="M14" s="145" t="inlineStr">
        <is>
          <t>AP-G20-BOR-FND-15X30</t>
        </is>
      </c>
      <c r="N14" s="18" t="inlineStr">
        <is>
          <t>Paisajismo y obras exteriores</t>
        </is>
      </c>
      <c r="O14" s="18" t="inlineStr">
        <is>
          <t>Estimado DION · criterio de mercado Guayaquil 2026 (no verificado en tienda)</t>
        </is>
      </c>
      <c r="P14" s="18" t="inlineStr">
        <is>
          <t>oct-2026 (est.)</t>
        </is>
      </c>
      <c r="Q14" s="18" t="n">
        <v>3</v>
      </c>
    </row>
    <row r="15">
      <c r="A15" s="108" t="n">
        <v>6</v>
      </c>
      <c r="B15" s="109" t="inlineStr">
        <is>
          <t xml:space="preserve">        Bordillo Prefabricado de Hormigón 15x45x50 cm</t>
        </is>
      </c>
      <c r="C15" s="110" t="inlineStr">
        <is>
          <t>Urbanización</t>
        </is>
      </c>
      <c r="D15" s="108" t="inlineStr">
        <is>
          <t>Bordillos</t>
        </is>
      </c>
      <c r="E15" s="108" t="inlineStr">
        <is>
          <t>U</t>
        </is>
      </c>
      <c r="F15" s="111" t="n">
        <v>40</v>
      </c>
      <c r="G15" s="112" t="n">
        <v>6.9</v>
      </c>
      <c r="H15" s="112" t="n">
        <v>7.04</v>
      </c>
      <c r="I15" s="108" t="inlineStr">
        <is>
          <t>Megametales</t>
        </is>
      </c>
      <c r="J15" s="112" t="n">
        <v>7.66</v>
      </c>
      <c r="K15" s="108" t="inlineStr">
        <is>
          <t>Kywi / Megakywi</t>
        </is>
      </c>
      <c r="L15" s="113">
        <f>F15*G15</f>
        <v/>
      </c>
      <c r="M15" s="157" t="inlineStr">
        <is>
          <t>AP-G20-BOR-FND-15X45</t>
        </is>
      </c>
      <c r="N15" s="108" t="inlineStr">
        <is>
          <t>Paisajismo y obras exteriores</t>
        </is>
      </c>
      <c r="O15" s="108" t="inlineStr">
        <is>
          <t>Estimado DION · criterio de mercado Guayaquil 2026 (no verificado en tienda)</t>
        </is>
      </c>
      <c r="P15" s="108" t="inlineStr">
        <is>
          <t>oct-2026 (est.)</t>
        </is>
      </c>
      <c r="Q15" s="108" t="n">
        <v>3</v>
      </c>
    </row>
    <row r="16">
      <c r="A16" s="18" t="n">
        <v>7</v>
      </c>
      <c r="B16" s="19" t="inlineStr">
        <is>
          <t xml:space="preserve">        Bordillo de Jardín 10x20x50 cm</t>
        </is>
      </c>
      <c r="C16" s="20" t="inlineStr">
        <is>
          <t>Residencial / Comercial</t>
        </is>
      </c>
      <c r="D16" s="18" t="inlineStr">
        <is>
          <t>Bordillos</t>
        </is>
      </c>
      <c r="E16" s="18" t="inlineStr">
        <is>
          <t>U</t>
        </is>
      </c>
      <c r="F16" s="21" t="n">
        <v>40</v>
      </c>
      <c r="G16" s="22" t="n">
        <v>2.6</v>
      </c>
      <c r="H16" s="22" t="n">
        <v>2.68</v>
      </c>
      <c r="I16" s="18" t="inlineStr">
        <is>
          <t>Megametales</t>
        </is>
      </c>
      <c r="J16" s="22" t="n">
        <v>2.81</v>
      </c>
      <c r="K16" s="18" t="inlineStr">
        <is>
          <t>Ferrisariato</t>
        </is>
      </c>
      <c r="L16" s="8">
        <f>F16*G16</f>
        <v/>
      </c>
      <c r="M16" s="145" t="inlineStr">
        <is>
          <t>AP-G20-BOR-FND-JAR</t>
        </is>
      </c>
      <c r="N16" s="18" t="inlineStr">
        <is>
          <t>Paisajismo y obras exteriores</t>
        </is>
      </c>
      <c r="O16" s="18" t="inlineStr">
        <is>
          <t>Estimado DION · criterio de mercado Guayaquil 2026 (no verificado en tienda)</t>
        </is>
      </c>
      <c r="P16" s="18" t="inlineStr">
        <is>
          <t>oct-2026 (est.)</t>
        </is>
      </c>
      <c r="Q16" s="18" t="n">
        <v>3</v>
      </c>
    </row>
    <row r="17">
      <c r="A17" s="108" t="n">
        <v>8</v>
      </c>
      <c r="B17" s="109" t="inlineStr">
        <is>
          <t xml:space="preserve">        Cuneta Prefabricada de Hormigón (m)</t>
        </is>
      </c>
      <c r="C17" s="110" t="inlineStr">
        <is>
          <t>Urbanización</t>
        </is>
      </c>
      <c r="D17" s="108" t="inlineStr">
        <is>
          <t>Cunetas</t>
        </is>
      </c>
      <c r="E17" s="108" t="inlineStr">
        <is>
          <t>m</t>
        </is>
      </c>
      <c r="F17" s="111" t="n">
        <v>20</v>
      </c>
      <c r="G17" s="112" t="n">
        <v>14</v>
      </c>
      <c r="H17" s="112" t="n">
        <v>14.42</v>
      </c>
      <c r="I17" s="108" t="inlineStr">
        <is>
          <t>Megametales</t>
        </is>
      </c>
      <c r="J17" s="112" t="n">
        <v>15.26</v>
      </c>
      <c r="K17" s="108" t="inlineStr">
        <is>
          <t>Kywi / Megakywi</t>
        </is>
      </c>
      <c r="L17" s="113">
        <f>F17*G17</f>
        <v/>
      </c>
      <c r="M17" s="157" t="inlineStr">
        <is>
          <t>AP-G20-BOR-CUN-FND</t>
        </is>
      </c>
      <c r="N17" s="108" t="inlineStr">
        <is>
          <t>Paisajismo y obras exteriores</t>
        </is>
      </c>
      <c r="O17" s="108" t="inlineStr">
        <is>
          <t>Estimado DION · criterio de mercado Guayaquil 2026 (no verificado en tienda)</t>
        </is>
      </c>
      <c r="P17" s="108" t="inlineStr">
        <is>
          <t>oct-2026 (est.)</t>
        </is>
      </c>
      <c r="Q17" s="108" t="n">
        <v>3</v>
      </c>
    </row>
    <row r="18">
      <c r="A18" s="18" t="n">
        <v>9</v>
      </c>
      <c r="B18" s="19" t="inlineStr">
        <is>
          <t xml:space="preserve">        Tapa de Hormigón para Caja de Revisión 60x60 cm</t>
        </is>
      </c>
      <c r="C18" s="20" t="inlineStr">
        <is>
          <t>Residencial / Comercial</t>
        </is>
      </c>
      <c r="D18" s="18" t="inlineStr">
        <is>
          <t>Tapas</t>
        </is>
      </c>
      <c r="E18" s="18" t="inlineStr">
        <is>
          <t>U</t>
        </is>
      </c>
      <c r="F18" s="21" t="n">
        <v>4</v>
      </c>
      <c r="G18" s="22" t="n">
        <v>18</v>
      </c>
      <c r="H18" s="22" t="n">
        <v>18.54</v>
      </c>
      <c r="I18" s="18" t="inlineStr">
        <is>
          <t>Megametales</t>
        </is>
      </c>
      <c r="J18" s="22" t="n">
        <v>19.26</v>
      </c>
      <c r="K18" s="18" t="inlineStr">
        <is>
          <t>Ferrisariato</t>
        </is>
      </c>
      <c r="L18" s="8">
        <f>F18*G18</f>
        <v/>
      </c>
      <c r="M18" s="145" t="inlineStr">
        <is>
          <t>IS-D20-CRV-TAP-FND-60X60</t>
        </is>
      </c>
      <c r="N18" s="18" t="inlineStr">
        <is>
          <t>Instalaciones sanitarias (hidrosanitarias)</t>
        </is>
      </c>
      <c r="O18" s="18" t="inlineStr">
        <is>
          <t>Estimado DION · criterio de mercado Guayaquil 2026 (no verificado en tienda)</t>
        </is>
      </c>
      <c r="P18" s="18" t="inlineStr">
        <is>
          <t>oct-2026 (est.)</t>
        </is>
      </c>
      <c r="Q18" s="18" t="n"/>
    </row>
    <row r="19">
      <c r="A19" s="108" t="n">
        <v>10</v>
      </c>
      <c r="B19" s="109" t="inlineStr">
        <is>
          <t xml:space="preserve">        Losetas Prefabricadas de Hormigón 40x40 cm (m²)</t>
        </is>
      </c>
      <c r="C19" s="110" t="inlineStr">
        <is>
          <t>Residencial / Comercial</t>
        </is>
      </c>
      <c r="D19" s="108" t="inlineStr">
        <is>
          <t>Losetas</t>
        </is>
      </c>
      <c r="E19" s="108" t="inlineStr">
        <is>
          <t>m2</t>
        </is>
      </c>
      <c r="F19" s="111" t="n">
        <v>20</v>
      </c>
      <c r="G19" s="112" t="n">
        <v>13.5</v>
      </c>
      <c r="H19" s="112" t="n">
        <v>14.18</v>
      </c>
      <c r="I19" s="108" t="inlineStr">
        <is>
          <t>Megametales</t>
        </is>
      </c>
      <c r="J19" s="112" t="n">
        <v>14.85</v>
      </c>
      <c r="K19" s="108" t="inlineStr">
        <is>
          <t>Kywi / Megakywi</t>
        </is>
      </c>
      <c r="L19" s="113">
        <f>F19*G19</f>
        <v/>
      </c>
      <c r="M19" s="157" t="inlineStr">
        <is>
          <t>AP-G20-PEX-FND-PRE</t>
        </is>
      </c>
      <c r="N19" s="108" t="inlineStr">
        <is>
          <t>Paisajismo y obras exteriores</t>
        </is>
      </c>
      <c r="O19" s="108" t="inlineStr">
        <is>
          <t>Estimado DION · criterio de mercado Guayaquil 2026 (no verificado en tienda)</t>
        </is>
      </c>
      <c r="P19" s="108" t="inlineStr">
        <is>
          <t>oct-2026 (est.)</t>
        </is>
      </c>
      <c r="Q19" s="108" t="n">
        <v>5</v>
      </c>
    </row>
    <row r="20">
      <c r="A20" s="105" t="inlineStr">
        <is>
          <t>TUBERÍAS</t>
        </is>
      </c>
      <c r="B20" s="143" t="n"/>
      <c r="C20" s="143" t="n"/>
      <c r="D20" s="143" t="n"/>
      <c r="E20" s="143" t="n"/>
      <c r="F20" s="143" t="n"/>
      <c r="G20" s="143" t="n"/>
      <c r="H20" s="143" t="n"/>
      <c r="I20" s="143" t="n"/>
      <c r="J20" s="143" t="n"/>
      <c r="K20" s="143" t="n"/>
      <c r="L20" s="143" t="n"/>
      <c r="M20" s="143" t="n"/>
      <c r="N20" s="143" t="n"/>
      <c r="O20" s="143" t="n"/>
      <c r="P20" s="143" t="n"/>
      <c r="Q20" s="144" t="n"/>
    </row>
    <row r="21">
      <c r="A21" s="106" t="inlineStr">
        <is>
          <t xml:space="preserve">  ► CATEGORÍA: TUBERÍAS DE CONCRETO SIMPLE Y ARMADO PARA ALCANTARILLADO</t>
        </is>
      </c>
      <c r="B21" s="143" t="n"/>
      <c r="C21" s="143" t="n"/>
      <c r="D21" s="143" t="n"/>
      <c r="E21" s="143" t="n"/>
      <c r="F21" s="143" t="n"/>
      <c r="G21" s="143" t="n"/>
      <c r="H21" s="143" t="n"/>
      <c r="I21" s="143" t="n"/>
      <c r="J21" s="143" t="n"/>
      <c r="K21" s="143" t="n"/>
      <c r="L21" s="143" t="n"/>
      <c r="M21" s="143" t="n"/>
      <c r="N21" s="143" t="n"/>
      <c r="O21" s="143" t="n"/>
      <c r="P21" s="143" t="n"/>
      <c r="Q21" s="144" t="n"/>
    </row>
    <row r="22">
      <c r="A22" s="107" t="inlineStr">
        <is>
          <t xml:space="preserve">      • Subcategoría Especificada: Tuberías Rígidas Concreto</t>
        </is>
      </c>
      <c r="B22" s="143" t="n"/>
      <c r="C22" s="143" t="n"/>
      <c r="D22" s="143" t="n"/>
      <c r="E22" s="143" t="n"/>
      <c r="F22" s="143" t="n"/>
      <c r="G22" s="143" t="n"/>
      <c r="H22" s="143" t="n"/>
      <c r="I22" s="143" t="n"/>
      <c r="J22" s="143" t="n"/>
      <c r="K22" s="143" t="n"/>
      <c r="L22" s="143" t="n"/>
      <c r="M22" s="143" t="n"/>
      <c r="N22" s="143" t="n"/>
      <c r="O22" s="143" t="n"/>
      <c r="P22" s="143" t="n"/>
      <c r="Q22" s="144" t="n"/>
    </row>
    <row r="23">
      <c r="A23" s="18" t="n">
        <v>11</v>
      </c>
      <c r="B23" s="19" t="inlineStr">
        <is>
          <t xml:space="preserve">        Tubo de Concreto Simple Cabezal 300mm / 12" (1m)</t>
        </is>
      </c>
      <c r="C23" s="20" t="inlineStr">
        <is>
          <t>Infraestructura / Vías</t>
        </is>
      </c>
      <c r="D23" s="18" t="inlineStr">
        <is>
          <t>Tubo Concreto Simple</t>
        </is>
      </c>
      <c r="E23" s="18" t="inlineStr">
        <is>
          <t>U</t>
        </is>
      </c>
      <c r="F23" s="21" t="n">
        <v>10</v>
      </c>
      <c r="G23" s="22" t="n">
        <v>18.5</v>
      </c>
      <c r="H23" s="22" t="n">
        <v>19.2</v>
      </c>
      <c r="I23" s="18" t="inlineStr">
        <is>
          <t>Megametales</t>
        </is>
      </c>
      <c r="J23" s="22" t="n">
        <v>20.5</v>
      </c>
      <c r="K23" s="18" t="inlineStr">
        <is>
          <t>Ferrisariato</t>
        </is>
      </c>
      <c r="L23" s="8">
        <f>F23*G23</f>
        <v/>
      </c>
      <c r="M23" s="145" t="inlineStr">
        <is>
          <t>IS-D20-TLL-HS-300</t>
        </is>
      </c>
      <c r="N23" s="18" t="inlineStr">
        <is>
          <t>Instalaciones sanitarias (hidrosanitarias)</t>
        </is>
      </c>
      <c r="O23" s="18" t="inlineStr">
        <is>
          <t>Estimado · base original del usuario (sin cotización verificada)</t>
        </is>
      </c>
      <c r="P23" s="18" t="inlineStr">
        <is>
          <t>oct-2026 (est.)</t>
        </is>
      </c>
      <c r="Q23" s="18" t="n"/>
    </row>
    <row r="24">
      <c r="A24" s="107" t="inlineStr">
        <is>
          <t xml:space="preserve">      • Subcategoría Especificada: Diámetros Comerciales</t>
        </is>
      </c>
      <c r="B24" s="143" t="n"/>
      <c r="C24" s="143" t="n"/>
      <c r="D24" s="143" t="n"/>
      <c r="E24" s="143" t="n"/>
      <c r="F24" s="143" t="n"/>
      <c r="G24" s="143" t="n"/>
      <c r="H24" s="143" t="n"/>
      <c r="I24" s="143" t="n"/>
      <c r="J24" s="143" t="n"/>
      <c r="K24" s="143" t="n"/>
      <c r="L24" s="143" t="n"/>
      <c r="M24" s="143" t="n"/>
      <c r="N24" s="143" t="n"/>
      <c r="O24" s="143" t="n"/>
      <c r="P24" s="143" t="n"/>
      <c r="Q24" s="144" t="n"/>
    </row>
    <row r="25">
      <c r="A25" s="108" t="n">
        <v>12</v>
      </c>
      <c r="B25" s="109" t="inlineStr">
        <is>
          <t xml:space="preserve">        Tubo de Hormigón Simple Ø200 mm (1 m)</t>
        </is>
      </c>
      <c r="C25" s="110" t="inlineStr">
        <is>
          <t>Infraestructura / Vías</t>
        </is>
      </c>
      <c r="D25" s="108" t="inlineStr">
        <is>
          <t>Tubo Concreto Simple</t>
        </is>
      </c>
      <c r="E25" s="108" t="inlineStr">
        <is>
          <t>U</t>
        </is>
      </c>
      <c r="F25" s="111" t="n">
        <v>6</v>
      </c>
      <c r="G25" s="112" t="n">
        <v>12.5</v>
      </c>
      <c r="H25" s="112" t="n">
        <v>13.12</v>
      </c>
      <c r="I25" s="108" t="inlineStr">
        <is>
          <t>Megametales</t>
        </is>
      </c>
      <c r="J25" s="112" t="n">
        <v>13.75</v>
      </c>
      <c r="K25" s="108" t="inlineStr">
        <is>
          <t>Kywi / Megakywi</t>
        </is>
      </c>
      <c r="L25" s="113">
        <f>F25*G25</f>
        <v/>
      </c>
      <c r="M25" s="157" t="inlineStr">
        <is>
          <t>IS-D20-TLL-HS-200</t>
        </is>
      </c>
      <c r="N25" s="108" t="inlineStr">
        <is>
          <t>Instalaciones sanitarias (hidrosanitarias)</t>
        </is>
      </c>
      <c r="O25" s="108" t="inlineStr">
        <is>
          <t>Estimado DION · criterio de mercado Guayaquil 2026 (no verificado en tienda)</t>
        </is>
      </c>
      <c r="P25" s="108" t="inlineStr">
        <is>
          <t>oct-2026 (est.)</t>
        </is>
      </c>
      <c r="Q25" s="108" t="n">
        <v>3</v>
      </c>
    </row>
    <row r="26">
      <c r="A26" s="18" t="n">
        <v>13</v>
      </c>
      <c r="B26" s="19" t="inlineStr">
        <is>
          <t xml:space="preserve">        Tubo de Hormigón Simple Ø400 mm (1 m)</t>
        </is>
      </c>
      <c r="C26" s="20" t="inlineStr">
        <is>
          <t>Infraestructura / Vías</t>
        </is>
      </c>
      <c r="D26" s="18" t="inlineStr">
        <is>
          <t>Tubo Concreto Simple</t>
        </is>
      </c>
      <c r="E26" s="18" t="inlineStr">
        <is>
          <t>U</t>
        </is>
      </c>
      <c r="F26" s="21" t="n">
        <v>6</v>
      </c>
      <c r="G26" s="22" t="n">
        <v>28</v>
      </c>
      <c r="H26" s="22" t="n">
        <v>28.84</v>
      </c>
      <c r="I26" s="18" t="inlineStr">
        <is>
          <t>Megametales</t>
        </is>
      </c>
      <c r="J26" s="22" t="n">
        <v>30.24</v>
      </c>
      <c r="K26" s="18" t="inlineStr">
        <is>
          <t>Ferrisariato</t>
        </is>
      </c>
      <c r="L26" s="8">
        <f>F26*G26</f>
        <v/>
      </c>
      <c r="M26" s="145" t="inlineStr">
        <is>
          <t>IS-D20-TLL-HS-400</t>
        </is>
      </c>
      <c r="N26" s="18" t="inlineStr">
        <is>
          <t>Instalaciones sanitarias (hidrosanitarias)</t>
        </is>
      </c>
      <c r="O26" s="18" t="inlineStr">
        <is>
          <t>Estimado DION · criterio de mercado Guayaquil 2026 (no verificado en tienda)</t>
        </is>
      </c>
      <c r="P26" s="18" t="inlineStr">
        <is>
          <t>oct-2026 (est.)</t>
        </is>
      </c>
      <c r="Q26" s="18" t="n">
        <v>3</v>
      </c>
    </row>
    <row r="27">
      <c r="A27" s="108" t="n">
        <v>14</v>
      </c>
      <c r="B27" s="109" t="inlineStr">
        <is>
          <t xml:space="preserve">        Tubo de Hormigón Simple Ø500 mm (1 m)</t>
        </is>
      </c>
      <c r="C27" s="110" t="inlineStr">
        <is>
          <t>Infraestructura / Vías</t>
        </is>
      </c>
      <c r="D27" s="108" t="inlineStr">
        <is>
          <t>Tubo Concreto Simple</t>
        </is>
      </c>
      <c r="E27" s="108" t="inlineStr">
        <is>
          <t>U</t>
        </is>
      </c>
      <c r="F27" s="111" t="n">
        <v>6</v>
      </c>
      <c r="G27" s="112" t="n">
        <v>38</v>
      </c>
      <c r="H27" s="112" t="n">
        <v>38.76</v>
      </c>
      <c r="I27" s="108" t="inlineStr">
        <is>
          <t>Megametales</t>
        </is>
      </c>
      <c r="J27" s="112" t="n">
        <v>41.8</v>
      </c>
      <c r="K27" s="108" t="inlineStr">
        <is>
          <t>Kywi / Megakywi</t>
        </is>
      </c>
      <c r="L27" s="113">
        <f>F27*G27</f>
        <v/>
      </c>
      <c r="M27" s="157" t="inlineStr">
        <is>
          <t>IS-D20-TLL-HS-500</t>
        </is>
      </c>
      <c r="N27" s="108" t="inlineStr">
        <is>
          <t>Instalaciones sanitarias (hidrosanitarias)</t>
        </is>
      </c>
      <c r="O27" s="108" t="inlineStr">
        <is>
          <t>Estimado DION · criterio de mercado Guayaquil 2026 (no verificado en tienda)</t>
        </is>
      </c>
      <c r="P27" s="108" t="inlineStr">
        <is>
          <t>oct-2026 (est.)</t>
        </is>
      </c>
      <c r="Q27" s="108" t="n">
        <v>3</v>
      </c>
    </row>
    <row r="28">
      <c r="A28" s="18" t="n">
        <v>15</v>
      </c>
      <c r="B28" s="19" t="inlineStr">
        <is>
          <t xml:space="preserve">        Tubo de Hormigón Armado Ø600 mm (1 m) Clase III</t>
        </is>
      </c>
      <c r="C28" s="20" t="inlineStr">
        <is>
          <t>Infraestructura / Vías</t>
        </is>
      </c>
      <c r="D28" s="18" t="inlineStr">
        <is>
          <t>Tubo Concreto Armado</t>
        </is>
      </c>
      <c r="E28" s="18" t="inlineStr">
        <is>
          <t>U</t>
        </is>
      </c>
      <c r="F28" s="21" t="n">
        <v>4</v>
      </c>
      <c r="G28" s="22" t="n">
        <v>85</v>
      </c>
      <c r="H28" s="22" t="n">
        <v>89.25</v>
      </c>
      <c r="I28" s="18" t="inlineStr">
        <is>
          <t>Megametales</t>
        </is>
      </c>
      <c r="J28" s="22" t="n">
        <v>91.8</v>
      </c>
      <c r="K28" s="18" t="inlineStr">
        <is>
          <t>Ferrisariato</t>
        </is>
      </c>
      <c r="L28" s="8">
        <f>F28*G28</f>
        <v/>
      </c>
      <c r="M28" s="145" t="inlineStr">
        <is>
          <t>IS-D20-TLL-HA-600</t>
        </is>
      </c>
      <c r="N28" s="18" t="inlineStr">
        <is>
          <t>Instalaciones sanitarias (hidrosanitarias)</t>
        </is>
      </c>
      <c r="O28" s="18" t="inlineStr">
        <is>
          <t>Estimado DION · criterio de mercado Guayaquil 2026 (no verificado en tienda)</t>
        </is>
      </c>
      <c r="P28" s="18" t="inlineStr">
        <is>
          <t>oct-2026 (est.)</t>
        </is>
      </c>
      <c r="Q28" s="18" t="n">
        <v>3</v>
      </c>
    </row>
    <row r="29">
      <c r="A29" s="108" t="n">
        <v>16</v>
      </c>
      <c r="B29" s="109" t="inlineStr">
        <is>
          <t xml:space="preserve">        Tubo de Hormigón Armado Ø800 mm (1 m) Clase III</t>
        </is>
      </c>
      <c r="C29" s="110" t="inlineStr">
        <is>
          <t>Infraestructura / Vías</t>
        </is>
      </c>
      <c r="D29" s="108" t="inlineStr">
        <is>
          <t>Tubo Concreto Armado</t>
        </is>
      </c>
      <c r="E29" s="108" t="inlineStr">
        <is>
          <t>U</t>
        </is>
      </c>
      <c r="F29" s="111" t="n">
        <v>4</v>
      </c>
      <c r="G29" s="112" t="n">
        <v>135</v>
      </c>
      <c r="H29" s="112" t="n">
        <v>140.4</v>
      </c>
      <c r="I29" s="108" t="inlineStr">
        <is>
          <t>Megametales</t>
        </is>
      </c>
      <c r="J29" s="112" t="n">
        <v>149.85</v>
      </c>
      <c r="K29" s="108" t="inlineStr">
        <is>
          <t>Kywi / Megakywi</t>
        </is>
      </c>
      <c r="L29" s="113">
        <f>F29*G29</f>
        <v/>
      </c>
      <c r="M29" s="157" t="inlineStr">
        <is>
          <t>IS-D20-TLL-HA-800</t>
        </is>
      </c>
      <c r="N29" s="108" t="inlineStr">
        <is>
          <t>Instalaciones sanitarias (hidrosanitarias)</t>
        </is>
      </c>
      <c r="O29" s="108" t="inlineStr">
        <is>
          <t>Estimado DION · criterio de mercado Guayaquil 2026 (no verificado en tienda)</t>
        </is>
      </c>
      <c r="P29" s="108" t="inlineStr">
        <is>
          <t>oct-2026 (est.)</t>
        </is>
      </c>
      <c r="Q29" s="108" t="n">
        <v>3</v>
      </c>
    </row>
    <row r="30">
      <c r="A30" s="18" t="n">
        <v>17</v>
      </c>
      <c r="B30" s="19" t="inlineStr">
        <is>
          <t xml:space="preserve">        Tubo de Hormigón Armado Ø1000 mm (1 m) Clase III</t>
        </is>
      </c>
      <c r="C30" s="20" t="inlineStr">
        <is>
          <t>Infraestructura / Vías</t>
        </is>
      </c>
      <c r="D30" s="18" t="inlineStr">
        <is>
          <t>Tubo Concreto Armado</t>
        </is>
      </c>
      <c r="E30" s="18" t="inlineStr">
        <is>
          <t>U</t>
        </is>
      </c>
      <c r="F30" s="21" t="n">
        <v>4</v>
      </c>
      <c r="G30" s="22" t="n">
        <v>195</v>
      </c>
      <c r="H30" s="22" t="n">
        <v>198.9</v>
      </c>
      <c r="I30" s="18" t="inlineStr">
        <is>
          <t>Megametales</t>
        </is>
      </c>
      <c r="J30" s="22" t="n">
        <v>208.65</v>
      </c>
      <c r="K30" s="18" t="inlineStr">
        <is>
          <t>Ferrisariato</t>
        </is>
      </c>
      <c r="L30" s="8">
        <f>F30*G30</f>
        <v/>
      </c>
      <c r="M30" s="145" t="inlineStr">
        <is>
          <t>IS-D20-TLL-HA-1000</t>
        </is>
      </c>
      <c r="N30" s="18" t="inlineStr">
        <is>
          <t>Instalaciones sanitarias (hidrosanitarias)</t>
        </is>
      </c>
      <c r="O30" s="18" t="inlineStr">
        <is>
          <t>Estimado DION · criterio de mercado Guayaquil 2026 (no verificado en tienda)</t>
        </is>
      </c>
      <c r="P30" s="18" t="inlineStr">
        <is>
          <t>oct-2026 (est.)</t>
        </is>
      </c>
      <c r="Q30" s="18" t="n">
        <v>3</v>
      </c>
    </row>
    <row r="31">
      <c r="A31" s="108" t="n">
        <v>18</v>
      </c>
      <c r="B31" s="109" t="inlineStr">
        <is>
          <t xml:space="preserve">        Tubo de Hormigón Armado Ø1200 mm (1 m) Clase III</t>
        </is>
      </c>
      <c r="C31" s="110" t="inlineStr">
        <is>
          <t>Infraestructura / Vías</t>
        </is>
      </c>
      <c r="D31" s="108" t="inlineStr">
        <is>
          <t>Tubo Concreto Armado</t>
        </is>
      </c>
      <c r="E31" s="108" t="inlineStr">
        <is>
          <t>U</t>
        </is>
      </c>
      <c r="F31" s="111" t="n">
        <v>4</v>
      </c>
      <c r="G31" s="112" t="n">
        <v>265</v>
      </c>
      <c r="H31" s="112" t="n">
        <v>275.6</v>
      </c>
      <c r="I31" s="108" t="inlineStr">
        <is>
          <t>Megametales</t>
        </is>
      </c>
      <c r="J31" s="112" t="n">
        <v>283.55</v>
      </c>
      <c r="K31" s="108" t="inlineStr">
        <is>
          <t>Kywi / Megakywi</t>
        </is>
      </c>
      <c r="L31" s="113">
        <f>F31*G31</f>
        <v/>
      </c>
      <c r="M31" s="157" t="inlineStr">
        <is>
          <t>IS-D20-TLL-HA-1200</t>
        </is>
      </c>
      <c r="N31" s="108" t="inlineStr">
        <is>
          <t>Instalaciones sanitarias (hidrosanitarias)</t>
        </is>
      </c>
      <c r="O31" s="108" t="inlineStr">
        <is>
          <t>Estimado DION · criterio de mercado Guayaquil 2026 (no verificado en tienda)</t>
        </is>
      </c>
      <c r="P31" s="108" t="inlineStr">
        <is>
          <t>oct-2026 (est.)</t>
        </is>
      </c>
      <c r="Q31" s="108" t="n">
        <v>3</v>
      </c>
    </row>
    <row r="32">
      <c r="A32" s="105" t="inlineStr">
        <is>
          <t>EQUIPOS</t>
        </is>
      </c>
      <c r="B32" s="143" t="n"/>
      <c r="C32" s="143" t="n"/>
      <c r="D32" s="143" t="n"/>
      <c r="E32" s="143" t="n"/>
      <c r="F32" s="143" t="n"/>
      <c r="G32" s="143" t="n"/>
      <c r="H32" s="143" t="n"/>
      <c r="I32" s="143" t="n"/>
      <c r="J32" s="143" t="n"/>
      <c r="K32" s="143" t="n"/>
      <c r="L32" s="143" t="n"/>
      <c r="M32" s="143" t="n"/>
      <c r="N32" s="143" t="n"/>
      <c r="O32" s="143" t="n"/>
      <c r="P32" s="143" t="n"/>
      <c r="Q32" s="144" t="n"/>
    </row>
    <row r="33">
      <c r="A33" s="106" t="inlineStr">
        <is>
          <t xml:space="preserve">  ► CATEGORÍA: AUTOHORMIGONERAS, REGLAS VIBRATORIAS Y ALLANADORAS</t>
        </is>
      </c>
      <c r="B33" s="143" t="n"/>
      <c r="C33" s="143" t="n"/>
      <c r="D33" s="143" t="n"/>
      <c r="E33" s="143" t="n"/>
      <c r="F33" s="143" t="n"/>
      <c r="G33" s="143" t="n"/>
      <c r="H33" s="143" t="n"/>
      <c r="I33" s="143" t="n"/>
      <c r="J33" s="143" t="n"/>
      <c r="K33" s="143" t="n"/>
      <c r="L33" s="143" t="n"/>
      <c r="M33" s="143" t="n"/>
      <c r="N33" s="143" t="n"/>
      <c r="O33" s="143" t="n"/>
      <c r="P33" s="143" t="n"/>
      <c r="Q33" s="144" t="n"/>
    </row>
    <row r="34">
      <c r="A34" s="107" t="inlineStr">
        <is>
          <t xml:space="preserve">      • Subcategoría Especificada: Equipo Mezcla y Acabado</t>
        </is>
      </c>
      <c r="B34" s="143" t="n"/>
      <c r="C34" s="143" t="n"/>
      <c r="D34" s="143" t="n"/>
      <c r="E34" s="143" t="n"/>
      <c r="F34" s="143" t="n"/>
      <c r="G34" s="143" t="n"/>
      <c r="H34" s="143" t="n"/>
      <c r="I34" s="143" t="n"/>
      <c r="J34" s="143" t="n"/>
      <c r="K34" s="143" t="n"/>
      <c r="L34" s="143" t="n"/>
      <c r="M34" s="143" t="n"/>
      <c r="N34" s="143" t="n"/>
      <c r="O34" s="143" t="n"/>
      <c r="P34" s="143" t="n"/>
      <c r="Q34" s="144" t="n"/>
    </row>
    <row r="35">
      <c r="A35" s="18" t="n">
        <v>19</v>
      </c>
      <c r="B35" s="19" t="inlineStr">
        <is>
          <t xml:space="preserve">        Allanadora / Helicóptero para Concreto 5.5 HP 36"</t>
        </is>
      </c>
      <c r="C35" s="20" t="inlineStr">
        <is>
          <t>Comercial / Industrial</t>
        </is>
      </c>
      <c r="D35" s="18" t="inlineStr">
        <is>
          <t>Allanadoras Concreto</t>
        </is>
      </c>
      <c r="E35" s="18" t="inlineStr">
        <is>
          <t>U</t>
        </is>
      </c>
      <c r="F35" s="21" t="n">
        <v>1</v>
      </c>
      <c r="G35" s="22" t="n">
        <v>850</v>
      </c>
      <c r="H35" s="22" t="n">
        <v>880</v>
      </c>
      <c r="I35" s="18" t="inlineStr">
        <is>
          <t>Megametales</t>
        </is>
      </c>
      <c r="J35" s="22" t="n">
        <v>930</v>
      </c>
      <c r="K35" s="18" t="inlineStr">
        <is>
          <t>Kywi / Megakywi</t>
        </is>
      </c>
      <c r="L35" s="8">
        <f>F35*G35</f>
        <v/>
      </c>
      <c r="M35" s="145" t="inlineStr">
        <is>
          <t>Z-Z10-EQH-ALL-36IN</t>
        </is>
      </c>
      <c r="N35" s="18" t="inlineStr">
        <is>
          <t>General / coordinación multidisciplinar</t>
        </is>
      </c>
      <c r="O35" s="18" t="inlineStr">
        <is>
          <t>Estimado · base original del usuario (sin cotización verificada)</t>
        </is>
      </c>
      <c r="P35" s="18" t="inlineStr">
        <is>
          <t>oct-2026 (est.)</t>
        </is>
      </c>
      <c r="Q35" s="18" t="n"/>
    </row>
    <row r="36">
      <c r="A36" s="107" t="inlineStr">
        <is>
          <t xml:space="preserve">      • Subcategoría Especificada: Equipos de Colocación y Acabado</t>
        </is>
      </c>
      <c r="B36" s="143" t="n"/>
      <c r="C36" s="143" t="n"/>
      <c r="D36" s="143" t="n"/>
      <c r="E36" s="143" t="n"/>
      <c r="F36" s="143" t="n"/>
      <c r="G36" s="143" t="n"/>
      <c r="H36" s="143" t="n"/>
      <c r="I36" s="143" t="n"/>
      <c r="J36" s="143" t="n"/>
      <c r="K36" s="143" t="n"/>
      <c r="L36" s="143" t="n"/>
      <c r="M36" s="143" t="n"/>
      <c r="N36" s="143" t="n"/>
      <c r="O36" s="143" t="n"/>
      <c r="P36" s="143" t="n"/>
      <c r="Q36" s="144" t="n"/>
    </row>
    <row r="37">
      <c r="A37" s="108" t="n">
        <v>20</v>
      </c>
      <c r="B37" s="109" t="inlineStr">
        <is>
          <t xml:space="preserve">        Regla Vibratoria a Gasolina 3 m</t>
        </is>
      </c>
      <c r="C37" s="110" t="inlineStr">
        <is>
          <t>Residencial / Comercial</t>
        </is>
      </c>
      <c r="D37" s="108" t="inlineStr">
        <is>
          <t>Reglas Vibratorias</t>
        </is>
      </c>
      <c r="E37" s="108" t="inlineStr">
        <is>
          <t>U</t>
        </is>
      </c>
      <c r="F37" s="111" t="n">
        <v>0</v>
      </c>
      <c r="G37" s="112" t="n">
        <v>780</v>
      </c>
      <c r="H37" s="112" t="n">
        <v>803.4</v>
      </c>
      <c r="I37" s="108" t="inlineStr">
        <is>
          <t>Megametales</t>
        </is>
      </c>
      <c r="J37" s="112" t="n">
        <v>850.2</v>
      </c>
      <c r="K37" s="108" t="inlineStr">
        <is>
          <t>Kywi / Megakywi</t>
        </is>
      </c>
      <c r="L37" s="113">
        <f>F37*G37</f>
        <v/>
      </c>
      <c r="M37" s="157" t="inlineStr">
        <is>
          <t>Z-Z10-EQH-REG-VIB</t>
        </is>
      </c>
      <c r="N37" s="108" t="inlineStr">
        <is>
          <t>General / coordinación multidisciplinar</t>
        </is>
      </c>
      <c r="O37" s="108" t="inlineStr">
        <is>
          <t>Estimado DION · criterio de mercado Guayaquil 2026 (no verificado en tienda)</t>
        </is>
      </c>
      <c r="P37" s="108" t="inlineStr">
        <is>
          <t>oct-2026 (est.)</t>
        </is>
      </c>
      <c r="Q37" s="108" t="n"/>
    </row>
    <row r="38">
      <c r="A38" s="18" t="n">
        <v>21</v>
      </c>
      <c r="B38" s="19" t="inlineStr">
        <is>
          <t xml:space="preserve">        Cortadora de Piso (Juntas) 13 HP Disco 14"</t>
        </is>
      </c>
      <c r="C38" s="20" t="inlineStr">
        <is>
          <t>Comercial / Industrial</t>
        </is>
      </c>
      <c r="D38" s="18" t="inlineStr">
        <is>
          <t>Cortadoras Piso</t>
        </is>
      </c>
      <c r="E38" s="18" t="inlineStr">
        <is>
          <t>U</t>
        </is>
      </c>
      <c r="F38" s="21" t="n">
        <v>0</v>
      </c>
      <c r="G38" s="22" t="n">
        <v>1650</v>
      </c>
      <c r="H38" s="22" t="n">
        <v>1683</v>
      </c>
      <c r="I38" s="18" t="inlineStr">
        <is>
          <t>Megametales</t>
        </is>
      </c>
      <c r="J38" s="22" t="n">
        <v>1765.5</v>
      </c>
      <c r="K38" s="18" t="inlineStr">
        <is>
          <t>Ferrisariato</t>
        </is>
      </c>
      <c r="L38" s="8">
        <f>F38*G38</f>
        <v/>
      </c>
      <c r="M38" s="145" t="inlineStr">
        <is>
          <t>Z-Z10-EQH-COR-PIS</t>
        </is>
      </c>
      <c r="N38" s="18" t="inlineStr">
        <is>
          <t>General / coordinación multidisciplinar</t>
        </is>
      </c>
      <c r="O38" s="18" t="inlineStr">
        <is>
          <t>Estimado DION · criterio de mercado Guayaquil 2026 (no verificado en tienda)</t>
        </is>
      </c>
      <c r="P38" s="18" t="inlineStr">
        <is>
          <t>oct-2026 (est.)</t>
        </is>
      </c>
      <c r="Q38" s="18" t="n"/>
    </row>
    <row r="39">
      <c r="A39" s="108" t="n">
        <v>22</v>
      </c>
      <c r="B39" s="109" t="inlineStr">
        <is>
          <t xml:space="preserve">        Bomba de Hormigón Estacionaria (Servicio por m³)</t>
        </is>
      </c>
      <c r="C39" s="110" t="inlineStr">
        <is>
          <t>Comercial / Industrial</t>
        </is>
      </c>
      <c r="D39" s="108" t="inlineStr">
        <is>
          <t>Bombeo Hormigón</t>
        </is>
      </c>
      <c r="E39" s="108" t="inlineStr">
        <is>
          <t>m3</t>
        </is>
      </c>
      <c r="F39" s="111" t="n">
        <v>30</v>
      </c>
      <c r="G39" s="112" t="n">
        <v>12</v>
      </c>
      <c r="H39" s="112" t="n">
        <v>12.36</v>
      </c>
      <c r="I39" s="108" t="inlineStr">
        <is>
          <t>Megametales</t>
        </is>
      </c>
      <c r="J39" s="112" t="n">
        <v>12.84</v>
      </c>
      <c r="K39" s="108" t="inlineStr">
        <is>
          <t>Kywi / Megakywi</t>
        </is>
      </c>
      <c r="L39" s="113">
        <f>F39*G39</f>
        <v/>
      </c>
      <c r="M39" s="157" t="inlineStr">
        <is>
          <t>Z-Z10-EQH-BOM-HOR</t>
        </is>
      </c>
      <c r="N39" s="108" t="inlineStr">
        <is>
          <t>General / coordinación multidisciplinar</t>
        </is>
      </c>
      <c r="O39" s="108" t="inlineStr">
        <is>
          <t>Estimado DION · criterio de mercado Guayaquil 2026 (no verificado en tienda)</t>
        </is>
      </c>
      <c r="P39" s="108" t="inlineStr">
        <is>
          <t>oct-2026 (est.)</t>
        </is>
      </c>
      <c r="Q39" s="108" t="n"/>
    </row>
    <row r="40">
      <c r="A40" s="18" t="n">
        <v>23</v>
      </c>
      <c r="B40" s="19" t="inlineStr">
        <is>
          <t xml:space="preserve">        Carretilla Buggy Reforzada 6 ft³</t>
        </is>
      </c>
      <c r="C40" s="20" t="inlineStr">
        <is>
          <t>Residencial / Comercial</t>
        </is>
      </c>
      <c r="D40" s="18" t="inlineStr">
        <is>
          <t>Carretillas</t>
        </is>
      </c>
      <c r="E40" s="18" t="inlineStr">
        <is>
          <t>U</t>
        </is>
      </c>
      <c r="F40" s="21" t="n">
        <v>2</v>
      </c>
      <c r="G40" s="22" t="n">
        <v>95</v>
      </c>
      <c r="H40" s="22" t="n">
        <v>97.84999999999999</v>
      </c>
      <c r="I40" s="18" t="inlineStr">
        <is>
          <t>Megametales</t>
        </is>
      </c>
      <c r="J40" s="22" t="n">
        <v>104.5</v>
      </c>
      <c r="K40" s="18" t="inlineStr">
        <is>
          <t>Ferrisariato</t>
        </is>
      </c>
      <c r="L40" s="8">
        <f>F40*G40</f>
        <v/>
      </c>
      <c r="M40" s="145" t="inlineStr">
        <is>
          <t>Z-Z10-EQH-CAR-6FT</t>
        </is>
      </c>
      <c r="N40" s="18" t="inlineStr">
        <is>
          <t>General / coordinación multidisciplinar</t>
        </is>
      </c>
      <c r="O40" s="18" t="inlineStr">
        <is>
          <t>Estimado DION · criterio de mercado Guayaquil 2026 (no verificado en tienda)</t>
        </is>
      </c>
      <c r="P40" s="18" t="inlineStr">
        <is>
          <t>oct-2026 (est.)</t>
        </is>
      </c>
      <c r="Q40" s="18" t="n"/>
    </row>
    <row r="41">
      <c r="A41" s="105" t="inlineStr">
        <is>
          <t>CONEXIONES</t>
        </is>
      </c>
      <c r="B41" s="143" t="n"/>
      <c r="C41" s="143" t="n"/>
      <c r="D41" s="143" t="n"/>
      <c r="E41" s="143" t="n"/>
      <c r="F41" s="143" t="n"/>
      <c r="G41" s="143" t="n"/>
      <c r="H41" s="143" t="n"/>
      <c r="I41" s="143" t="n"/>
      <c r="J41" s="143" t="n"/>
      <c r="K41" s="143" t="n"/>
      <c r="L41" s="143" t="n"/>
      <c r="M41" s="143" t="n"/>
      <c r="N41" s="143" t="n"/>
      <c r="O41" s="143" t="n"/>
      <c r="P41" s="143" t="n"/>
      <c r="Q41" s="144" t="n"/>
    </row>
    <row r="42">
      <c r="A42" s="106" t="inlineStr">
        <is>
          <t xml:space="preserve">  ► CATEGORÍA: JUNTAS DE DILATACIÓN Y WATERSTOP PVC</t>
        </is>
      </c>
      <c r="B42" s="143" t="n"/>
      <c r="C42" s="143" t="n"/>
      <c r="D42" s="143" t="n"/>
      <c r="E42" s="143" t="n"/>
      <c r="F42" s="143" t="n"/>
      <c r="G42" s="143" t="n"/>
      <c r="H42" s="143" t="n"/>
      <c r="I42" s="143" t="n"/>
      <c r="J42" s="143" t="n"/>
      <c r="K42" s="143" t="n"/>
      <c r="L42" s="143" t="n"/>
      <c r="M42" s="143" t="n"/>
      <c r="N42" s="143" t="n"/>
      <c r="O42" s="143" t="n"/>
      <c r="P42" s="143" t="n"/>
      <c r="Q42" s="144" t="n"/>
    </row>
    <row r="43">
      <c r="A43" s="107" t="inlineStr">
        <is>
          <t xml:space="preserve">      • Subcategoría Especificada: Sellos de Junta</t>
        </is>
      </c>
      <c r="B43" s="143" t="n"/>
      <c r="C43" s="143" t="n"/>
      <c r="D43" s="143" t="n"/>
      <c r="E43" s="143" t="n"/>
      <c r="F43" s="143" t="n"/>
      <c r="G43" s="143" t="n"/>
      <c r="H43" s="143" t="n"/>
      <c r="I43" s="143" t="n"/>
      <c r="J43" s="143" t="n"/>
      <c r="K43" s="143" t="n"/>
      <c r="L43" s="143" t="n"/>
      <c r="M43" s="143" t="n"/>
      <c r="N43" s="143" t="n"/>
      <c r="O43" s="143" t="n"/>
      <c r="P43" s="143" t="n"/>
      <c r="Q43" s="144" t="n"/>
    </row>
    <row r="44">
      <c r="A44" s="108" t="n">
        <v>24</v>
      </c>
      <c r="B44" s="109" t="inlineStr">
        <is>
          <t xml:space="preserve">        Cinta Waterstop PVC 15cm para Junta de Dilatación (m)</t>
        </is>
      </c>
      <c r="C44" s="110" t="inlineStr">
        <is>
          <t>Industrial / Hidráulico</t>
        </is>
      </c>
      <c r="D44" s="108" t="inlineStr">
        <is>
          <t>Waterstop PVC</t>
        </is>
      </c>
      <c r="E44" s="108" t="inlineStr">
        <is>
          <t>m</t>
        </is>
      </c>
      <c r="F44" s="111" t="n">
        <v>20</v>
      </c>
      <c r="G44" s="112" t="n">
        <v>4.8</v>
      </c>
      <c r="H44" s="112" t="n">
        <v>4.95</v>
      </c>
      <c r="I44" s="108" t="inlineStr">
        <is>
          <t>Megametales</t>
        </is>
      </c>
      <c r="J44" s="112" t="n">
        <v>5.3</v>
      </c>
      <c r="K44" s="108" t="inlineStr">
        <is>
          <t>Ferrisariato</t>
        </is>
      </c>
      <c r="L44" s="113">
        <f>F44*G44</f>
        <v/>
      </c>
      <c r="M44" s="157" t="inlineStr">
        <is>
          <t>S-B10-JUN-WST-150</t>
        </is>
      </c>
      <c r="N44" s="108" t="inlineStr">
        <is>
          <t>Estructuras</t>
        </is>
      </c>
      <c r="O44" s="108" t="inlineStr">
        <is>
          <t>Estimado · base original del usuario (sin cotización verificada)</t>
        </is>
      </c>
      <c r="P44" s="108" t="inlineStr">
        <is>
          <t>oct-2026 (est.)</t>
        </is>
      </c>
      <c r="Q44" s="108" t="n">
        <v>5</v>
      </c>
    </row>
    <row r="45">
      <c r="A45" s="107" t="inlineStr">
        <is>
          <t xml:space="preserve">      • Subcategoría Especificada: Sellos, Fondos de Junta y Waterstop por Ancho</t>
        </is>
      </c>
      <c r="B45" s="143" t="n"/>
      <c r="C45" s="143" t="n"/>
      <c r="D45" s="143" t="n"/>
      <c r="E45" s="143" t="n"/>
      <c r="F45" s="143" t="n"/>
      <c r="G45" s="143" t="n"/>
      <c r="H45" s="143" t="n"/>
      <c r="I45" s="143" t="n"/>
      <c r="J45" s="143" t="n"/>
      <c r="K45" s="143" t="n"/>
      <c r="L45" s="143" t="n"/>
      <c r="M45" s="143" t="n"/>
      <c r="N45" s="143" t="n"/>
      <c r="O45" s="143" t="n"/>
      <c r="P45" s="143" t="n"/>
      <c r="Q45" s="144" t="n"/>
    </row>
    <row r="46">
      <c r="A46" s="18" t="n">
        <v>25</v>
      </c>
      <c r="B46" s="19" t="inlineStr">
        <is>
          <t xml:space="preserve">        Cinta Waterstop PVC 22 cm (m)</t>
        </is>
      </c>
      <c r="C46" s="20" t="inlineStr">
        <is>
          <t>Industrial / Hidráulico</t>
        </is>
      </c>
      <c r="D46" s="18" t="inlineStr">
        <is>
          <t>Waterstop PVC</t>
        </is>
      </c>
      <c r="E46" s="18" t="inlineStr">
        <is>
          <t>m</t>
        </is>
      </c>
      <c r="F46" s="21" t="n">
        <v>20</v>
      </c>
      <c r="G46" s="22" t="n">
        <v>6.8</v>
      </c>
      <c r="H46" s="22" t="n">
        <v>7.07</v>
      </c>
      <c r="I46" s="18" t="inlineStr">
        <is>
          <t>Megametales</t>
        </is>
      </c>
      <c r="J46" s="22" t="n">
        <v>7.41</v>
      </c>
      <c r="K46" s="18" t="inlineStr">
        <is>
          <t>Ferrisariato</t>
        </is>
      </c>
      <c r="L46" s="8">
        <f>F46*G46</f>
        <v/>
      </c>
      <c r="M46" s="145" t="inlineStr">
        <is>
          <t>S-B10-JUN-WST-220</t>
        </is>
      </c>
      <c r="N46" s="18" t="inlineStr">
        <is>
          <t>Estructuras</t>
        </is>
      </c>
      <c r="O46" s="18" t="inlineStr">
        <is>
          <t>Estimado DION · criterio de mercado Guayaquil 2026 (no verificado en tienda)</t>
        </is>
      </c>
      <c r="P46" s="18" t="inlineStr">
        <is>
          <t>oct-2026 (est.)</t>
        </is>
      </c>
      <c r="Q46" s="18" t="n">
        <v>5</v>
      </c>
    </row>
    <row r="47">
      <c r="A47" s="108" t="n">
        <v>26</v>
      </c>
      <c r="B47" s="109" t="inlineStr">
        <is>
          <t xml:space="preserve">        Waterstop Hidroexpansivo Bentonítico (m)</t>
        </is>
      </c>
      <c r="C47" s="110" t="inlineStr">
        <is>
          <t>Industrial / Hidráulico</t>
        </is>
      </c>
      <c r="D47" s="108" t="inlineStr">
        <is>
          <t>Waterstop Hidroexp.</t>
        </is>
      </c>
      <c r="E47" s="108" t="inlineStr">
        <is>
          <t>m</t>
        </is>
      </c>
      <c r="F47" s="111" t="n">
        <v>20</v>
      </c>
      <c r="G47" s="112" t="n">
        <v>9.5</v>
      </c>
      <c r="H47" s="112" t="n">
        <v>9.789999999999999</v>
      </c>
      <c r="I47" s="108" t="inlineStr">
        <is>
          <t>Megametales</t>
        </is>
      </c>
      <c r="J47" s="112" t="n">
        <v>10.45</v>
      </c>
      <c r="K47" s="108" t="inlineStr">
        <is>
          <t>Kywi / Megakywi</t>
        </is>
      </c>
      <c r="L47" s="113">
        <f>F47*G47</f>
        <v/>
      </c>
      <c r="M47" s="157" t="inlineStr">
        <is>
          <t>S-B10-JUN-WST-HEX</t>
        </is>
      </c>
      <c r="N47" s="108" t="inlineStr">
        <is>
          <t>Estructuras</t>
        </is>
      </c>
      <c r="O47" s="108" t="inlineStr">
        <is>
          <t>Estimado DION · criterio de mercado Guayaquil 2026 (no verificado en tienda)</t>
        </is>
      </c>
      <c r="P47" s="108" t="inlineStr">
        <is>
          <t>oct-2026 (est.)</t>
        </is>
      </c>
      <c r="Q47" s="108" t="n">
        <v>5</v>
      </c>
    </row>
    <row r="48">
      <c r="A48" s="18" t="n">
        <v>27</v>
      </c>
      <c r="B48" s="19" t="inlineStr">
        <is>
          <t xml:space="preserve">        Sellador Poliuretano para Juntas de Piso (Salchicha 600 ml)</t>
        </is>
      </c>
      <c r="C48" s="20" t="inlineStr">
        <is>
          <t>Residencial / Comercial</t>
        </is>
      </c>
      <c r="D48" s="18" t="inlineStr">
        <is>
          <t>Selladores</t>
        </is>
      </c>
      <c r="E48" s="18" t="inlineStr">
        <is>
          <t>U</t>
        </is>
      </c>
      <c r="F48" s="21" t="n">
        <v>6</v>
      </c>
      <c r="G48" s="22" t="n">
        <v>12.5</v>
      </c>
      <c r="H48" s="22" t="n">
        <v>13.12</v>
      </c>
      <c r="I48" s="18" t="inlineStr">
        <is>
          <t>Megametales</t>
        </is>
      </c>
      <c r="J48" s="22" t="n">
        <v>13.88</v>
      </c>
      <c r="K48" s="18" t="inlineStr">
        <is>
          <t>Ferrisariato</t>
        </is>
      </c>
      <c r="L48" s="8">
        <f>F48*G48</f>
        <v/>
      </c>
      <c r="M48" s="145" t="inlineStr">
        <is>
          <t>S-B10-JUN-SEL-PUR</t>
        </is>
      </c>
      <c r="N48" s="18" t="inlineStr">
        <is>
          <t>Estructuras</t>
        </is>
      </c>
      <c r="O48" s="18" t="inlineStr">
        <is>
          <t>Estimado DION · criterio de mercado Guayaquil 2026 (no verificado en tienda)</t>
        </is>
      </c>
      <c r="P48" s="18" t="inlineStr">
        <is>
          <t>oct-2026 (est.)</t>
        </is>
      </c>
      <c r="Q48" s="18" t="n"/>
    </row>
    <row r="49">
      <c r="A49" s="108" t="n">
        <v>28</v>
      </c>
      <c r="B49" s="109" t="inlineStr">
        <is>
          <t xml:space="preserve">        Fondo de Junta Cordón Polietileno 10 mm (m)</t>
        </is>
      </c>
      <c r="C49" s="110" t="inlineStr">
        <is>
          <t>Residencial / Comercial</t>
        </is>
      </c>
      <c r="D49" s="108" t="inlineStr">
        <is>
          <t>Fondos de Junta</t>
        </is>
      </c>
      <c r="E49" s="108" t="inlineStr">
        <is>
          <t>m</t>
        </is>
      </c>
      <c r="F49" s="111" t="n">
        <v>50</v>
      </c>
      <c r="G49" s="112" t="n">
        <v>0.25</v>
      </c>
      <c r="H49" s="112" t="n">
        <v>0.26</v>
      </c>
      <c r="I49" s="108" t="inlineStr">
        <is>
          <t>Megametales</t>
        </is>
      </c>
      <c r="J49" s="112" t="n">
        <v>0.27</v>
      </c>
      <c r="K49" s="108" t="inlineStr">
        <is>
          <t>Kywi / Megakywi</t>
        </is>
      </c>
      <c r="L49" s="113">
        <f>F49*G49</f>
        <v/>
      </c>
      <c r="M49" s="157" t="inlineStr">
        <is>
          <t>S-B10-JUN-FON-010</t>
        </is>
      </c>
      <c r="N49" s="108" t="inlineStr">
        <is>
          <t>Estructuras</t>
        </is>
      </c>
      <c r="O49" s="108" t="inlineStr">
        <is>
          <t>Estimado DION · criterio de mercado Guayaquil 2026 (no verificado en tienda)</t>
        </is>
      </c>
      <c r="P49" s="108" t="inlineStr">
        <is>
          <t>oct-2026 (est.)</t>
        </is>
      </c>
      <c r="Q49" s="108" t="n">
        <v>5</v>
      </c>
    </row>
    <row r="50">
      <c r="A50" s="18" t="n">
        <v>29</v>
      </c>
      <c r="B50" s="19" t="inlineStr">
        <is>
          <t xml:space="preserve">        Plancha Poliestireno Expandido Junta 2 cm (1.22x2.44)</t>
        </is>
      </c>
      <c r="C50" s="20" t="inlineStr">
        <is>
          <t>Residencial / Comercial</t>
        </is>
      </c>
      <c r="D50" s="18" t="inlineStr">
        <is>
          <t>Juntas EPS</t>
        </is>
      </c>
      <c r="E50" s="18" t="inlineStr">
        <is>
          <t>U</t>
        </is>
      </c>
      <c r="F50" s="21" t="n">
        <v>4</v>
      </c>
      <c r="G50" s="22" t="n">
        <v>6.5</v>
      </c>
      <c r="H50" s="22" t="n">
        <v>6.83</v>
      </c>
      <c r="I50" s="18" t="inlineStr">
        <is>
          <t>Megametales</t>
        </is>
      </c>
      <c r="J50" s="22" t="n">
        <v>6.96</v>
      </c>
      <c r="K50" s="18" t="inlineStr">
        <is>
          <t>Ferrisariato</t>
        </is>
      </c>
      <c r="L50" s="8">
        <f>F50*G50</f>
        <v/>
      </c>
      <c r="M50" s="145" t="inlineStr">
        <is>
          <t>S-B10-JUN-EPS-020</t>
        </is>
      </c>
      <c r="N50" s="18" t="inlineStr">
        <is>
          <t>Estructuras</t>
        </is>
      </c>
      <c r="O50" s="18" t="inlineStr">
        <is>
          <t>Estimado DION · criterio de mercado Guayaquil 2026 (no verificado en tienda)</t>
        </is>
      </c>
      <c r="P50" s="18" t="inlineStr">
        <is>
          <t>oct-2026 (est.)</t>
        </is>
      </c>
      <c r="Q50" s="18" t="n"/>
    </row>
    <row r="51">
      <c r="A51" s="108" t="n">
        <v>30</v>
      </c>
      <c r="B51" s="109" t="inlineStr">
        <is>
          <t xml:space="preserve">        Pasajuntas Liso Ø20 mm x 45 cm Engrasado</t>
        </is>
      </c>
      <c r="C51" s="110" t="inlineStr">
        <is>
          <t>Comercial / Industrial</t>
        </is>
      </c>
      <c r="D51" s="108" t="inlineStr">
        <is>
          <t>Pasajuntas</t>
        </is>
      </c>
      <c r="E51" s="108" t="inlineStr">
        <is>
          <t>U</t>
        </is>
      </c>
      <c r="F51" s="111" t="n">
        <v>40</v>
      </c>
      <c r="G51" s="112" t="n">
        <v>2.2</v>
      </c>
      <c r="H51" s="112" t="n">
        <v>2.24</v>
      </c>
      <c r="I51" s="108" t="inlineStr">
        <is>
          <t>Megametales</t>
        </is>
      </c>
      <c r="J51" s="112" t="n">
        <v>2.42</v>
      </c>
      <c r="K51" s="108" t="inlineStr">
        <is>
          <t>Kywi / Megakywi</t>
        </is>
      </c>
      <c r="L51" s="113">
        <f>F51*G51</f>
        <v/>
      </c>
      <c r="M51" s="157" t="inlineStr">
        <is>
          <t>S-B10-JUN-PSJ-020</t>
        </is>
      </c>
      <c r="N51" s="108" t="inlineStr">
        <is>
          <t>Estructuras</t>
        </is>
      </c>
      <c r="O51" s="108" t="inlineStr">
        <is>
          <t>Estimado DION · criterio de mercado Guayaquil 2026 (no verificado en tienda)</t>
        </is>
      </c>
      <c r="P51" s="108" t="inlineStr">
        <is>
          <t>oct-2026 (est.)</t>
        </is>
      </c>
      <c r="Q51" s="108" t="n"/>
    </row>
    <row r="52">
      <c r="A52" s="105" t="inlineStr">
        <is>
          <t>EQUIPOS ESPECIALIZADOS</t>
        </is>
      </c>
      <c r="B52" s="143" t="n"/>
      <c r="C52" s="143" t="n"/>
      <c r="D52" s="143" t="n"/>
      <c r="E52" s="143" t="n"/>
      <c r="F52" s="143" t="n"/>
      <c r="G52" s="143" t="n"/>
      <c r="H52" s="143" t="n"/>
      <c r="I52" s="143" t="n"/>
      <c r="J52" s="143" t="n"/>
      <c r="K52" s="143" t="n"/>
      <c r="L52" s="143" t="n"/>
      <c r="M52" s="143" t="n"/>
      <c r="N52" s="143" t="n"/>
      <c r="O52" s="143" t="n"/>
      <c r="P52" s="143" t="n"/>
      <c r="Q52" s="144" t="n"/>
    </row>
    <row r="53">
      <c r="A53" s="106" t="inlineStr">
        <is>
          <t xml:space="preserve">  ► CATEGORÍA: TIPOS DE CONCRETO PREMEZCLADO F'C</t>
        </is>
      </c>
      <c r="B53" s="143" t="n"/>
      <c r="C53" s="143" t="n"/>
      <c r="D53" s="143" t="n"/>
      <c r="E53" s="143" t="n"/>
      <c r="F53" s="143" t="n"/>
      <c r="G53" s="143" t="n"/>
      <c r="H53" s="143" t="n"/>
      <c r="I53" s="143" t="n"/>
      <c r="J53" s="143" t="n"/>
      <c r="K53" s="143" t="n"/>
      <c r="L53" s="143" t="n"/>
      <c r="M53" s="143" t="n"/>
      <c r="N53" s="143" t="n"/>
      <c r="O53" s="143" t="n"/>
      <c r="P53" s="143" t="n"/>
      <c r="Q53" s="144" t="n"/>
    </row>
    <row r="54">
      <c r="A54" s="107" t="inlineStr">
        <is>
          <t xml:space="preserve">      • Subcategoría Especificada: Concretos Especiales Premezclados</t>
        </is>
      </c>
      <c r="B54" s="143" t="n"/>
      <c r="C54" s="143" t="n"/>
      <c r="D54" s="143" t="n"/>
      <c r="E54" s="143" t="n"/>
      <c r="F54" s="143" t="n"/>
      <c r="G54" s="143" t="n"/>
      <c r="H54" s="143" t="n"/>
      <c r="I54" s="143" t="n"/>
      <c r="J54" s="143" t="n"/>
      <c r="K54" s="143" t="n"/>
      <c r="L54" s="143" t="n"/>
      <c r="M54" s="143" t="n"/>
      <c r="N54" s="143" t="n"/>
      <c r="O54" s="143" t="n"/>
      <c r="P54" s="143" t="n"/>
      <c r="Q54" s="144" t="n"/>
    </row>
    <row r="55">
      <c r="A55" s="18" t="n">
        <v>31</v>
      </c>
      <c r="B55" s="19" t="inlineStr">
        <is>
          <t xml:space="preserve">        Concreto Premezclado Normal f'c = 210 kg/cm2 (m3)</t>
        </is>
      </c>
      <c r="C55" s="20" t="inlineStr">
        <is>
          <t>Residencial / Comercial</t>
        </is>
      </c>
      <c r="D55" s="18" t="inlineStr">
        <is>
          <t>Concreto 210</t>
        </is>
      </c>
      <c r="E55" s="18" t="inlineStr">
        <is>
          <t>m3</t>
        </is>
      </c>
      <c r="F55" s="21" t="n">
        <v>10</v>
      </c>
      <c r="G55" s="22" t="n">
        <v>85</v>
      </c>
      <c r="H55" s="22" t="n">
        <v>88</v>
      </c>
      <c r="I55" s="18" t="inlineStr">
        <is>
          <t>Megametales / Holcim</t>
        </is>
      </c>
      <c r="J55" s="22" t="n">
        <v>94</v>
      </c>
      <c r="K55" s="18" t="inlineStr">
        <is>
          <t>Kywi / Megakywi</t>
        </is>
      </c>
      <c r="L55" s="8">
        <f>F55*G55</f>
        <v/>
      </c>
      <c r="M55" s="145" t="inlineStr">
        <is>
          <t>S-B10-HOR-FC210</t>
        </is>
      </c>
      <c r="N55" s="18" t="inlineStr">
        <is>
          <t>Estructuras</t>
        </is>
      </c>
      <c r="O55" s="18" t="inlineStr">
        <is>
          <t>Estimado · base original del usuario (sin cotización verificada)</t>
        </is>
      </c>
      <c r="P55" s="18" t="inlineStr">
        <is>
          <t>oct-2026 (est.)</t>
        </is>
      </c>
      <c r="Q55" s="18" t="n">
        <v>5</v>
      </c>
    </row>
    <row r="56">
      <c r="A56" s="108" t="n">
        <v>32</v>
      </c>
      <c r="B56" s="109" t="inlineStr">
        <is>
          <t xml:space="preserve">        Concreto Premezclado Alta Resistencia f'c = 350 kg/cm2 (m3)</t>
        </is>
      </c>
      <c r="C56" s="110" t="inlineStr">
        <is>
          <t>Comercial / Industrial</t>
        </is>
      </c>
      <c r="D56" s="108" t="inlineStr">
        <is>
          <t>Concreto 350</t>
        </is>
      </c>
      <c r="E56" s="108" t="inlineStr">
        <is>
          <t>m3</t>
        </is>
      </c>
      <c r="F56" s="111" t="n">
        <v>10</v>
      </c>
      <c r="G56" s="112" t="n">
        <v>115</v>
      </c>
      <c r="H56" s="112" t="n">
        <v>119</v>
      </c>
      <c r="I56" s="108" t="inlineStr">
        <is>
          <t>Megametales / Holcim</t>
        </is>
      </c>
      <c r="J56" s="112" t="n">
        <v>126</v>
      </c>
      <c r="K56" s="108" t="inlineStr">
        <is>
          <t>Ferrisariato</t>
        </is>
      </c>
      <c r="L56" s="113">
        <f>F56*G56</f>
        <v/>
      </c>
      <c r="M56" s="157" t="inlineStr">
        <is>
          <t>S-B10-HOR-FC350</t>
        </is>
      </c>
      <c r="N56" s="108" t="inlineStr">
        <is>
          <t>Estructuras</t>
        </is>
      </c>
      <c r="O56" s="108" t="inlineStr">
        <is>
          <t>Estimado · base original del usuario (sin cotización verificada)</t>
        </is>
      </c>
      <c r="P56" s="108" t="inlineStr">
        <is>
          <t>oct-2026 (est.)</t>
        </is>
      </c>
      <c r="Q56" s="108" t="n">
        <v>5</v>
      </c>
    </row>
    <row r="57">
      <c r="A57" s="107" t="inlineStr">
        <is>
          <t xml:space="preserve">      • Subcategoría Especificada: Todas las Resistencias y Servicios (Holcim / UNACEM / Hormigonera local)</t>
        </is>
      </c>
      <c r="B57" s="143" t="n"/>
      <c r="C57" s="143" t="n"/>
      <c r="D57" s="143" t="n"/>
      <c r="E57" s="143" t="n"/>
      <c r="F57" s="143" t="n"/>
      <c r="G57" s="143" t="n"/>
      <c r="H57" s="143" t="n"/>
      <c r="I57" s="143" t="n"/>
      <c r="J57" s="143" t="n"/>
      <c r="K57" s="143" t="n"/>
      <c r="L57" s="143" t="n"/>
      <c r="M57" s="143" t="n"/>
      <c r="N57" s="143" t="n"/>
      <c r="O57" s="143" t="n"/>
      <c r="P57" s="143" t="n"/>
      <c r="Q57" s="144" t="n"/>
    </row>
    <row r="58">
      <c r="A58" s="18" t="n">
        <v>33</v>
      </c>
      <c r="B58" s="19" t="inlineStr">
        <is>
          <t xml:space="preserve">        Hormigón Premezclado f'c = 140 kg/cm² (m³) Bombeable</t>
        </is>
      </c>
      <c r="C58" s="20" t="inlineStr">
        <is>
          <t>Residencial / Comercial</t>
        </is>
      </c>
      <c r="D58" s="18" t="inlineStr">
        <is>
          <t>Concreto 140</t>
        </is>
      </c>
      <c r="E58" s="18" t="inlineStr">
        <is>
          <t>m3</t>
        </is>
      </c>
      <c r="F58" s="21" t="n">
        <v>10</v>
      </c>
      <c r="G58" s="22" t="n">
        <v>82</v>
      </c>
      <c r="H58" s="22" t="n">
        <v>84.45999999999999</v>
      </c>
      <c r="I58" s="18" t="inlineStr">
        <is>
          <t>Megametales</t>
        </is>
      </c>
      <c r="J58" s="22" t="n">
        <v>90.2</v>
      </c>
      <c r="K58" s="18" t="inlineStr">
        <is>
          <t>Ferrisariato</t>
        </is>
      </c>
      <c r="L58" s="8">
        <f>F58*G58</f>
        <v/>
      </c>
      <c r="M58" s="145" t="inlineStr">
        <is>
          <t>S-B10-HOR-FC140</t>
        </is>
      </c>
      <c r="N58" s="18" t="inlineStr">
        <is>
          <t>Estructuras</t>
        </is>
      </c>
      <c r="O58" s="18" t="inlineStr">
        <is>
          <t>Estimado DION · criterio de mercado Guayaquil 2026 (no verificado en tienda)</t>
        </is>
      </c>
      <c r="P58" s="18" t="inlineStr">
        <is>
          <t>oct-2026 (est.)</t>
        </is>
      </c>
      <c r="Q58" s="18" t="n">
        <v>5</v>
      </c>
    </row>
    <row r="59">
      <c r="A59" s="108" t="n">
        <v>34</v>
      </c>
      <c r="B59" s="109" t="inlineStr">
        <is>
          <t xml:space="preserve">        Hormigón Premezclado f'c = 180 kg/cm² (m³) Bombeable</t>
        </is>
      </c>
      <c r="C59" s="110" t="inlineStr">
        <is>
          <t>Residencial / Comercial</t>
        </is>
      </c>
      <c r="D59" s="108" t="inlineStr">
        <is>
          <t>Concreto 180</t>
        </is>
      </c>
      <c r="E59" s="108" t="inlineStr">
        <is>
          <t>m3</t>
        </is>
      </c>
      <c r="F59" s="111" t="n">
        <v>10</v>
      </c>
      <c r="G59" s="112" t="n">
        <v>88</v>
      </c>
      <c r="H59" s="112" t="n">
        <v>92.40000000000001</v>
      </c>
      <c r="I59" s="108" t="inlineStr">
        <is>
          <t>Megametales</t>
        </is>
      </c>
      <c r="J59" s="112" t="n">
        <v>95.92</v>
      </c>
      <c r="K59" s="108" t="inlineStr">
        <is>
          <t>Kywi / Megakywi</t>
        </is>
      </c>
      <c r="L59" s="113">
        <f>F59*G59</f>
        <v/>
      </c>
      <c r="M59" s="157" t="inlineStr">
        <is>
          <t>S-B10-HOR-FC180</t>
        </is>
      </c>
      <c r="N59" s="108" t="inlineStr">
        <is>
          <t>Estructuras</t>
        </is>
      </c>
      <c r="O59" s="108" t="inlineStr">
        <is>
          <t>Estimado DION · criterio de mercado Guayaquil 2026 (no verificado en tienda)</t>
        </is>
      </c>
      <c r="P59" s="108" t="inlineStr">
        <is>
          <t>oct-2026 (est.)</t>
        </is>
      </c>
      <c r="Q59" s="108" t="n">
        <v>5</v>
      </c>
    </row>
    <row r="60">
      <c r="A60" s="18" t="n">
        <v>35</v>
      </c>
      <c r="B60" s="19" t="inlineStr">
        <is>
          <t xml:space="preserve">        Hormigón Premezclado f'c = 240 kg/cm² (m³) Bombeable</t>
        </is>
      </c>
      <c r="C60" s="20" t="inlineStr">
        <is>
          <t>Residencial / Comercial</t>
        </is>
      </c>
      <c r="D60" s="18" t="inlineStr">
        <is>
          <t>Concreto 240</t>
        </is>
      </c>
      <c r="E60" s="18" t="inlineStr">
        <is>
          <t>m3</t>
        </is>
      </c>
      <c r="F60" s="21" t="n">
        <v>10</v>
      </c>
      <c r="G60" s="22" t="n">
        <v>99</v>
      </c>
      <c r="H60" s="22" t="n">
        <v>103.95</v>
      </c>
      <c r="I60" s="18" t="inlineStr">
        <is>
          <t>Megametales</t>
        </is>
      </c>
      <c r="J60" s="22" t="n">
        <v>109.89</v>
      </c>
      <c r="K60" s="18" t="inlineStr">
        <is>
          <t>Ferrisariato</t>
        </is>
      </c>
      <c r="L60" s="8">
        <f>F60*G60</f>
        <v/>
      </c>
      <c r="M60" s="145" t="inlineStr">
        <is>
          <t>S-B10-HOR-FC240</t>
        </is>
      </c>
      <c r="N60" s="18" t="inlineStr">
        <is>
          <t>Estructuras</t>
        </is>
      </c>
      <c r="O60" s="18" t="inlineStr">
        <is>
          <t>Estimado DION · criterio de mercado Guayaquil 2026 (no verificado en tienda)</t>
        </is>
      </c>
      <c r="P60" s="18" t="inlineStr">
        <is>
          <t>oct-2026 (est.)</t>
        </is>
      </c>
      <c r="Q60" s="18" t="n">
        <v>5</v>
      </c>
    </row>
    <row r="61">
      <c r="A61" s="108" t="n">
        <v>36</v>
      </c>
      <c r="B61" s="109" t="inlineStr">
        <is>
          <t xml:space="preserve">        Hormigón Premezclado f'c = 280 kg/cm² (m³) Bombeable</t>
        </is>
      </c>
      <c r="C61" s="110" t="inlineStr">
        <is>
          <t>Residencial / Comercial</t>
        </is>
      </c>
      <c r="D61" s="108" t="inlineStr">
        <is>
          <t>Concreto 280</t>
        </is>
      </c>
      <c r="E61" s="108" t="inlineStr">
        <is>
          <t>m3</t>
        </is>
      </c>
      <c r="F61" s="111" t="n">
        <v>10</v>
      </c>
      <c r="G61" s="112" t="n">
        <v>106</v>
      </c>
      <c r="H61" s="112" t="n">
        <v>109.18</v>
      </c>
      <c r="I61" s="108" t="inlineStr">
        <is>
          <t>Megametales</t>
        </is>
      </c>
      <c r="J61" s="112" t="n">
        <v>115.54</v>
      </c>
      <c r="K61" s="108" t="inlineStr">
        <is>
          <t>Kywi / Megakywi</t>
        </is>
      </c>
      <c r="L61" s="113">
        <f>F61*G61</f>
        <v/>
      </c>
      <c r="M61" s="157" t="inlineStr">
        <is>
          <t>S-B10-HOR-FC280</t>
        </is>
      </c>
      <c r="N61" s="108" t="inlineStr">
        <is>
          <t>Estructuras</t>
        </is>
      </c>
      <c r="O61" s="108" t="inlineStr">
        <is>
          <t>Estimado DION · criterio de mercado Guayaquil 2026 (no verificado en tienda)</t>
        </is>
      </c>
      <c r="P61" s="108" t="inlineStr">
        <is>
          <t>oct-2026 (est.)</t>
        </is>
      </c>
      <c r="Q61" s="108" t="n">
        <v>5</v>
      </c>
    </row>
    <row r="62">
      <c r="A62" s="18" t="n">
        <v>37</v>
      </c>
      <c r="B62" s="19" t="inlineStr">
        <is>
          <t xml:space="preserve">        Hormigón Premezclado f'c = 420 kg/cm² (m³) Bombeable</t>
        </is>
      </c>
      <c r="C62" s="20" t="inlineStr">
        <is>
          <t>Comercial / Industrial</t>
        </is>
      </c>
      <c r="D62" s="18" t="inlineStr">
        <is>
          <t>Concreto 420</t>
        </is>
      </c>
      <c r="E62" s="18" t="inlineStr">
        <is>
          <t>m3</t>
        </is>
      </c>
      <c r="F62" s="21" t="n">
        <v>10</v>
      </c>
      <c r="G62" s="22" t="n">
        <v>138</v>
      </c>
      <c r="H62" s="22" t="n">
        <v>143.52</v>
      </c>
      <c r="I62" s="18" t="inlineStr">
        <is>
          <t>Megametales</t>
        </is>
      </c>
      <c r="J62" s="22" t="n">
        <v>150.42</v>
      </c>
      <c r="K62" s="18" t="inlineStr">
        <is>
          <t>Ferrisariato</t>
        </is>
      </c>
      <c r="L62" s="8">
        <f>F62*G62</f>
        <v/>
      </c>
      <c r="M62" s="145" t="inlineStr">
        <is>
          <t>S-B10-HOR-FC420</t>
        </is>
      </c>
      <c r="N62" s="18" t="inlineStr">
        <is>
          <t>Estructuras</t>
        </is>
      </c>
      <c r="O62" s="18" t="inlineStr">
        <is>
          <t>Estimado DION · criterio de mercado Guayaquil 2026 (no verificado en tienda)</t>
        </is>
      </c>
      <c r="P62" s="18" t="inlineStr">
        <is>
          <t>oct-2026 (est.)</t>
        </is>
      </c>
      <c r="Q62" s="18" t="n">
        <v>5</v>
      </c>
    </row>
    <row r="63">
      <c r="A63" s="108" t="n">
        <v>38</v>
      </c>
      <c r="B63" s="109" t="inlineStr">
        <is>
          <t xml:space="preserve">        Hormigón Ciclópeo 60% H.S. f'c=180 + 40% Piedra (m³)</t>
        </is>
      </c>
      <c r="C63" s="110" t="inlineStr">
        <is>
          <t>Residencial / Comercial</t>
        </is>
      </c>
      <c r="D63" s="108" t="inlineStr">
        <is>
          <t>Hormigón Ciclópeo</t>
        </is>
      </c>
      <c r="E63" s="108" t="inlineStr">
        <is>
          <t>m3</t>
        </is>
      </c>
      <c r="F63" s="111" t="n">
        <v>5</v>
      </c>
      <c r="G63" s="112" t="n">
        <v>72</v>
      </c>
      <c r="H63" s="112" t="n">
        <v>75.59999999999999</v>
      </c>
      <c r="I63" s="108" t="inlineStr">
        <is>
          <t>Megametales</t>
        </is>
      </c>
      <c r="J63" s="112" t="n">
        <v>77.76000000000001</v>
      </c>
      <c r="K63" s="108" t="inlineStr">
        <is>
          <t>Kywi / Megakywi</t>
        </is>
      </c>
      <c r="L63" s="113">
        <f>F63*G63</f>
        <v/>
      </c>
      <c r="M63" s="157" t="inlineStr">
        <is>
          <t>S-B10-HOR-CIC</t>
        </is>
      </c>
      <c r="N63" s="108" t="inlineStr">
        <is>
          <t>Estructuras</t>
        </is>
      </c>
      <c r="O63" s="108" t="inlineStr">
        <is>
          <t>Estimado DION · criterio de mercado Guayaquil 2026 (no verificado en tienda)</t>
        </is>
      </c>
      <c r="P63" s="108" t="inlineStr">
        <is>
          <t>oct-2026 (est.)</t>
        </is>
      </c>
      <c r="Q63" s="108" t="n">
        <v>5</v>
      </c>
    </row>
    <row r="64">
      <c r="A64" s="18" t="n">
        <v>39</v>
      </c>
      <c r="B64" s="19" t="inlineStr">
        <is>
          <t xml:space="preserve">        Hormigón MR-45 Pavimento Rígido (m³)</t>
        </is>
      </c>
      <c r="C64" s="20" t="inlineStr">
        <is>
          <t>Vías / Industrial</t>
        </is>
      </c>
      <c r="D64" s="18" t="inlineStr">
        <is>
          <t>Hormigón Vial</t>
        </is>
      </c>
      <c r="E64" s="18" t="inlineStr">
        <is>
          <t>m3</t>
        </is>
      </c>
      <c r="F64" s="21" t="n">
        <v>10</v>
      </c>
      <c r="G64" s="22" t="n">
        <v>115</v>
      </c>
      <c r="H64" s="22" t="n">
        <v>119.6</v>
      </c>
      <c r="I64" s="18" t="inlineStr">
        <is>
          <t>Megametales</t>
        </is>
      </c>
      <c r="J64" s="22" t="n">
        <v>123.05</v>
      </c>
      <c r="K64" s="18" t="inlineStr">
        <is>
          <t>Ferrisariato</t>
        </is>
      </c>
      <c r="L64" s="8">
        <f>F64*G64</f>
        <v/>
      </c>
      <c r="M64" s="145" t="inlineStr">
        <is>
          <t>S-B10-HOR-MR45</t>
        </is>
      </c>
      <c r="N64" s="18" t="inlineStr">
        <is>
          <t>Estructuras</t>
        </is>
      </c>
      <c r="O64" s="18" t="inlineStr">
        <is>
          <t>Estimado DION · criterio de mercado Guayaquil 2026 (no verificado en tienda)</t>
        </is>
      </c>
      <c r="P64" s="18" t="inlineStr">
        <is>
          <t>oct-2026 (est.)</t>
        </is>
      </c>
      <c r="Q64" s="18" t="n">
        <v>5</v>
      </c>
    </row>
    <row r="65">
      <c r="A65" s="108" t="n">
        <v>40</v>
      </c>
      <c r="B65" s="109" t="inlineStr">
        <is>
          <t xml:space="preserve">        Recargo por Bombeo de Hormigón (m³)</t>
        </is>
      </c>
      <c r="C65" s="110" t="inlineStr">
        <is>
          <t>Residencial / Comercial</t>
        </is>
      </c>
      <c r="D65" s="108" t="inlineStr">
        <is>
          <t>Servicios Premezclado</t>
        </is>
      </c>
      <c r="E65" s="108" t="inlineStr">
        <is>
          <t>m3</t>
        </is>
      </c>
      <c r="F65" s="111" t="n">
        <v>10</v>
      </c>
      <c r="G65" s="112" t="n">
        <v>12</v>
      </c>
      <c r="H65" s="112" t="n">
        <v>12.36</v>
      </c>
      <c r="I65" s="108" t="inlineStr">
        <is>
          <t>Megametales</t>
        </is>
      </c>
      <c r="J65" s="112" t="n">
        <v>12.96</v>
      </c>
      <c r="K65" s="108" t="inlineStr">
        <is>
          <t>Kywi / Megakywi</t>
        </is>
      </c>
      <c r="L65" s="113">
        <f>F65*G65</f>
        <v/>
      </c>
      <c r="M65" s="157" t="inlineStr">
        <is>
          <t>S-B10-HOR-BOM</t>
        </is>
      </c>
      <c r="N65" s="108" t="inlineStr">
        <is>
          <t>Estructuras</t>
        </is>
      </c>
      <c r="O65" s="108" t="inlineStr">
        <is>
          <t>Estimado DION · criterio de mercado Guayaquil 2026 (no verificado en tienda)</t>
        </is>
      </c>
      <c r="P65" s="108" t="inlineStr">
        <is>
          <t>oct-2026 (est.)</t>
        </is>
      </c>
      <c r="Q65" s="108" t="n"/>
    </row>
    <row r="66">
      <c r="A66" s="18" t="n">
        <v>41</v>
      </c>
      <c r="B66" s="19" t="inlineStr">
        <is>
          <t xml:space="preserve">        Recargo por Aditivo Acelerante / Fibra en Planta (m³)</t>
        </is>
      </c>
      <c r="C66" s="20" t="inlineStr">
        <is>
          <t>Comercial / Industrial</t>
        </is>
      </c>
      <c r="D66" s="18" t="inlineStr">
        <is>
          <t>Servicios Premezclado</t>
        </is>
      </c>
      <c r="E66" s="18" t="inlineStr">
        <is>
          <t>m3</t>
        </is>
      </c>
      <c r="F66" s="21" t="n">
        <v>10</v>
      </c>
      <c r="G66" s="22" t="n">
        <v>9</v>
      </c>
      <c r="H66" s="22" t="n">
        <v>9.449999999999999</v>
      </c>
      <c r="I66" s="18" t="inlineStr">
        <is>
          <t>Megametales</t>
        </is>
      </c>
      <c r="J66" s="22" t="n">
        <v>9.9</v>
      </c>
      <c r="K66" s="18" t="inlineStr">
        <is>
          <t>Ferrisariato</t>
        </is>
      </c>
      <c r="L66" s="8">
        <f>F66*G66</f>
        <v/>
      </c>
      <c r="M66" s="145" t="inlineStr">
        <is>
          <t>S-B10-HOR-REC-ADI</t>
        </is>
      </c>
      <c r="N66" s="18" t="inlineStr">
        <is>
          <t>Estructuras</t>
        </is>
      </c>
      <c r="O66" s="18" t="inlineStr">
        <is>
          <t>Estimado DION · criterio de mercado Guayaquil 2026 (no verificado en tienda)</t>
        </is>
      </c>
      <c r="P66" s="18" t="inlineStr">
        <is>
          <t>oct-2026 (est.)</t>
        </is>
      </c>
      <c r="Q66" s="18" t="n"/>
    </row>
    <row r="67">
      <c r="A67" s="10" t="n"/>
      <c r="B67" s="147" t="inlineStr">
        <is>
          <t>TOTAL BASE DE DATOS CONCRETO EN GENERAL (ESTIMADO)</t>
        </is>
      </c>
      <c r="C67" s="148" t="n"/>
      <c r="D67" s="148" t="n"/>
      <c r="E67" s="148" t="n"/>
      <c r="F67" s="148" t="n"/>
      <c r="G67" s="148" t="n"/>
      <c r="H67" s="148" t="n"/>
      <c r="I67" s="148" t="n"/>
      <c r="J67" s="148" t="n"/>
      <c r="K67" s="148" t="n"/>
      <c r="L67" s="30">
        <f>SUM(L6:L66)</f>
        <v/>
      </c>
      <c r="M67" s="30" t="n"/>
      <c r="N67" s="30" t="n"/>
      <c r="O67" s="30" t="n"/>
      <c r="P67" s="30" t="n"/>
      <c r="Q67" s="30" t="n"/>
    </row>
  </sheetData>
  <mergeCells count="21">
    <mergeCell ref="A34:Q34"/>
    <mergeCell ref="A24:Q24"/>
    <mergeCell ref="A11:Q11"/>
    <mergeCell ref="A45:Q45"/>
    <mergeCell ref="A36:Q36"/>
    <mergeCell ref="A6:Q6"/>
    <mergeCell ref="A7:Q7"/>
    <mergeCell ref="A54:Q54"/>
    <mergeCell ref="A41:Q41"/>
    <mergeCell ref="A21:Q21"/>
    <mergeCell ref="A57:Q57"/>
    <mergeCell ref="A42:Q42"/>
    <mergeCell ref="A33:Q33"/>
    <mergeCell ref="A32:Q32"/>
    <mergeCell ref="A8:Q8"/>
    <mergeCell ref="B67:K67"/>
    <mergeCell ref="A22:Q22"/>
    <mergeCell ref="A53:Q53"/>
    <mergeCell ref="A20:Q20"/>
    <mergeCell ref="A43:Q43"/>
    <mergeCell ref="A52:Q52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05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8" customWidth="1" min="2" max="2"/>
    <col width="30" customWidth="1" min="3" max="3"/>
    <col width="32" customWidth="1" min="4" max="4"/>
    <col width="8" customWidth="1" min="5" max="5"/>
    <col width="10" customWidth="1" min="6" max="6"/>
    <col width="15" customWidth="1" min="7" max="7"/>
    <col width="16" customWidth="1" min="8" max="8"/>
    <col width="22" customWidth="1" min="9" max="9"/>
    <col width="16" customWidth="1" min="10" max="10"/>
    <col width="20" customWidth="1" min="11" max="11"/>
    <col width="16" customWidth="1" min="12" max="12"/>
    <col width="27" customWidth="1" min="13" max="13"/>
    <col width="30" customWidth="1" min="14" max="14"/>
    <col width="44" customWidth="1" min="15" max="15"/>
    <col width="15" customWidth="1" min="16" max="16"/>
    <col width="14" customWidth="1" min="17" max="17"/>
  </cols>
  <sheetData>
    <row r="1">
      <c r="A1" s="1" t="inlineStr">
        <is>
          <t>BASE DE DATOS COMPLETA DE CATALOGACIÓN: EBANISTERÍA</t>
        </is>
      </c>
    </row>
    <row r="2">
      <c r="A2" s="2" t="inlineStr">
        <is>
          <t>Estructura Jerárquica Homogénea: Accesorios &gt; Tuberías &gt; Equipos &gt; Conexiones &gt; Equipos Especializados | Degradé por Niveles (Ecuador - USD)</t>
        </is>
      </c>
    </row>
    <row r="3">
      <c r="A3" s="13" t="inlineStr">
        <is>
          <t>« Volver al Índice General</t>
        </is>
      </c>
    </row>
    <row r="5" ht="30" customHeight="1">
      <c r="A5" s="4" t="inlineStr">
        <is>
          <t>Item</t>
        </is>
      </c>
      <c r="B5" s="4" t="inlineStr">
        <is>
          <t>Descripción de Accesorio / Ítem Especificado</t>
        </is>
      </c>
      <c r="C5" s="4" t="inlineStr">
        <is>
          <t>Clasificación / Ámbito de Uso
(Residencial/Comercial/Industrial)</t>
        </is>
      </c>
      <c r="D5" s="4" t="inlineStr">
        <is>
          <t>Tipo / Familia</t>
        </is>
      </c>
      <c r="E5" s="4" t="inlineStr">
        <is>
          <t>Unidad</t>
        </is>
      </c>
      <c r="F5" s="4" t="inlineStr">
        <is>
          <t>Cant.</t>
        </is>
      </c>
      <c r="G5" s="4" t="inlineStr">
        <is>
          <t>P. Ref. Est. ($)</t>
        </is>
      </c>
      <c r="H5" s="4" t="inlineStr">
        <is>
          <t>P. Unit. Local A ($)
(Megametales)</t>
        </is>
      </c>
      <c r="I5" s="4" t="inlineStr">
        <is>
          <t>Local A
Especificado</t>
        </is>
      </c>
      <c r="J5" s="4" t="inlineStr">
        <is>
          <t>P. Unit. Local B ($)
(Kywi/Ferrisariato)</t>
        </is>
      </c>
      <c r="K5" s="4" t="inlineStr">
        <is>
          <t>Local B
Especificado</t>
        </is>
      </c>
      <c r="L5" s="4" t="inlineStr">
        <is>
          <t>Subtotal Est. ($)</t>
        </is>
      </c>
      <c r="M5" s="4" t="inlineStr">
        <is>
          <t>Código DION</t>
        </is>
      </c>
      <c r="N5" s="4" t="inlineStr">
        <is>
          <t>Disciplina</t>
        </is>
      </c>
      <c r="O5" s="4" t="inlineStr">
        <is>
          <t>Fuente del precio</t>
        </is>
      </c>
      <c r="P5" s="4" t="inlineStr">
        <is>
          <t>Fecha precio</t>
        </is>
      </c>
      <c r="Q5" s="4" t="inlineStr">
        <is>
          <t>Rendimiento /
desperdicio %</t>
        </is>
      </c>
    </row>
    <row r="6">
      <c r="A6" s="114" t="inlineStr">
        <is>
          <t>ACCESORIOS</t>
        </is>
      </c>
      <c r="B6" s="143" t="n"/>
      <c r="C6" s="143" t="n"/>
      <c r="D6" s="143" t="n"/>
      <c r="E6" s="143" t="n"/>
      <c r="F6" s="143" t="n"/>
      <c r="G6" s="143" t="n"/>
      <c r="H6" s="143" t="n"/>
      <c r="I6" s="143" t="n"/>
      <c r="J6" s="143" t="n"/>
      <c r="K6" s="143" t="n"/>
      <c r="L6" s="143" t="n"/>
      <c r="M6" s="143" t="n"/>
      <c r="N6" s="143" t="n"/>
      <c r="O6" s="143" t="n"/>
      <c r="P6" s="143" t="n"/>
      <c r="Q6" s="144" t="n"/>
    </row>
    <row r="7">
      <c r="A7" s="115" t="inlineStr">
        <is>
          <t xml:space="preserve">  ► CATEGORÍA: TAPACANTOS, PERFILES ALUM Y SOPORTES</t>
        </is>
      </c>
      <c r="B7" s="143" t="n"/>
      <c r="C7" s="143" t="n"/>
      <c r="D7" s="143" t="n"/>
      <c r="E7" s="143" t="n"/>
      <c r="F7" s="143" t="n"/>
      <c r="G7" s="143" t="n"/>
      <c r="H7" s="143" t="n"/>
      <c r="I7" s="143" t="n"/>
      <c r="J7" s="143" t="n"/>
      <c r="K7" s="143" t="n"/>
      <c r="L7" s="143" t="n"/>
      <c r="M7" s="143" t="n"/>
      <c r="N7" s="143" t="n"/>
      <c r="O7" s="143" t="n"/>
      <c r="P7" s="143" t="n"/>
      <c r="Q7" s="144" t="n"/>
    </row>
    <row r="8">
      <c r="A8" s="116" t="inlineStr">
        <is>
          <t xml:space="preserve">      • Subcategoría Especificada: Herrajes Complementarios</t>
        </is>
      </c>
      <c r="B8" s="143" t="n"/>
      <c r="C8" s="143" t="n"/>
      <c r="D8" s="143" t="n"/>
      <c r="E8" s="143" t="n"/>
      <c r="F8" s="143" t="n"/>
      <c r="G8" s="143" t="n"/>
      <c r="H8" s="143" t="n"/>
      <c r="I8" s="143" t="n"/>
      <c r="J8" s="143" t="n"/>
      <c r="K8" s="143" t="n"/>
      <c r="L8" s="143" t="n"/>
      <c r="M8" s="143" t="n"/>
      <c r="N8" s="143" t="n"/>
      <c r="O8" s="143" t="n"/>
      <c r="P8" s="143" t="n"/>
      <c r="Q8" s="144" t="n"/>
    </row>
    <row r="9">
      <c r="A9" s="18" t="n">
        <v>1</v>
      </c>
      <c r="B9" s="19" t="inlineStr">
        <is>
          <t xml:space="preserve">        Tapacanto PVC 22x1mm para Melamina (m)</t>
        </is>
      </c>
      <c r="C9" s="20" t="inlineStr">
        <is>
          <t>Residencial / Comercial</t>
        </is>
      </c>
      <c r="D9" s="18" t="inlineStr">
        <is>
          <t>Tapacantos PVC</t>
        </is>
      </c>
      <c r="E9" s="18" t="inlineStr">
        <is>
          <t>m</t>
        </is>
      </c>
      <c r="F9" s="21" t="n">
        <v>50</v>
      </c>
      <c r="G9" s="22" t="n">
        <v>0.45</v>
      </c>
      <c r="H9" s="22" t="n">
        <v>0.48</v>
      </c>
      <c r="I9" s="18" t="inlineStr">
        <is>
          <t>Megametales</t>
        </is>
      </c>
      <c r="J9" s="22" t="n">
        <v>0.52</v>
      </c>
      <c r="K9" s="18" t="inlineStr">
        <is>
          <t>Ferrisariato</t>
        </is>
      </c>
      <c r="L9" s="8">
        <f>F9*G9</f>
        <v/>
      </c>
      <c r="M9" s="145" t="inlineStr">
        <is>
          <t>AI-E20-TPC-PVC-22X1</t>
        </is>
      </c>
      <c r="N9" s="18" t="inlineStr">
        <is>
          <t>Arquitectura interior y mobiliario</t>
        </is>
      </c>
      <c r="O9" s="18" t="inlineStr">
        <is>
          <t>Estimado · base original del usuario (sin cotización verificada)</t>
        </is>
      </c>
      <c r="P9" s="18" t="inlineStr">
        <is>
          <t>oct-2026 (est.)</t>
        </is>
      </c>
      <c r="Q9" s="18" t="n">
        <v>10</v>
      </c>
    </row>
    <row r="10">
      <c r="A10" s="117" t="n">
        <v>2</v>
      </c>
      <c r="B10" s="118" t="inlineStr">
        <is>
          <t xml:space="preserve">        Perfil Manija de Aluminio Oculto Tipo Gola (3m)</t>
        </is>
      </c>
      <c r="C10" s="119" t="inlineStr">
        <is>
          <t>Residencial de Lujo</t>
        </is>
      </c>
      <c r="D10" s="117" t="inlineStr">
        <is>
          <t>Perfiles Aluminio</t>
        </is>
      </c>
      <c r="E10" s="117" t="inlineStr">
        <is>
          <t>U</t>
        </is>
      </c>
      <c r="F10" s="120" t="n">
        <v>6</v>
      </c>
      <c r="G10" s="121" t="n">
        <v>12.5</v>
      </c>
      <c r="H10" s="121" t="n">
        <v>13</v>
      </c>
      <c r="I10" s="117" t="inlineStr">
        <is>
          <t>Megametales</t>
        </is>
      </c>
      <c r="J10" s="121" t="n">
        <v>14.2</v>
      </c>
      <c r="K10" s="117" t="inlineStr">
        <is>
          <t>Kywi / Megakywi</t>
        </is>
      </c>
      <c r="L10" s="122">
        <f>F10*G10</f>
        <v/>
      </c>
      <c r="M10" s="158" t="inlineStr">
        <is>
          <t>AI-E20-TPC-GOL-ALM</t>
        </is>
      </c>
      <c r="N10" s="117" t="inlineStr">
        <is>
          <t>Arquitectura interior y mobiliario</t>
        </is>
      </c>
      <c r="O10" s="117" t="inlineStr">
        <is>
          <t>Estimado · base original del usuario (sin cotización verificada)</t>
        </is>
      </c>
      <c r="P10" s="117" t="inlineStr">
        <is>
          <t>oct-2026 (est.)</t>
        </is>
      </c>
      <c r="Q10" s="117" t="n"/>
    </row>
    <row r="11">
      <c r="A11" s="116" t="inlineStr">
        <is>
          <t xml:space="preserve">      • Subcategoría Especificada: Tapacantos por Ancho/Espesor, Perfiles y Soportes</t>
        </is>
      </c>
      <c r="B11" s="143" t="n"/>
      <c r="C11" s="143" t="n"/>
      <c r="D11" s="143" t="n"/>
      <c r="E11" s="143" t="n"/>
      <c r="F11" s="143" t="n"/>
      <c r="G11" s="143" t="n"/>
      <c r="H11" s="143" t="n"/>
      <c r="I11" s="143" t="n"/>
      <c r="J11" s="143" t="n"/>
      <c r="K11" s="143" t="n"/>
      <c r="L11" s="143" t="n"/>
      <c r="M11" s="143" t="n"/>
      <c r="N11" s="143" t="n"/>
      <c r="O11" s="143" t="n"/>
      <c r="P11" s="143" t="n"/>
      <c r="Q11" s="144" t="n"/>
    </row>
    <row r="12">
      <c r="A12" s="18" t="n">
        <v>3</v>
      </c>
      <c r="B12" s="19" t="inlineStr">
        <is>
          <t xml:space="preserve">        Tapacanto PVC 22x0.45 mm (m)</t>
        </is>
      </c>
      <c r="C12" s="20" t="inlineStr">
        <is>
          <t>Residencial / Comercial</t>
        </is>
      </c>
      <c r="D12" s="18" t="inlineStr">
        <is>
          <t>Tapacantos PVC</t>
        </is>
      </c>
      <c r="E12" s="18" t="inlineStr">
        <is>
          <t>m</t>
        </is>
      </c>
      <c r="F12" s="21" t="n">
        <v>100</v>
      </c>
      <c r="G12" s="22" t="n">
        <v>0.22</v>
      </c>
      <c r="H12" s="22" t="n">
        <v>0.23</v>
      </c>
      <c r="I12" s="18" t="inlineStr">
        <is>
          <t>Megametales</t>
        </is>
      </c>
      <c r="J12" s="22" t="n">
        <v>0.24</v>
      </c>
      <c r="K12" s="18" t="inlineStr">
        <is>
          <t>Ferrisariato</t>
        </is>
      </c>
      <c r="L12" s="8">
        <f>F12*G12</f>
        <v/>
      </c>
      <c r="M12" s="145" t="inlineStr">
        <is>
          <t>AI-E20-TPC-PVC-22X045</t>
        </is>
      </c>
      <c r="N12" s="18" t="inlineStr">
        <is>
          <t>Arquitectura interior y mobiliario</t>
        </is>
      </c>
      <c r="O12" s="18" t="inlineStr">
        <is>
          <t>Estimado DION · criterio de mercado Guayaquil 2026 (no verificado en tienda)</t>
        </is>
      </c>
      <c r="P12" s="18" t="inlineStr">
        <is>
          <t>oct-2026 (est.)</t>
        </is>
      </c>
      <c r="Q12" s="18" t="n">
        <v>10</v>
      </c>
    </row>
    <row r="13">
      <c r="A13" s="117" t="n">
        <v>4</v>
      </c>
      <c r="B13" s="118" t="inlineStr">
        <is>
          <t xml:space="preserve">        Tapacanto PVC 33x2 mm (m)</t>
        </is>
      </c>
      <c r="C13" s="119" t="inlineStr">
        <is>
          <t>Residencial / Comercial</t>
        </is>
      </c>
      <c r="D13" s="117" t="inlineStr">
        <is>
          <t>Tapacantos PVC</t>
        </is>
      </c>
      <c r="E13" s="117" t="inlineStr">
        <is>
          <t>m</t>
        </is>
      </c>
      <c r="F13" s="120" t="n">
        <v>30</v>
      </c>
      <c r="G13" s="121" t="n">
        <v>0.85</v>
      </c>
      <c r="H13" s="121" t="n">
        <v>0.88</v>
      </c>
      <c r="I13" s="117" t="inlineStr">
        <is>
          <t>Megametales</t>
        </is>
      </c>
      <c r="J13" s="121" t="n">
        <v>0.93</v>
      </c>
      <c r="K13" s="117" t="inlineStr">
        <is>
          <t>Kywi / Megakywi</t>
        </is>
      </c>
      <c r="L13" s="122">
        <f>F13*G13</f>
        <v/>
      </c>
      <c r="M13" s="158" t="inlineStr">
        <is>
          <t>AI-E20-TPC-PVC-33X2</t>
        </is>
      </c>
      <c r="N13" s="117" t="inlineStr">
        <is>
          <t>Arquitectura interior y mobiliario</t>
        </is>
      </c>
      <c r="O13" s="117" t="inlineStr">
        <is>
          <t>Estimado DION · criterio de mercado Guayaquil 2026 (no verificado en tienda)</t>
        </is>
      </c>
      <c r="P13" s="117" t="inlineStr">
        <is>
          <t>oct-2026 (est.)</t>
        </is>
      </c>
      <c r="Q13" s="117" t="n">
        <v>10</v>
      </c>
    </row>
    <row r="14">
      <c r="A14" s="18" t="n">
        <v>5</v>
      </c>
      <c r="B14" s="19" t="inlineStr">
        <is>
          <t xml:space="preserve">        Tapacanto PVC 45x2 mm (m)</t>
        </is>
      </c>
      <c r="C14" s="20" t="inlineStr">
        <is>
          <t>Residencial / Comercial</t>
        </is>
      </c>
      <c r="D14" s="18" t="inlineStr">
        <is>
          <t>Tapacantos PVC</t>
        </is>
      </c>
      <c r="E14" s="18" t="inlineStr">
        <is>
          <t>m</t>
        </is>
      </c>
      <c r="F14" s="21" t="n">
        <v>30</v>
      </c>
      <c r="G14" s="22" t="n">
        <v>1.1</v>
      </c>
      <c r="H14" s="22" t="n">
        <v>1.13</v>
      </c>
      <c r="I14" s="18" t="inlineStr">
        <is>
          <t>Megametales</t>
        </is>
      </c>
      <c r="J14" s="22" t="n">
        <v>1.22</v>
      </c>
      <c r="K14" s="18" t="inlineStr">
        <is>
          <t>Ferrisariato</t>
        </is>
      </c>
      <c r="L14" s="8">
        <f>F14*G14</f>
        <v/>
      </c>
      <c r="M14" s="145" t="inlineStr">
        <is>
          <t>AI-E20-TPC-PVC-45X2</t>
        </is>
      </c>
      <c r="N14" s="18" t="inlineStr">
        <is>
          <t>Arquitectura interior y mobiliario</t>
        </is>
      </c>
      <c r="O14" s="18" t="inlineStr">
        <is>
          <t>Estimado DION · criterio de mercado Guayaquil 2026 (no verificado en tienda)</t>
        </is>
      </c>
      <c r="P14" s="18" t="inlineStr">
        <is>
          <t>oct-2026 (est.)</t>
        </is>
      </c>
      <c r="Q14" s="18" t="n">
        <v>10</v>
      </c>
    </row>
    <row r="15">
      <c r="A15" s="117" t="n">
        <v>6</v>
      </c>
      <c r="B15" s="118" t="inlineStr">
        <is>
          <t xml:space="preserve">        Tapacanto ABS Alto Brillo 22x1 mm (m)</t>
        </is>
      </c>
      <c r="C15" s="119" t="inlineStr">
        <is>
          <t>Residencial / Comercial</t>
        </is>
      </c>
      <c r="D15" s="117" t="inlineStr">
        <is>
          <t>Tapacantos ABS</t>
        </is>
      </c>
      <c r="E15" s="117" t="inlineStr">
        <is>
          <t>m</t>
        </is>
      </c>
      <c r="F15" s="120" t="n">
        <v>30</v>
      </c>
      <c r="G15" s="121" t="n">
        <v>0.75</v>
      </c>
      <c r="H15" s="121" t="n">
        <v>0.77</v>
      </c>
      <c r="I15" s="117" t="inlineStr">
        <is>
          <t>Megametales</t>
        </is>
      </c>
      <c r="J15" s="121" t="n">
        <v>0.83</v>
      </c>
      <c r="K15" s="117" t="inlineStr">
        <is>
          <t>Kywi / Megakywi</t>
        </is>
      </c>
      <c r="L15" s="122">
        <f>F15*G15</f>
        <v/>
      </c>
      <c r="M15" s="158" t="inlineStr">
        <is>
          <t>AI-E20-TPC-ABS-22X1</t>
        </is>
      </c>
      <c r="N15" s="117" t="inlineStr">
        <is>
          <t>Arquitectura interior y mobiliario</t>
        </is>
      </c>
      <c r="O15" s="117" t="inlineStr">
        <is>
          <t>Estimado DION · criterio de mercado Guayaquil 2026 (no verificado en tienda)</t>
        </is>
      </c>
      <c r="P15" s="117" t="inlineStr">
        <is>
          <t>oct-2026 (est.)</t>
        </is>
      </c>
      <c r="Q15" s="117" t="n">
        <v>10</v>
      </c>
    </row>
    <row r="16">
      <c r="A16" s="18" t="n">
        <v>7</v>
      </c>
      <c r="B16" s="19" t="inlineStr">
        <is>
          <t xml:space="preserve">        Cola Blanca / Adhesivo PVA Carpintero (Galón)</t>
        </is>
      </c>
      <c r="C16" s="20" t="inlineStr">
        <is>
          <t>Residencial / Comercial</t>
        </is>
      </c>
      <c r="D16" s="18" t="inlineStr">
        <is>
          <t>Adhesivos</t>
        </is>
      </c>
      <c r="E16" s="18" t="inlineStr">
        <is>
          <t>Galón</t>
        </is>
      </c>
      <c r="F16" s="21" t="n">
        <v>2</v>
      </c>
      <c r="G16" s="22" t="n">
        <v>9.5</v>
      </c>
      <c r="H16" s="22" t="n">
        <v>9.880000000000001</v>
      </c>
      <c r="I16" s="18" t="inlineStr">
        <is>
          <t>Megametales</t>
        </is>
      </c>
      <c r="J16" s="22" t="n">
        <v>10.36</v>
      </c>
      <c r="K16" s="18" t="inlineStr">
        <is>
          <t>Ferrisariato</t>
        </is>
      </c>
      <c r="L16" s="8">
        <f>F16*G16</f>
        <v/>
      </c>
      <c r="M16" s="145" t="inlineStr">
        <is>
          <t>AI-E20-TPC-COL-GAL</t>
        </is>
      </c>
      <c r="N16" s="18" t="inlineStr">
        <is>
          <t>Arquitectura interior y mobiliario</t>
        </is>
      </c>
      <c r="O16" s="18" t="inlineStr">
        <is>
          <t>Estimado DION · criterio de mercado Guayaquil 2026 (no verificado en tienda)</t>
        </is>
      </c>
      <c r="P16" s="18" t="inlineStr">
        <is>
          <t>oct-2026 (est.)</t>
        </is>
      </c>
      <c r="Q16" s="18" t="n"/>
    </row>
    <row r="17">
      <c r="A17" s="117" t="n">
        <v>8</v>
      </c>
      <c r="B17" s="118" t="inlineStr">
        <is>
          <t xml:space="preserve">        Cemento de Contacto (Galón)</t>
        </is>
      </c>
      <c r="C17" s="119" t="inlineStr">
        <is>
          <t>Residencial / Comercial</t>
        </is>
      </c>
      <c r="D17" s="117" t="inlineStr">
        <is>
          <t>Adhesivos</t>
        </is>
      </c>
      <c r="E17" s="117" t="inlineStr">
        <is>
          <t>Galón</t>
        </is>
      </c>
      <c r="F17" s="120" t="n">
        <v>1</v>
      </c>
      <c r="G17" s="121" t="n">
        <v>24</v>
      </c>
      <c r="H17" s="121" t="n">
        <v>24.48</v>
      </c>
      <c r="I17" s="117" t="inlineStr">
        <is>
          <t>Megametales</t>
        </is>
      </c>
      <c r="J17" s="121" t="n">
        <v>26.64</v>
      </c>
      <c r="K17" s="117" t="inlineStr">
        <is>
          <t>Kywi / Megakywi</t>
        </is>
      </c>
      <c r="L17" s="122">
        <f>F17*G17</f>
        <v/>
      </c>
      <c r="M17" s="158" t="inlineStr">
        <is>
          <t>AI-E20-TPC-CON-GAL</t>
        </is>
      </c>
      <c r="N17" s="117" t="inlineStr">
        <is>
          <t>Arquitectura interior y mobiliario</t>
        </is>
      </c>
      <c r="O17" s="117" t="inlineStr">
        <is>
          <t>Estimado DION · criterio de mercado Guayaquil 2026 (no verificado en tienda)</t>
        </is>
      </c>
      <c r="P17" s="117" t="inlineStr">
        <is>
          <t>oct-2026 (est.)</t>
        </is>
      </c>
      <c r="Q17" s="117" t="n"/>
    </row>
    <row r="18">
      <c r="A18" s="18" t="n">
        <v>9</v>
      </c>
      <c r="B18" s="19" t="inlineStr">
        <is>
          <t xml:space="preserve">        Soporte de Repisa Metálico Oculto</t>
        </is>
      </c>
      <c r="C18" s="20" t="inlineStr">
        <is>
          <t>Residencial / Comercial</t>
        </is>
      </c>
      <c r="D18" s="18" t="inlineStr">
        <is>
          <t>Soportes</t>
        </is>
      </c>
      <c r="E18" s="18" t="inlineStr">
        <is>
          <t>U</t>
        </is>
      </c>
      <c r="F18" s="21" t="n">
        <v>20</v>
      </c>
      <c r="G18" s="22" t="n">
        <v>0.45</v>
      </c>
      <c r="H18" s="22" t="n">
        <v>0.47</v>
      </c>
      <c r="I18" s="18" t="inlineStr">
        <is>
          <t>Megametales</t>
        </is>
      </c>
      <c r="J18" s="22" t="n">
        <v>0.5</v>
      </c>
      <c r="K18" s="18" t="inlineStr">
        <is>
          <t>Ferrisariato</t>
        </is>
      </c>
      <c r="L18" s="8">
        <f>F18*G18</f>
        <v/>
      </c>
      <c r="M18" s="145" t="inlineStr">
        <is>
          <t>AI-E20-HRJ-SOP-REP</t>
        </is>
      </c>
      <c r="N18" s="18" t="inlineStr">
        <is>
          <t>Arquitectura interior y mobiliario</t>
        </is>
      </c>
      <c r="O18" s="18" t="inlineStr">
        <is>
          <t>Estimado DION · criterio de mercado Guayaquil 2026 (no verificado en tienda)</t>
        </is>
      </c>
      <c r="P18" s="18" t="inlineStr">
        <is>
          <t>oct-2026 (est.)</t>
        </is>
      </c>
      <c r="Q18" s="18" t="n"/>
    </row>
    <row r="19">
      <c r="A19" s="117" t="n">
        <v>10</v>
      </c>
      <c r="B19" s="118" t="inlineStr">
        <is>
          <t xml:space="preserve">        Pata Niveladora Plástica para Mueble de Cocina 10 cm</t>
        </is>
      </c>
      <c r="C19" s="119" t="inlineStr">
        <is>
          <t>Residencial / Comercial</t>
        </is>
      </c>
      <c r="D19" s="117" t="inlineStr">
        <is>
          <t>Patas Mueble</t>
        </is>
      </c>
      <c r="E19" s="117" t="inlineStr">
        <is>
          <t>U</t>
        </is>
      </c>
      <c r="F19" s="120" t="n">
        <v>24</v>
      </c>
      <c r="G19" s="121" t="n">
        <v>0.75</v>
      </c>
      <c r="H19" s="121" t="n">
        <v>0.77</v>
      </c>
      <c r="I19" s="117" t="inlineStr">
        <is>
          <t>Megametales</t>
        </is>
      </c>
      <c r="J19" s="121" t="n">
        <v>0.8100000000000001</v>
      </c>
      <c r="K19" s="117" t="inlineStr">
        <is>
          <t>Kywi / Megakywi</t>
        </is>
      </c>
      <c r="L19" s="122">
        <f>F19*G19</f>
        <v/>
      </c>
      <c r="M19" s="158" t="inlineStr">
        <is>
          <t>AI-E20-HRJ-PAT-NIV</t>
        </is>
      </c>
      <c r="N19" s="117" t="inlineStr">
        <is>
          <t>Arquitectura interior y mobiliario</t>
        </is>
      </c>
      <c r="O19" s="117" t="inlineStr">
        <is>
          <t>Estimado DION · criterio de mercado Guayaquil 2026 (no verificado en tienda)</t>
        </is>
      </c>
      <c r="P19" s="117" t="inlineStr">
        <is>
          <t>oct-2026 (est.)</t>
        </is>
      </c>
      <c r="Q19" s="117" t="n"/>
    </row>
    <row r="20">
      <c r="A20" s="18" t="n">
        <v>11</v>
      </c>
      <c r="B20" s="19" t="inlineStr">
        <is>
          <t xml:space="preserve">        Zócalo de Aluminio para Mueble Bajo 10 cm (3 m)</t>
        </is>
      </c>
      <c r="C20" s="20" t="inlineStr">
        <is>
          <t>Residencial / Comercial</t>
        </is>
      </c>
      <c r="D20" s="18" t="inlineStr">
        <is>
          <t>Zócalos Mueble</t>
        </is>
      </c>
      <c r="E20" s="18" t="inlineStr">
        <is>
          <t>U</t>
        </is>
      </c>
      <c r="F20" s="21" t="n">
        <v>2</v>
      </c>
      <c r="G20" s="22" t="n">
        <v>14</v>
      </c>
      <c r="H20" s="22" t="n">
        <v>14.7</v>
      </c>
      <c r="I20" s="18" t="inlineStr">
        <is>
          <t>Megametales</t>
        </is>
      </c>
      <c r="J20" s="22" t="n">
        <v>15.54</v>
      </c>
      <c r="K20" s="18" t="inlineStr">
        <is>
          <t>Ferrisariato</t>
        </is>
      </c>
      <c r="L20" s="8">
        <f>F20*G20</f>
        <v/>
      </c>
      <c r="M20" s="145" t="inlineStr">
        <is>
          <t>AI-E20-TPC-ZOC-ALM</t>
        </is>
      </c>
      <c r="N20" s="18" t="inlineStr">
        <is>
          <t>Arquitectura interior y mobiliario</t>
        </is>
      </c>
      <c r="O20" s="18" t="inlineStr">
        <is>
          <t>Estimado DION · criterio de mercado Guayaquil 2026 (no verificado en tienda)</t>
        </is>
      </c>
      <c r="P20" s="18" t="inlineStr">
        <is>
          <t>oct-2026 (est.)</t>
        </is>
      </c>
      <c r="Q20" s="18" t="n"/>
    </row>
    <row r="21">
      <c r="A21" s="117" t="n">
        <v>12</v>
      </c>
      <c r="B21" s="118" t="inlineStr">
        <is>
          <t xml:space="preserve">        Tornillo Confirmat 7x50 mm (Ciento)</t>
        </is>
      </c>
      <c r="C21" s="119" t="inlineStr">
        <is>
          <t>Residencial / Comercial</t>
        </is>
      </c>
      <c r="D21" s="117" t="inlineStr">
        <is>
          <t>Tornillería</t>
        </is>
      </c>
      <c r="E21" s="117" t="inlineStr">
        <is>
          <t>Ciento</t>
        </is>
      </c>
      <c r="F21" s="120" t="n">
        <v>4</v>
      </c>
      <c r="G21" s="121" t="n">
        <v>3.8</v>
      </c>
      <c r="H21" s="121" t="n">
        <v>3.99</v>
      </c>
      <c r="I21" s="117" t="inlineStr">
        <is>
          <t>Megametales</t>
        </is>
      </c>
      <c r="J21" s="121" t="n">
        <v>4.1</v>
      </c>
      <c r="K21" s="117" t="inlineStr">
        <is>
          <t>Kywi / Megakywi</t>
        </is>
      </c>
      <c r="L21" s="122">
        <f>F21*G21</f>
        <v/>
      </c>
      <c r="M21" s="158" t="inlineStr">
        <is>
          <t>AI-E20-HRJ-TOR-CON</t>
        </is>
      </c>
      <c r="N21" s="117" t="inlineStr">
        <is>
          <t>Arquitectura interior y mobiliario</t>
        </is>
      </c>
      <c r="O21" s="117" t="inlineStr">
        <is>
          <t>Estimado DION · criterio de mercado Guayaquil 2026 (no verificado en tienda)</t>
        </is>
      </c>
      <c r="P21" s="117" t="inlineStr">
        <is>
          <t>oct-2026 (est.)</t>
        </is>
      </c>
      <c r="Q21" s="117" t="n"/>
    </row>
    <row r="22">
      <c r="A22" s="114" t="inlineStr">
        <is>
          <t>TUBERÍAS</t>
        </is>
      </c>
      <c r="B22" s="143" t="n"/>
      <c r="C22" s="143" t="n"/>
      <c r="D22" s="143" t="n"/>
      <c r="E22" s="143" t="n"/>
      <c r="F22" s="143" t="n"/>
      <c r="G22" s="143" t="n"/>
      <c r="H22" s="143" t="n"/>
      <c r="I22" s="143" t="n"/>
      <c r="J22" s="143" t="n"/>
      <c r="K22" s="143" t="n"/>
      <c r="L22" s="143" t="n"/>
      <c r="M22" s="143" t="n"/>
      <c r="N22" s="143" t="n"/>
      <c r="O22" s="143" t="n"/>
      <c r="P22" s="143" t="n"/>
      <c r="Q22" s="144" t="n"/>
    </row>
    <row r="23">
      <c r="A23" s="115" t="inlineStr">
        <is>
          <t xml:space="preserve">  ► CATEGORÍA: TUBOS CUELGA-ROPA DE CLÓSET</t>
        </is>
      </c>
      <c r="B23" s="143" t="n"/>
      <c r="C23" s="143" t="n"/>
      <c r="D23" s="143" t="n"/>
      <c r="E23" s="143" t="n"/>
      <c r="F23" s="143" t="n"/>
      <c r="G23" s="143" t="n"/>
      <c r="H23" s="143" t="n"/>
      <c r="I23" s="143" t="n"/>
      <c r="J23" s="143" t="n"/>
      <c r="K23" s="143" t="n"/>
      <c r="L23" s="143" t="n"/>
      <c r="M23" s="143" t="n"/>
      <c r="N23" s="143" t="n"/>
      <c r="O23" s="143" t="n"/>
      <c r="P23" s="143" t="n"/>
      <c r="Q23" s="144" t="n"/>
    </row>
    <row r="24">
      <c r="A24" s="116" t="inlineStr">
        <is>
          <t xml:space="preserve">      • Subcategoría Especificada: Accesorios Tubulares Clóset</t>
        </is>
      </c>
      <c r="B24" s="143" t="n"/>
      <c r="C24" s="143" t="n"/>
      <c r="D24" s="143" t="n"/>
      <c r="E24" s="143" t="n"/>
      <c r="F24" s="143" t="n"/>
      <c r="G24" s="143" t="n"/>
      <c r="H24" s="143" t="n"/>
      <c r="I24" s="143" t="n"/>
      <c r="J24" s="143" t="n"/>
      <c r="K24" s="143" t="n"/>
      <c r="L24" s="143" t="n"/>
      <c r="M24" s="143" t="n"/>
      <c r="N24" s="143" t="n"/>
      <c r="O24" s="143" t="n"/>
      <c r="P24" s="143" t="n"/>
      <c r="Q24" s="144" t="n"/>
    </row>
    <row r="25">
      <c r="A25" s="18" t="n">
        <v>13</v>
      </c>
      <c r="B25" s="19" t="inlineStr">
        <is>
          <t xml:space="preserve">        Tubo Ovalado de Aluminio Cuelgarropa con Soportes (3m)</t>
        </is>
      </c>
      <c r="C25" s="20" t="inlineStr">
        <is>
          <t>Residencial</t>
        </is>
      </c>
      <c r="D25" s="18" t="inlineStr">
        <is>
          <t>Tubos Clóset</t>
        </is>
      </c>
      <c r="E25" s="18" t="inlineStr">
        <is>
          <t>U</t>
        </is>
      </c>
      <c r="F25" s="21" t="n">
        <v>4</v>
      </c>
      <c r="G25" s="22" t="n">
        <v>6.5</v>
      </c>
      <c r="H25" s="22" t="n">
        <v>6.8</v>
      </c>
      <c r="I25" s="18" t="inlineStr">
        <is>
          <t>Megametales</t>
        </is>
      </c>
      <c r="J25" s="22" t="n">
        <v>7.2</v>
      </c>
      <c r="K25" s="18" t="inlineStr">
        <is>
          <t>Ferrisariato</t>
        </is>
      </c>
      <c r="L25" s="8">
        <f>F25*G25</f>
        <v/>
      </c>
      <c r="M25" s="145" t="inlineStr">
        <is>
          <t>AI-E20-HRJ-TCL-OVA</t>
        </is>
      </c>
      <c r="N25" s="18" t="inlineStr">
        <is>
          <t>Arquitectura interior y mobiliario</t>
        </is>
      </c>
      <c r="O25" s="18" t="inlineStr">
        <is>
          <t>Estimado · base original del usuario (sin cotización verificada)</t>
        </is>
      </c>
      <c r="P25" s="18" t="inlineStr">
        <is>
          <t>oct-2026 (est.)</t>
        </is>
      </c>
      <c r="Q25" s="18" t="n"/>
    </row>
    <row r="26">
      <c r="A26" s="116" t="inlineStr">
        <is>
          <t xml:space="preserve">      • Subcategoría Especificada: Accesorios de Clóset y Cocina</t>
        </is>
      </c>
      <c r="B26" s="143" t="n"/>
      <c r="C26" s="143" t="n"/>
      <c r="D26" s="143" t="n"/>
      <c r="E26" s="143" t="n"/>
      <c r="F26" s="143" t="n"/>
      <c r="G26" s="143" t="n"/>
      <c r="H26" s="143" t="n"/>
      <c r="I26" s="143" t="n"/>
      <c r="J26" s="143" t="n"/>
      <c r="K26" s="143" t="n"/>
      <c r="L26" s="143" t="n"/>
      <c r="M26" s="143" t="n"/>
      <c r="N26" s="143" t="n"/>
      <c r="O26" s="143" t="n"/>
      <c r="P26" s="143" t="n"/>
      <c r="Q26" s="144" t="n"/>
    </row>
    <row r="27">
      <c r="A27" s="117" t="n">
        <v>14</v>
      </c>
      <c r="B27" s="118" t="inlineStr">
        <is>
          <t xml:space="preserve">        Tubo Redondo Cromado 25 mm Cuelgarropa (2.4 m) + Soportes</t>
        </is>
      </c>
      <c r="C27" s="119" t="inlineStr">
        <is>
          <t>Residencial</t>
        </is>
      </c>
      <c r="D27" s="117" t="inlineStr">
        <is>
          <t>Tubos Clóset</t>
        </is>
      </c>
      <c r="E27" s="117" t="inlineStr">
        <is>
          <t>U</t>
        </is>
      </c>
      <c r="F27" s="120" t="n">
        <v>4</v>
      </c>
      <c r="G27" s="121" t="n">
        <v>5.5</v>
      </c>
      <c r="H27" s="121" t="n">
        <v>5.61</v>
      </c>
      <c r="I27" s="117" t="inlineStr">
        <is>
          <t>Megametales</t>
        </is>
      </c>
      <c r="J27" s="121" t="n">
        <v>6.11</v>
      </c>
      <c r="K27" s="117" t="inlineStr">
        <is>
          <t>Kywi / Megakywi</t>
        </is>
      </c>
      <c r="L27" s="122">
        <f>F27*G27</f>
        <v/>
      </c>
      <c r="M27" s="158" t="inlineStr">
        <is>
          <t>AI-E20-HRJ-TCL-RED</t>
        </is>
      </c>
      <c r="N27" s="117" t="inlineStr">
        <is>
          <t>Arquitectura interior y mobiliario</t>
        </is>
      </c>
      <c r="O27" s="117" t="inlineStr">
        <is>
          <t>Estimado DION · criterio de mercado Guayaquil 2026 (no verificado en tienda)</t>
        </is>
      </c>
      <c r="P27" s="117" t="inlineStr">
        <is>
          <t>oct-2026 (est.)</t>
        </is>
      </c>
      <c r="Q27" s="117" t="n"/>
    </row>
    <row r="28">
      <c r="A28" s="18" t="n">
        <v>15</v>
      </c>
      <c r="B28" s="19" t="inlineStr">
        <is>
          <t xml:space="preserve">        Pantalonero Extraíble Metálico</t>
        </is>
      </c>
      <c r="C28" s="20" t="inlineStr">
        <is>
          <t>Residencial / Comercial</t>
        </is>
      </c>
      <c r="D28" s="18" t="inlineStr">
        <is>
          <t>Accesorios Clóset</t>
        </is>
      </c>
      <c r="E28" s="18" t="inlineStr">
        <is>
          <t>U</t>
        </is>
      </c>
      <c r="F28" s="21" t="n">
        <v>1</v>
      </c>
      <c r="G28" s="22" t="n">
        <v>28</v>
      </c>
      <c r="H28" s="22" t="n">
        <v>29.12</v>
      </c>
      <c r="I28" s="18" t="inlineStr">
        <is>
          <t>Megametales</t>
        </is>
      </c>
      <c r="J28" s="22" t="n">
        <v>30.24</v>
      </c>
      <c r="K28" s="18" t="inlineStr">
        <is>
          <t>Ferrisariato</t>
        </is>
      </c>
      <c r="L28" s="8">
        <f>F28*G28</f>
        <v/>
      </c>
      <c r="M28" s="145" t="inlineStr">
        <is>
          <t>AI-E20-HRJ-PAN-EXT</t>
        </is>
      </c>
      <c r="N28" s="18" t="inlineStr">
        <is>
          <t>Arquitectura interior y mobiliario</t>
        </is>
      </c>
      <c r="O28" s="18" t="inlineStr">
        <is>
          <t>Estimado DION · criterio de mercado Guayaquil 2026 (no verificado en tienda)</t>
        </is>
      </c>
      <c r="P28" s="18" t="inlineStr">
        <is>
          <t>oct-2026 (est.)</t>
        </is>
      </c>
      <c r="Q28" s="18" t="n"/>
    </row>
    <row r="29">
      <c r="A29" s="117" t="n">
        <v>16</v>
      </c>
      <c r="B29" s="118" t="inlineStr">
        <is>
          <t xml:space="preserve">        Escurridor de Platos Acero Inox para Alacena 80 cm</t>
        </is>
      </c>
      <c r="C29" s="119" t="inlineStr">
        <is>
          <t>Residencial</t>
        </is>
      </c>
      <c r="D29" s="117" t="inlineStr">
        <is>
          <t>Accesorios Cocina</t>
        </is>
      </c>
      <c r="E29" s="117" t="inlineStr">
        <is>
          <t>U</t>
        </is>
      </c>
      <c r="F29" s="120" t="n">
        <v>1</v>
      </c>
      <c r="G29" s="121" t="n">
        <v>38</v>
      </c>
      <c r="H29" s="121" t="n">
        <v>39.9</v>
      </c>
      <c r="I29" s="117" t="inlineStr">
        <is>
          <t>Megametales</t>
        </is>
      </c>
      <c r="J29" s="121" t="n">
        <v>42.18</v>
      </c>
      <c r="K29" s="117" t="inlineStr">
        <is>
          <t>Kywi / Megakywi</t>
        </is>
      </c>
      <c r="L29" s="122">
        <f>F29*G29</f>
        <v/>
      </c>
      <c r="M29" s="158" t="inlineStr">
        <is>
          <t>AI-E20-HRJ-ESC-080</t>
        </is>
      </c>
      <c r="N29" s="117" t="inlineStr">
        <is>
          <t>Arquitectura interior y mobiliario</t>
        </is>
      </c>
      <c r="O29" s="117" t="inlineStr">
        <is>
          <t>Estimado DION · criterio de mercado Guayaquil 2026 (no verificado en tienda)</t>
        </is>
      </c>
      <c r="P29" s="117" t="inlineStr">
        <is>
          <t>oct-2026 (est.)</t>
        </is>
      </c>
      <c r="Q29" s="117" t="n"/>
    </row>
    <row r="30">
      <c r="A30" s="18" t="n">
        <v>17</v>
      </c>
      <c r="B30" s="19" t="inlineStr">
        <is>
          <t xml:space="preserve">        Basurero Extraíble Doble para Mueble Bajo</t>
        </is>
      </c>
      <c r="C30" s="20" t="inlineStr">
        <is>
          <t>Residencial</t>
        </is>
      </c>
      <c r="D30" s="18" t="inlineStr">
        <is>
          <t>Accesorios Cocina</t>
        </is>
      </c>
      <c r="E30" s="18" t="inlineStr">
        <is>
          <t>U</t>
        </is>
      </c>
      <c r="F30" s="21" t="n">
        <v>1</v>
      </c>
      <c r="G30" s="22" t="n">
        <v>45</v>
      </c>
      <c r="H30" s="22" t="n">
        <v>45.9</v>
      </c>
      <c r="I30" s="18" t="inlineStr">
        <is>
          <t>Megametales</t>
        </is>
      </c>
      <c r="J30" s="22" t="n">
        <v>49.5</v>
      </c>
      <c r="K30" s="18" t="inlineStr">
        <is>
          <t>Ferrisariato</t>
        </is>
      </c>
      <c r="L30" s="8">
        <f>F30*G30</f>
        <v/>
      </c>
      <c r="M30" s="145" t="inlineStr">
        <is>
          <t>AI-E20-HRJ-BAS-EXT</t>
        </is>
      </c>
      <c r="N30" s="18" t="inlineStr">
        <is>
          <t>Arquitectura interior y mobiliario</t>
        </is>
      </c>
      <c r="O30" s="18" t="inlineStr">
        <is>
          <t>Estimado DION · criterio de mercado Guayaquil 2026 (no verificado en tienda)</t>
        </is>
      </c>
      <c r="P30" s="18" t="inlineStr">
        <is>
          <t>oct-2026 (est.)</t>
        </is>
      </c>
      <c r="Q30" s="18" t="n"/>
    </row>
    <row r="31">
      <c r="A31" s="117" t="n">
        <v>18</v>
      </c>
      <c r="B31" s="118" t="inlineStr">
        <is>
          <t xml:space="preserve">        Organizador de Cubiertos para Cajón 60 cm</t>
        </is>
      </c>
      <c r="C31" s="119" t="inlineStr">
        <is>
          <t>Residencial</t>
        </is>
      </c>
      <c r="D31" s="117" t="inlineStr">
        <is>
          <t>Accesorios Cocina</t>
        </is>
      </c>
      <c r="E31" s="117" t="inlineStr">
        <is>
          <t>U</t>
        </is>
      </c>
      <c r="F31" s="120" t="n">
        <v>1</v>
      </c>
      <c r="G31" s="121" t="n">
        <v>12</v>
      </c>
      <c r="H31" s="121" t="n">
        <v>12.48</v>
      </c>
      <c r="I31" s="117" t="inlineStr">
        <is>
          <t>Megametales</t>
        </is>
      </c>
      <c r="J31" s="121" t="n">
        <v>13.08</v>
      </c>
      <c r="K31" s="117" t="inlineStr">
        <is>
          <t>Kywi / Megakywi</t>
        </is>
      </c>
      <c r="L31" s="122">
        <f>F31*G31</f>
        <v/>
      </c>
      <c r="M31" s="158" t="inlineStr">
        <is>
          <t>AI-E20-HRJ-ORG-CUB</t>
        </is>
      </c>
      <c r="N31" s="117" t="inlineStr">
        <is>
          <t>Arquitectura interior y mobiliario</t>
        </is>
      </c>
      <c r="O31" s="117" t="inlineStr">
        <is>
          <t>Estimado DION · criterio de mercado Guayaquil 2026 (no verificado en tienda)</t>
        </is>
      </c>
      <c r="P31" s="117" t="inlineStr">
        <is>
          <t>oct-2026 (est.)</t>
        </is>
      </c>
      <c r="Q31" s="117" t="n"/>
    </row>
    <row r="32">
      <c r="A32" s="114" t="inlineStr">
        <is>
          <t>EQUIPOS</t>
        </is>
      </c>
      <c r="B32" s="143" t="n"/>
      <c r="C32" s="143" t="n"/>
      <c r="D32" s="143" t="n"/>
      <c r="E32" s="143" t="n"/>
      <c r="F32" s="143" t="n"/>
      <c r="G32" s="143" t="n"/>
      <c r="H32" s="143" t="n"/>
      <c r="I32" s="143" t="n"/>
      <c r="J32" s="143" t="n"/>
      <c r="K32" s="143" t="n"/>
      <c r="L32" s="143" t="n"/>
      <c r="M32" s="143" t="n"/>
      <c r="N32" s="143" t="n"/>
      <c r="O32" s="143" t="n"/>
      <c r="P32" s="143" t="n"/>
      <c r="Q32" s="144" t="n"/>
    </row>
    <row r="33">
      <c r="A33" s="115" t="inlineStr">
        <is>
          <t xml:space="preserve">  ► CATEGORÍA: HERRAMIENTAS ESPECIALIZADAS EBANISTERÍA (CNC, SIERRAS, PEGADORAS)</t>
        </is>
      </c>
      <c r="B33" s="143" t="n"/>
      <c r="C33" s="143" t="n"/>
      <c r="D33" s="143" t="n"/>
      <c r="E33" s="143" t="n"/>
      <c r="F33" s="143" t="n"/>
      <c r="G33" s="143" t="n"/>
      <c r="H33" s="143" t="n"/>
      <c r="I33" s="143" t="n"/>
      <c r="J33" s="143" t="n"/>
      <c r="K33" s="143" t="n"/>
      <c r="L33" s="143" t="n"/>
      <c r="M33" s="143" t="n"/>
      <c r="N33" s="143" t="n"/>
      <c r="O33" s="143" t="n"/>
      <c r="P33" s="143" t="n"/>
      <c r="Q33" s="144" t="n"/>
    </row>
    <row r="34">
      <c r="A34" s="116" t="inlineStr">
        <is>
          <t xml:space="preserve">      • Subcategoría Especificada: Maquinaria de Corte y Canto</t>
        </is>
      </c>
      <c r="B34" s="143" t="n"/>
      <c r="C34" s="143" t="n"/>
      <c r="D34" s="143" t="n"/>
      <c r="E34" s="143" t="n"/>
      <c r="F34" s="143" t="n"/>
      <c r="G34" s="143" t="n"/>
      <c r="H34" s="143" t="n"/>
      <c r="I34" s="143" t="n"/>
      <c r="J34" s="143" t="n"/>
      <c r="K34" s="143" t="n"/>
      <c r="L34" s="143" t="n"/>
      <c r="M34" s="143" t="n"/>
      <c r="N34" s="143" t="n"/>
      <c r="O34" s="143" t="n"/>
      <c r="P34" s="143" t="n"/>
      <c r="Q34" s="144" t="n"/>
    </row>
    <row r="35">
      <c r="A35" s="18" t="n">
        <v>19</v>
      </c>
      <c r="B35" s="19" t="inlineStr">
        <is>
          <t xml:space="preserve">        Router CNC para Madera 1320x2500mm Industrial</t>
        </is>
      </c>
      <c r="C35" s="20" t="inlineStr">
        <is>
          <t>Industrial / Taller</t>
        </is>
      </c>
      <c r="D35" s="18" t="inlineStr">
        <is>
          <t>Router CNC</t>
        </is>
      </c>
      <c r="E35" s="18" t="inlineStr">
        <is>
          <t>U</t>
        </is>
      </c>
      <c r="F35" s="21" t="n">
        <v>1</v>
      </c>
      <c r="G35" s="22" t="n">
        <v>8500</v>
      </c>
      <c r="H35" s="22" t="n">
        <v>8800</v>
      </c>
      <c r="I35" s="18" t="inlineStr">
        <is>
          <t>Megametales</t>
        </is>
      </c>
      <c r="J35" s="22" t="n">
        <v>9200</v>
      </c>
      <c r="K35" s="18" t="inlineStr">
        <is>
          <t>Kywi / Megakywi</t>
        </is>
      </c>
      <c r="L35" s="8">
        <f>F35*G35</f>
        <v/>
      </c>
      <c r="M35" s="145" t="inlineStr">
        <is>
          <t>Z-Z10-EQH-CNC-1325</t>
        </is>
      </c>
      <c r="N35" s="18" t="inlineStr">
        <is>
          <t>General / coordinación multidisciplinar</t>
        </is>
      </c>
      <c r="O35" s="18" t="inlineStr">
        <is>
          <t>Estimado · base original del usuario (sin cotización verificada)</t>
        </is>
      </c>
      <c r="P35" s="18" t="inlineStr">
        <is>
          <t>oct-2026 (est.)</t>
        </is>
      </c>
      <c r="Q35" s="18" t="n"/>
    </row>
    <row r="36">
      <c r="A36" s="117" t="n">
        <v>20</v>
      </c>
      <c r="B36" s="118" t="inlineStr">
        <is>
          <t xml:space="preserve">        Pegadora de Canto Automática Portátil</t>
        </is>
      </c>
      <c r="C36" s="119" t="inlineStr">
        <is>
          <t>Comercial / Taller</t>
        </is>
      </c>
      <c r="D36" s="117" t="inlineStr">
        <is>
          <t>Pegadoras Canto</t>
        </is>
      </c>
      <c r="E36" s="117" t="inlineStr">
        <is>
          <t>U</t>
        </is>
      </c>
      <c r="F36" s="120" t="n">
        <v>1</v>
      </c>
      <c r="G36" s="121" t="n">
        <v>1450</v>
      </c>
      <c r="H36" s="121" t="n">
        <v>1500</v>
      </c>
      <c r="I36" s="117" t="inlineStr">
        <is>
          <t>Megametales</t>
        </is>
      </c>
      <c r="J36" s="121" t="n">
        <v>1580</v>
      </c>
      <c r="K36" s="117" t="inlineStr">
        <is>
          <t>Ferrisariato</t>
        </is>
      </c>
      <c r="L36" s="122">
        <f>F36*G36</f>
        <v/>
      </c>
      <c r="M36" s="158" t="inlineStr">
        <is>
          <t>Z-Z10-EQH-PEG-CAN</t>
        </is>
      </c>
      <c r="N36" s="117" t="inlineStr">
        <is>
          <t>General / coordinación multidisciplinar</t>
        </is>
      </c>
      <c r="O36" s="117" t="inlineStr">
        <is>
          <t>Estimado · base original del usuario (sin cotización verificada)</t>
        </is>
      </c>
      <c r="P36" s="117" t="inlineStr">
        <is>
          <t>oct-2026 (est.)</t>
        </is>
      </c>
      <c r="Q36" s="117" t="n"/>
    </row>
    <row r="37">
      <c r="A37" s="116" t="inlineStr">
        <is>
          <t xml:space="preserve">      • Subcategoría Especificada: Herramienta Eléctrica de Taller</t>
        </is>
      </c>
      <c r="B37" s="143" t="n"/>
      <c r="C37" s="143" t="n"/>
      <c r="D37" s="143" t="n"/>
      <c r="E37" s="143" t="n"/>
      <c r="F37" s="143" t="n"/>
      <c r="G37" s="143" t="n"/>
      <c r="H37" s="143" t="n"/>
      <c r="I37" s="143" t="n"/>
      <c r="J37" s="143" t="n"/>
      <c r="K37" s="143" t="n"/>
      <c r="L37" s="143" t="n"/>
      <c r="M37" s="143" t="n"/>
      <c r="N37" s="143" t="n"/>
      <c r="O37" s="143" t="n"/>
      <c r="P37" s="143" t="n"/>
      <c r="Q37" s="144" t="n"/>
    </row>
    <row r="38">
      <c r="A38" s="18" t="n">
        <v>21</v>
      </c>
      <c r="B38" s="19" t="inlineStr">
        <is>
          <t xml:space="preserve">        Escuadradora / Sierra de Mesa Seccionadora 3.2 m</t>
        </is>
      </c>
      <c r="C38" s="20" t="inlineStr">
        <is>
          <t>Industrial / Taller</t>
        </is>
      </c>
      <c r="D38" s="18" t="inlineStr">
        <is>
          <t>Escuadradoras</t>
        </is>
      </c>
      <c r="E38" s="18" t="inlineStr">
        <is>
          <t>U</t>
        </is>
      </c>
      <c r="F38" s="21" t="n">
        <v>0</v>
      </c>
      <c r="G38" s="22" t="n">
        <v>4800</v>
      </c>
      <c r="H38" s="22" t="n">
        <v>4992</v>
      </c>
      <c r="I38" s="18" t="inlineStr">
        <is>
          <t>Megametales</t>
        </is>
      </c>
      <c r="J38" s="22" t="n">
        <v>5184</v>
      </c>
      <c r="K38" s="18" t="inlineStr">
        <is>
          <t>Ferrisariato</t>
        </is>
      </c>
      <c r="L38" s="8">
        <f>F38*G38</f>
        <v/>
      </c>
      <c r="M38" s="145" t="inlineStr">
        <is>
          <t>Z-Z10-EQH-ESC-320</t>
        </is>
      </c>
      <c r="N38" s="18" t="inlineStr">
        <is>
          <t>General / coordinación multidisciplinar</t>
        </is>
      </c>
      <c r="O38" s="18" t="inlineStr">
        <is>
          <t>Estimado DION · criterio de mercado Guayaquil 2026 (no verificado en tienda)</t>
        </is>
      </c>
      <c r="P38" s="18" t="inlineStr">
        <is>
          <t>oct-2026 (est.)</t>
        </is>
      </c>
      <c r="Q38" s="18" t="n"/>
    </row>
    <row r="39">
      <c r="A39" s="117" t="n">
        <v>22</v>
      </c>
      <c r="B39" s="118" t="inlineStr">
        <is>
          <t xml:space="preserve">        Sierra Circular 7¼" 1800W</t>
        </is>
      </c>
      <c r="C39" s="119" t="inlineStr">
        <is>
          <t>Residencial / Comercial</t>
        </is>
      </c>
      <c r="D39" s="117" t="inlineStr">
        <is>
          <t>Sierras</t>
        </is>
      </c>
      <c r="E39" s="117" t="inlineStr">
        <is>
          <t>U</t>
        </is>
      </c>
      <c r="F39" s="120" t="n">
        <v>1</v>
      </c>
      <c r="G39" s="121" t="n">
        <v>165</v>
      </c>
      <c r="H39" s="121" t="n">
        <v>168.3</v>
      </c>
      <c r="I39" s="117" t="inlineStr">
        <is>
          <t>Megametales</t>
        </is>
      </c>
      <c r="J39" s="121" t="n">
        <v>179.85</v>
      </c>
      <c r="K39" s="117" t="inlineStr">
        <is>
          <t>Kywi / Megakywi</t>
        </is>
      </c>
      <c r="L39" s="122">
        <f>F39*G39</f>
        <v/>
      </c>
      <c r="M39" s="158" t="inlineStr">
        <is>
          <t>Z-Z10-EQH-SIE-CIR</t>
        </is>
      </c>
      <c r="N39" s="117" t="inlineStr">
        <is>
          <t>General / coordinación multidisciplinar</t>
        </is>
      </c>
      <c r="O39" s="117" t="inlineStr">
        <is>
          <t>Estimado DION · criterio de mercado Guayaquil 2026 (no verificado en tienda)</t>
        </is>
      </c>
      <c r="P39" s="117" t="inlineStr">
        <is>
          <t>oct-2026 (est.)</t>
        </is>
      </c>
      <c r="Q39" s="117" t="n"/>
    </row>
    <row r="40">
      <c r="A40" s="18" t="n">
        <v>23</v>
      </c>
      <c r="B40" s="19" t="inlineStr">
        <is>
          <t xml:space="preserve">        Router / Fresadora de Mano 1.5 HP</t>
        </is>
      </c>
      <c r="C40" s="20" t="inlineStr">
        <is>
          <t>Residencial / Comercial</t>
        </is>
      </c>
      <c r="D40" s="18" t="inlineStr">
        <is>
          <t>Routers</t>
        </is>
      </c>
      <c r="E40" s="18" t="inlineStr">
        <is>
          <t>U</t>
        </is>
      </c>
      <c r="F40" s="21" t="n">
        <v>1</v>
      </c>
      <c r="G40" s="22" t="n">
        <v>210</v>
      </c>
      <c r="H40" s="22" t="n">
        <v>216.3</v>
      </c>
      <c r="I40" s="18" t="inlineStr">
        <is>
          <t>Megametales</t>
        </is>
      </c>
      <c r="J40" s="22" t="n">
        <v>231</v>
      </c>
      <c r="K40" s="18" t="inlineStr">
        <is>
          <t>Ferrisariato</t>
        </is>
      </c>
      <c r="L40" s="8">
        <f>F40*G40</f>
        <v/>
      </c>
      <c r="M40" s="145" t="inlineStr">
        <is>
          <t>Z-Z10-EQH-ROU-MAN</t>
        </is>
      </c>
      <c r="N40" s="18" t="inlineStr">
        <is>
          <t>General / coordinación multidisciplinar</t>
        </is>
      </c>
      <c r="O40" s="18" t="inlineStr">
        <is>
          <t>Estimado DION · criterio de mercado Guayaquil 2026 (no verificado en tienda)</t>
        </is>
      </c>
      <c r="P40" s="18" t="inlineStr">
        <is>
          <t>oct-2026 (est.)</t>
        </is>
      </c>
      <c r="Q40" s="18" t="n"/>
    </row>
    <row r="41">
      <c r="A41" s="117" t="n">
        <v>24</v>
      </c>
      <c r="B41" s="118" t="inlineStr">
        <is>
          <t xml:space="preserve">        Taladro Percutor Inalámbrico 20V</t>
        </is>
      </c>
      <c r="C41" s="119" t="inlineStr">
        <is>
          <t>Residencial / Comercial</t>
        </is>
      </c>
      <c r="D41" s="117" t="inlineStr">
        <is>
          <t>Taladros</t>
        </is>
      </c>
      <c r="E41" s="117" t="inlineStr">
        <is>
          <t>U</t>
        </is>
      </c>
      <c r="F41" s="120" t="n">
        <v>1</v>
      </c>
      <c r="G41" s="121" t="n">
        <v>185</v>
      </c>
      <c r="H41" s="121" t="n">
        <v>194.25</v>
      </c>
      <c r="I41" s="117" t="inlineStr">
        <is>
          <t>Megametales</t>
        </is>
      </c>
      <c r="J41" s="121" t="n">
        <v>201.65</v>
      </c>
      <c r="K41" s="117" t="inlineStr">
        <is>
          <t>Kywi / Megakywi</t>
        </is>
      </c>
      <c r="L41" s="122">
        <f>F41*G41</f>
        <v/>
      </c>
      <c r="M41" s="158" t="inlineStr">
        <is>
          <t>Z-Z10-EQH-TAL-INA</t>
        </is>
      </c>
      <c r="N41" s="117" t="inlineStr">
        <is>
          <t>General / coordinación multidisciplinar</t>
        </is>
      </c>
      <c r="O41" s="117" t="inlineStr">
        <is>
          <t>Estimado DION · criterio de mercado Guayaquil 2026 (no verificado en tienda)</t>
        </is>
      </c>
      <c r="P41" s="117" t="inlineStr">
        <is>
          <t>oct-2026 (est.)</t>
        </is>
      </c>
      <c r="Q41" s="117" t="n"/>
    </row>
    <row r="42">
      <c r="A42" s="18" t="n">
        <v>25</v>
      </c>
      <c r="B42" s="19" t="inlineStr">
        <is>
          <t xml:space="preserve">        Caladora 650W</t>
        </is>
      </c>
      <c r="C42" s="20" t="inlineStr">
        <is>
          <t>Residencial / Comercial</t>
        </is>
      </c>
      <c r="D42" s="18" t="inlineStr">
        <is>
          <t>Caladoras</t>
        </is>
      </c>
      <c r="E42" s="18" t="inlineStr">
        <is>
          <t>U</t>
        </is>
      </c>
      <c r="F42" s="21" t="n">
        <v>1</v>
      </c>
      <c r="G42" s="22" t="n">
        <v>95</v>
      </c>
      <c r="H42" s="22" t="n">
        <v>98.8</v>
      </c>
      <c r="I42" s="18" t="inlineStr">
        <is>
          <t>Megametales</t>
        </is>
      </c>
      <c r="J42" s="22" t="n">
        <v>103.55</v>
      </c>
      <c r="K42" s="18" t="inlineStr">
        <is>
          <t>Ferrisariato</t>
        </is>
      </c>
      <c r="L42" s="8">
        <f>F42*G42</f>
        <v/>
      </c>
      <c r="M42" s="145" t="inlineStr">
        <is>
          <t>Z-Z10-EQH-CAL-650W</t>
        </is>
      </c>
      <c r="N42" s="18" t="inlineStr">
        <is>
          <t>General / coordinación multidisciplinar</t>
        </is>
      </c>
      <c r="O42" s="18" t="inlineStr">
        <is>
          <t>Estimado DION · criterio de mercado Guayaquil 2026 (no verificado en tienda)</t>
        </is>
      </c>
      <c r="P42" s="18" t="inlineStr">
        <is>
          <t>oct-2026 (est.)</t>
        </is>
      </c>
      <c r="Q42" s="18" t="n"/>
    </row>
    <row r="43">
      <c r="A43" s="117" t="n">
        <v>26</v>
      </c>
      <c r="B43" s="118" t="inlineStr">
        <is>
          <t xml:space="preserve">        Lijadora Orbital 5"</t>
        </is>
      </c>
      <c r="C43" s="119" t="inlineStr">
        <is>
          <t>Residencial / Comercial</t>
        </is>
      </c>
      <c r="D43" s="117" t="inlineStr">
        <is>
          <t>Lijadoras</t>
        </is>
      </c>
      <c r="E43" s="117" t="inlineStr">
        <is>
          <t>U</t>
        </is>
      </c>
      <c r="F43" s="120" t="n">
        <v>1</v>
      </c>
      <c r="G43" s="121" t="n">
        <v>85</v>
      </c>
      <c r="H43" s="121" t="n">
        <v>88.40000000000001</v>
      </c>
      <c r="I43" s="117" t="inlineStr">
        <is>
          <t>Megametales</t>
        </is>
      </c>
      <c r="J43" s="121" t="n">
        <v>93.5</v>
      </c>
      <c r="K43" s="117" t="inlineStr">
        <is>
          <t>Kywi / Megakywi</t>
        </is>
      </c>
      <c r="L43" s="122">
        <f>F43*G43</f>
        <v/>
      </c>
      <c r="M43" s="158" t="inlineStr">
        <is>
          <t>Z-Z10-EQH-LIJ-ORB</t>
        </is>
      </c>
      <c r="N43" s="117" t="inlineStr">
        <is>
          <t>General / coordinación multidisciplinar</t>
        </is>
      </c>
      <c r="O43" s="117" t="inlineStr">
        <is>
          <t>Estimado DION · criterio de mercado Guayaquil 2026 (no verificado en tienda)</t>
        </is>
      </c>
      <c r="P43" s="117" t="inlineStr">
        <is>
          <t>oct-2026 (est.)</t>
        </is>
      </c>
      <c r="Q43" s="117" t="n"/>
    </row>
    <row r="44">
      <c r="A44" s="18" t="n">
        <v>27</v>
      </c>
      <c r="B44" s="19" t="inlineStr">
        <is>
          <t xml:space="preserve">        Compresor de Aire 50 L 2.5 HP</t>
        </is>
      </c>
      <c r="C44" s="20" t="inlineStr">
        <is>
          <t>Residencial / Comercial</t>
        </is>
      </c>
      <c r="D44" s="18" t="inlineStr">
        <is>
          <t>Compresores</t>
        </is>
      </c>
      <c r="E44" s="18" t="inlineStr">
        <is>
          <t>U</t>
        </is>
      </c>
      <c r="F44" s="21" t="n">
        <v>1</v>
      </c>
      <c r="G44" s="22" t="n">
        <v>320</v>
      </c>
      <c r="H44" s="22" t="n">
        <v>329.6</v>
      </c>
      <c r="I44" s="18" t="inlineStr">
        <is>
          <t>Megametales</t>
        </is>
      </c>
      <c r="J44" s="22" t="n">
        <v>348.8</v>
      </c>
      <c r="K44" s="18" t="inlineStr">
        <is>
          <t>Ferrisariato</t>
        </is>
      </c>
      <c r="L44" s="8">
        <f>F44*G44</f>
        <v/>
      </c>
      <c r="M44" s="145" t="inlineStr">
        <is>
          <t>Z-Z10-EQH-COM-050L</t>
        </is>
      </c>
      <c r="N44" s="18" t="inlineStr">
        <is>
          <t>General / coordinación multidisciplinar</t>
        </is>
      </c>
      <c r="O44" s="18" t="inlineStr">
        <is>
          <t>Estimado DION · criterio de mercado Guayaquil 2026 (no verificado en tienda)</t>
        </is>
      </c>
      <c r="P44" s="18" t="inlineStr">
        <is>
          <t>oct-2026 (est.)</t>
        </is>
      </c>
      <c r="Q44" s="18" t="n"/>
    </row>
    <row r="45">
      <c r="A45" s="117" t="n">
        <v>28</v>
      </c>
      <c r="B45" s="118" t="inlineStr">
        <is>
          <t xml:space="preserve">        Clavadora Neumática Calibre 18</t>
        </is>
      </c>
      <c r="C45" s="119" t="inlineStr">
        <is>
          <t>Residencial / Comercial</t>
        </is>
      </c>
      <c r="D45" s="117" t="inlineStr">
        <is>
          <t>Clavadoras</t>
        </is>
      </c>
      <c r="E45" s="117" t="inlineStr">
        <is>
          <t>U</t>
        </is>
      </c>
      <c r="F45" s="120" t="n">
        <v>1</v>
      </c>
      <c r="G45" s="121" t="n">
        <v>110</v>
      </c>
      <c r="H45" s="121" t="n">
        <v>112.2</v>
      </c>
      <c r="I45" s="117" t="inlineStr">
        <is>
          <t>Megametales</t>
        </is>
      </c>
      <c r="J45" s="121" t="n">
        <v>117.7</v>
      </c>
      <c r="K45" s="117" t="inlineStr">
        <is>
          <t>Kywi / Megakywi</t>
        </is>
      </c>
      <c r="L45" s="122">
        <f>F45*G45</f>
        <v/>
      </c>
      <c r="M45" s="158" t="inlineStr">
        <is>
          <t>Z-Z10-EQH-CLA-NEU</t>
        </is>
      </c>
      <c r="N45" s="117" t="inlineStr">
        <is>
          <t>General / coordinación multidisciplinar</t>
        </is>
      </c>
      <c r="O45" s="117" t="inlineStr">
        <is>
          <t>Estimado DION · criterio de mercado Guayaquil 2026 (no verificado en tienda)</t>
        </is>
      </c>
      <c r="P45" s="117" t="inlineStr">
        <is>
          <t>oct-2026 (est.)</t>
        </is>
      </c>
      <c r="Q45" s="117" t="n"/>
    </row>
    <row r="46">
      <c r="A46" s="114" t="inlineStr">
        <is>
          <t>CONEXIONES</t>
        </is>
      </c>
      <c r="B46" s="143" t="n"/>
      <c r="C46" s="143" t="n"/>
      <c r="D46" s="143" t="n"/>
      <c r="E46" s="143" t="n"/>
      <c r="F46" s="143" t="n"/>
      <c r="G46" s="143" t="n"/>
      <c r="H46" s="143" t="n"/>
      <c r="I46" s="143" t="n"/>
      <c r="J46" s="143" t="n"/>
      <c r="K46" s="143" t="n"/>
      <c r="L46" s="143" t="n"/>
      <c r="M46" s="143" t="n"/>
      <c r="N46" s="143" t="n"/>
      <c r="O46" s="143" t="n"/>
      <c r="P46" s="143" t="n"/>
      <c r="Q46" s="144" t="n"/>
    </row>
    <row r="47">
      <c r="A47" s="115" t="inlineStr">
        <is>
          <t xml:space="preserve">  ► CATEGORÍA: HERRAJES, BISAGRAS, CORREDERAS, MANIJAS Y PISTONES</t>
        </is>
      </c>
      <c r="B47" s="143" t="n"/>
      <c r="C47" s="143" t="n"/>
      <c r="D47" s="143" t="n"/>
      <c r="E47" s="143" t="n"/>
      <c r="F47" s="143" t="n"/>
      <c r="G47" s="143" t="n"/>
      <c r="H47" s="143" t="n"/>
      <c r="I47" s="143" t="n"/>
      <c r="J47" s="143" t="n"/>
      <c r="K47" s="143" t="n"/>
      <c r="L47" s="143" t="n"/>
      <c r="M47" s="143" t="n"/>
      <c r="N47" s="143" t="n"/>
      <c r="O47" s="143" t="n"/>
      <c r="P47" s="143" t="n"/>
      <c r="Q47" s="144" t="n"/>
    </row>
    <row r="48">
      <c r="A48" s="116" t="inlineStr">
        <is>
          <t xml:space="preserve">      • Subcategoría Especificada: Herrajes de Muebles</t>
        </is>
      </c>
      <c r="B48" s="143" t="n"/>
      <c r="C48" s="143" t="n"/>
      <c r="D48" s="143" t="n"/>
      <c r="E48" s="143" t="n"/>
      <c r="F48" s="143" t="n"/>
      <c r="G48" s="143" t="n"/>
      <c r="H48" s="143" t="n"/>
      <c r="I48" s="143" t="n"/>
      <c r="J48" s="143" t="n"/>
      <c r="K48" s="143" t="n"/>
      <c r="L48" s="143" t="n"/>
      <c r="M48" s="143" t="n"/>
      <c r="N48" s="143" t="n"/>
      <c r="O48" s="143" t="n"/>
      <c r="P48" s="143" t="n"/>
      <c r="Q48" s="144" t="n"/>
    </row>
    <row r="49">
      <c r="A49" s="18" t="n">
        <v>29</v>
      </c>
      <c r="B49" s="19" t="inlineStr">
        <is>
          <t xml:space="preserve">        Bisagra Cazoleta Cierre Lento 35mm Cobertura Total</t>
        </is>
      </c>
      <c r="C49" s="20" t="inlineStr">
        <is>
          <t>Residencial / Comercial</t>
        </is>
      </c>
      <c r="D49" s="18" t="inlineStr">
        <is>
          <t>Bisagras Muebles</t>
        </is>
      </c>
      <c r="E49" s="18" t="inlineStr">
        <is>
          <t>U</t>
        </is>
      </c>
      <c r="F49" s="21" t="n">
        <v>40</v>
      </c>
      <c r="G49" s="22" t="n">
        <v>1.2</v>
      </c>
      <c r="H49" s="22" t="n">
        <v>1.25</v>
      </c>
      <c r="I49" s="18" t="inlineStr">
        <is>
          <t>Megametales / Blum / Hafele</t>
        </is>
      </c>
      <c r="J49" s="22" t="n">
        <v>1.38</v>
      </c>
      <c r="K49" s="18" t="inlineStr">
        <is>
          <t>Ferrisariato</t>
        </is>
      </c>
      <c r="L49" s="8">
        <f>F49*G49</f>
        <v/>
      </c>
      <c r="M49" s="145" t="inlineStr">
        <is>
          <t>AI-E20-HRJ-BIS-CLE</t>
        </is>
      </c>
      <c r="N49" s="18" t="inlineStr">
        <is>
          <t>Arquitectura interior y mobiliario</t>
        </is>
      </c>
      <c r="O49" s="18" t="inlineStr">
        <is>
          <t>Estimado · base original del usuario (sin cotización verificada)</t>
        </is>
      </c>
      <c r="P49" s="18" t="inlineStr">
        <is>
          <t>oct-2026 (est.)</t>
        </is>
      </c>
      <c r="Q49" s="18" t="n"/>
    </row>
    <row r="50">
      <c r="A50" s="117" t="n">
        <v>30</v>
      </c>
      <c r="B50" s="118" t="inlineStr">
        <is>
          <t xml:space="preserve">        Corredera Telescópica Extensión Total 45cm 35kg</t>
        </is>
      </c>
      <c r="C50" s="119" t="inlineStr">
        <is>
          <t>Residencial / Comercial</t>
        </is>
      </c>
      <c r="D50" s="117" t="inlineStr">
        <is>
          <t>Correderas Cajón</t>
        </is>
      </c>
      <c r="E50" s="117" t="inlineStr">
        <is>
          <t>Juego</t>
        </is>
      </c>
      <c r="F50" s="120" t="n">
        <v>12</v>
      </c>
      <c r="G50" s="121" t="n">
        <v>3.8</v>
      </c>
      <c r="H50" s="121" t="n">
        <v>3.95</v>
      </c>
      <c r="I50" s="117" t="inlineStr">
        <is>
          <t>Megametales</t>
        </is>
      </c>
      <c r="J50" s="121" t="n">
        <v>4.2</v>
      </c>
      <c r="K50" s="117" t="inlineStr">
        <is>
          <t>Ferrisariato</t>
        </is>
      </c>
      <c r="L50" s="122">
        <f>F50*G50</f>
        <v/>
      </c>
      <c r="M50" s="158" t="inlineStr">
        <is>
          <t>AI-E20-HRJ-COR-450</t>
        </is>
      </c>
      <c r="N50" s="117" t="inlineStr">
        <is>
          <t>Arquitectura interior y mobiliario</t>
        </is>
      </c>
      <c r="O50" s="117" t="inlineStr">
        <is>
          <t>Estimado · base original del usuario (sin cotización verificada)</t>
        </is>
      </c>
      <c r="P50" s="117" t="inlineStr">
        <is>
          <t>oct-2026 (est.)</t>
        </is>
      </c>
      <c r="Q50" s="117" t="n"/>
    </row>
    <row r="51">
      <c r="A51" s="18" t="n">
        <v>31</v>
      </c>
      <c r="B51" s="19" t="inlineStr">
        <is>
          <t xml:space="preserve">        Pistón Hidráulico a Gas 80N / 100N para Puerta Basculante</t>
        </is>
      </c>
      <c r="C51" s="20" t="inlineStr">
        <is>
          <t>Residencial</t>
        </is>
      </c>
      <c r="D51" s="18" t="inlineStr">
        <is>
          <t>Pistones Gas</t>
        </is>
      </c>
      <c r="E51" s="18" t="inlineStr">
        <is>
          <t>U</t>
        </is>
      </c>
      <c r="F51" s="21" t="n">
        <v>8</v>
      </c>
      <c r="G51" s="22" t="n">
        <v>2.5</v>
      </c>
      <c r="H51" s="22" t="n">
        <v>2.6</v>
      </c>
      <c r="I51" s="18" t="inlineStr">
        <is>
          <t>Megametales</t>
        </is>
      </c>
      <c r="J51" s="22" t="n">
        <v>2.8</v>
      </c>
      <c r="K51" s="18" t="inlineStr">
        <is>
          <t>Kywi / Megakywi</t>
        </is>
      </c>
      <c r="L51" s="8">
        <f>F51*G51</f>
        <v/>
      </c>
      <c r="M51" s="145" t="inlineStr">
        <is>
          <t>AI-E20-HRJ-PIS-100N</t>
        </is>
      </c>
      <c r="N51" s="18" t="inlineStr">
        <is>
          <t>Arquitectura interior y mobiliario</t>
        </is>
      </c>
      <c r="O51" s="18" t="inlineStr">
        <is>
          <t>Estimado · base original del usuario (sin cotización verificada)</t>
        </is>
      </c>
      <c r="P51" s="18" t="inlineStr">
        <is>
          <t>oct-2026 (est.)</t>
        </is>
      </c>
      <c r="Q51" s="18" t="n"/>
    </row>
    <row r="52">
      <c r="A52" s="117" t="n">
        <v>32</v>
      </c>
      <c r="B52" s="118" t="inlineStr">
        <is>
          <t xml:space="preserve">        Sistema Push-Open Cierre Magnético para Mueble sin Manija</t>
        </is>
      </c>
      <c r="C52" s="119" t="inlineStr">
        <is>
          <t>Residencial</t>
        </is>
      </c>
      <c r="D52" s="117" t="inlineStr">
        <is>
          <t>Sistemas Push</t>
        </is>
      </c>
      <c r="E52" s="117" t="inlineStr">
        <is>
          <t>U</t>
        </is>
      </c>
      <c r="F52" s="120" t="n">
        <v>10</v>
      </c>
      <c r="G52" s="121" t="n">
        <v>1.8</v>
      </c>
      <c r="H52" s="121" t="n">
        <v>1.88</v>
      </c>
      <c r="I52" s="117" t="inlineStr">
        <is>
          <t>Megametales</t>
        </is>
      </c>
      <c r="J52" s="121" t="n">
        <v>2.05</v>
      </c>
      <c r="K52" s="117" t="inlineStr">
        <is>
          <t>Ferrisariato</t>
        </is>
      </c>
      <c r="L52" s="122">
        <f>F52*G52</f>
        <v/>
      </c>
      <c r="M52" s="158" t="inlineStr">
        <is>
          <t>AI-E20-HRJ-PSH-MAG</t>
        </is>
      </c>
      <c r="N52" s="117" t="inlineStr">
        <is>
          <t>Arquitectura interior y mobiliario</t>
        </is>
      </c>
      <c r="O52" s="117" t="inlineStr">
        <is>
          <t>Estimado · base original del usuario (sin cotización verificada)</t>
        </is>
      </c>
      <c r="P52" s="117" t="inlineStr">
        <is>
          <t>oct-2026 (est.)</t>
        </is>
      </c>
      <c r="Q52" s="117" t="n"/>
    </row>
    <row r="53">
      <c r="A53" s="116" t="inlineStr">
        <is>
          <t xml:space="preserve">      • Subcategoría Especificada: Herrajes por Tipo y Medida</t>
        </is>
      </c>
      <c r="B53" s="143" t="n"/>
      <c r="C53" s="143" t="n"/>
      <c r="D53" s="143" t="n"/>
      <c r="E53" s="143" t="n"/>
      <c r="F53" s="143" t="n"/>
      <c r="G53" s="143" t="n"/>
      <c r="H53" s="143" t="n"/>
      <c r="I53" s="143" t="n"/>
      <c r="J53" s="143" t="n"/>
      <c r="K53" s="143" t="n"/>
      <c r="L53" s="143" t="n"/>
      <c r="M53" s="143" t="n"/>
      <c r="N53" s="143" t="n"/>
      <c r="O53" s="143" t="n"/>
      <c r="P53" s="143" t="n"/>
      <c r="Q53" s="144" t="n"/>
    </row>
    <row r="54">
      <c r="A54" s="18" t="n">
        <v>33</v>
      </c>
      <c r="B54" s="19" t="inlineStr">
        <is>
          <t xml:space="preserve">        Bisagra Cazoleta 35 mm Normal (Sin Cierre Lento)</t>
        </is>
      </c>
      <c r="C54" s="20" t="inlineStr">
        <is>
          <t>Residencial / Comercial</t>
        </is>
      </c>
      <c r="D54" s="18" t="inlineStr">
        <is>
          <t>Bisagras Muebles</t>
        </is>
      </c>
      <c r="E54" s="18" t="inlineStr">
        <is>
          <t>U</t>
        </is>
      </c>
      <c r="F54" s="21" t="n">
        <v>40</v>
      </c>
      <c r="G54" s="22" t="n">
        <v>0.55</v>
      </c>
      <c r="H54" s="22" t="n">
        <v>0.5600000000000001</v>
      </c>
      <c r="I54" s="18" t="inlineStr">
        <is>
          <t>Megametales</t>
        </is>
      </c>
      <c r="J54" s="22" t="n">
        <v>0.6</v>
      </c>
      <c r="K54" s="18" t="inlineStr">
        <is>
          <t>Ferrisariato</t>
        </is>
      </c>
      <c r="L54" s="8">
        <f>F54*G54</f>
        <v/>
      </c>
      <c r="M54" s="145" t="inlineStr">
        <is>
          <t>AI-E20-HRJ-BIS-NOR</t>
        </is>
      </c>
      <c r="N54" s="18" t="inlineStr">
        <is>
          <t>Arquitectura interior y mobiliario</t>
        </is>
      </c>
      <c r="O54" s="18" t="inlineStr">
        <is>
          <t>Estimado DION · criterio de mercado Guayaquil 2026 (no verificado en tienda)</t>
        </is>
      </c>
      <c r="P54" s="18" t="inlineStr">
        <is>
          <t>oct-2026 (est.)</t>
        </is>
      </c>
      <c r="Q54" s="18" t="n"/>
    </row>
    <row r="55">
      <c r="A55" s="117" t="n">
        <v>34</v>
      </c>
      <c r="B55" s="118" t="inlineStr">
        <is>
          <t xml:space="preserve">        Bisagra Cazoleta Cierre Lento Semicurva</t>
        </is>
      </c>
      <c r="C55" s="119" t="inlineStr">
        <is>
          <t>Residencial / Comercial</t>
        </is>
      </c>
      <c r="D55" s="117" t="inlineStr">
        <is>
          <t>Bisagras Muebles</t>
        </is>
      </c>
      <c r="E55" s="117" t="inlineStr">
        <is>
          <t>U</t>
        </is>
      </c>
      <c r="F55" s="120" t="n">
        <v>20</v>
      </c>
      <c r="G55" s="121" t="n">
        <v>1.3</v>
      </c>
      <c r="H55" s="121" t="n">
        <v>1.35</v>
      </c>
      <c r="I55" s="117" t="inlineStr">
        <is>
          <t>Megametales</t>
        </is>
      </c>
      <c r="J55" s="121" t="n">
        <v>1.44</v>
      </c>
      <c r="K55" s="117" t="inlineStr">
        <is>
          <t>Kywi / Megakywi</t>
        </is>
      </c>
      <c r="L55" s="122">
        <f>F55*G55</f>
        <v/>
      </c>
      <c r="M55" s="158" t="inlineStr">
        <is>
          <t>AI-E20-HRJ-BIS-SCU</t>
        </is>
      </c>
      <c r="N55" s="117" t="inlineStr">
        <is>
          <t>Arquitectura interior y mobiliario</t>
        </is>
      </c>
      <c r="O55" s="117" t="inlineStr">
        <is>
          <t>Estimado DION · criterio de mercado Guayaquil 2026 (no verificado en tienda)</t>
        </is>
      </c>
      <c r="P55" s="117" t="inlineStr">
        <is>
          <t>oct-2026 (est.)</t>
        </is>
      </c>
      <c r="Q55" s="117" t="n"/>
    </row>
    <row r="56">
      <c r="A56" s="18" t="n">
        <v>35</v>
      </c>
      <c r="B56" s="19" t="inlineStr">
        <is>
          <t xml:space="preserve">        Bisagra Cazoleta Cierre Lento Curva</t>
        </is>
      </c>
      <c r="C56" s="20" t="inlineStr">
        <is>
          <t>Residencial / Comercial</t>
        </is>
      </c>
      <c r="D56" s="18" t="inlineStr">
        <is>
          <t>Bisagras Muebles</t>
        </is>
      </c>
      <c r="E56" s="18" t="inlineStr">
        <is>
          <t>U</t>
        </is>
      </c>
      <c r="F56" s="21" t="n">
        <v>20</v>
      </c>
      <c r="G56" s="22" t="n">
        <v>1.35</v>
      </c>
      <c r="H56" s="22" t="n">
        <v>1.39</v>
      </c>
      <c r="I56" s="18" t="inlineStr">
        <is>
          <t>Megametales</t>
        </is>
      </c>
      <c r="J56" s="22" t="n">
        <v>1.5</v>
      </c>
      <c r="K56" s="18" t="inlineStr">
        <is>
          <t>Ferrisariato</t>
        </is>
      </c>
      <c r="L56" s="8">
        <f>F56*G56</f>
        <v/>
      </c>
      <c r="M56" s="145" t="inlineStr">
        <is>
          <t>AI-E20-HRJ-BIS-CUR</t>
        </is>
      </c>
      <c r="N56" s="18" t="inlineStr">
        <is>
          <t>Arquitectura interior y mobiliario</t>
        </is>
      </c>
      <c r="O56" s="18" t="inlineStr">
        <is>
          <t>Estimado DION · criterio de mercado Guayaquil 2026 (no verificado en tienda)</t>
        </is>
      </c>
      <c r="P56" s="18" t="inlineStr">
        <is>
          <t>oct-2026 (est.)</t>
        </is>
      </c>
      <c r="Q56" s="18" t="n"/>
    </row>
    <row r="57">
      <c r="A57" s="117" t="n">
        <v>36</v>
      </c>
      <c r="B57" s="118" t="inlineStr">
        <is>
          <t xml:space="preserve">        Bisagra Cazoleta 165° Esquinero</t>
        </is>
      </c>
      <c r="C57" s="119" t="inlineStr">
        <is>
          <t>Residencial / Comercial</t>
        </is>
      </c>
      <c r="D57" s="117" t="inlineStr">
        <is>
          <t>Bisagras Muebles</t>
        </is>
      </c>
      <c r="E57" s="117" t="inlineStr">
        <is>
          <t>U</t>
        </is>
      </c>
      <c r="F57" s="120" t="n">
        <v>6</v>
      </c>
      <c r="G57" s="121" t="n">
        <v>4.2</v>
      </c>
      <c r="H57" s="121" t="n">
        <v>4.37</v>
      </c>
      <c r="I57" s="117" t="inlineStr">
        <is>
          <t>Megametales</t>
        </is>
      </c>
      <c r="J57" s="121" t="n">
        <v>4.62</v>
      </c>
      <c r="K57" s="117" t="inlineStr">
        <is>
          <t>Kywi / Megakywi</t>
        </is>
      </c>
      <c r="L57" s="122">
        <f>F57*G57</f>
        <v/>
      </c>
      <c r="M57" s="158" t="inlineStr">
        <is>
          <t>AI-E20-HRJ-BIS-165</t>
        </is>
      </c>
      <c r="N57" s="117" t="inlineStr">
        <is>
          <t>Arquitectura interior y mobiliario</t>
        </is>
      </c>
      <c r="O57" s="117" t="inlineStr">
        <is>
          <t>Estimado DION · criterio de mercado Guayaquil 2026 (no verificado en tienda)</t>
        </is>
      </c>
      <c r="P57" s="117" t="inlineStr">
        <is>
          <t>oct-2026 (est.)</t>
        </is>
      </c>
      <c r="Q57" s="117" t="n"/>
    </row>
    <row r="58">
      <c r="A58" s="18" t="n">
        <v>37</v>
      </c>
      <c r="B58" s="19" t="inlineStr">
        <is>
          <t xml:space="preserve">        Corredera Telescópica Extensión Total 30 cm</t>
        </is>
      </c>
      <c r="C58" s="20" t="inlineStr">
        <is>
          <t>Residencial / Comercial</t>
        </is>
      </c>
      <c r="D58" s="18" t="inlineStr">
        <is>
          <t>Correderas Cajón</t>
        </is>
      </c>
      <c r="E58" s="18" t="inlineStr">
        <is>
          <t>Juego</t>
        </is>
      </c>
      <c r="F58" s="21" t="n">
        <v>8</v>
      </c>
      <c r="G58" s="22" t="n">
        <v>2.8</v>
      </c>
      <c r="H58" s="22" t="n">
        <v>2.91</v>
      </c>
      <c r="I58" s="18" t="inlineStr">
        <is>
          <t>Megametales</t>
        </is>
      </c>
      <c r="J58" s="22" t="n">
        <v>3.05</v>
      </c>
      <c r="K58" s="18" t="inlineStr">
        <is>
          <t>Ferrisariato</t>
        </is>
      </c>
      <c r="L58" s="8">
        <f>F58*G58</f>
        <v/>
      </c>
      <c r="M58" s="145" t="inlineStr">
        <is>
          <t>AI-E20-HRJ-COR-300</t>
        </is>
      </c>
      <c r="N58" s="18" t="inlineStr">
        <is>
          <t>Arquitectura interior y mobiliario</t>
        </is>
      </c>
      <c r="O58" s="18" t="inlineStr">
        <is>
          <t>Estimado DION · criterio de mercado Guayaquil 2026 (no verificado en tienda)</t>
        </is>
      </c>
      <c r="P58" s="18" t="inlineStr">
        <is>
          <t>oct-2026 (est.)</t>
        </is>
      </c>
      <c r="Q58" s="18" t="n"/>
    </row>
    <row r="59">
      <c r="A59" s="117" t="n">
        <v>38</v>
      </c>
      <c r="B59" s="118" t="inlineStr">
        <is>
          <t xml:space="preserve">        Corredera Telescópica Extensión Total 35 cm</t>
        </is>
      </c>
      <c r="C59" s="119" t="inlineStr">
        <is>
          <t>Residencial / Comercial</t>
        </is>
      </c>
      <c r="D59" s="117" t="inlineStr">
        <is>
          <t>Correderas Cajón</t>
        </is>
      </c>
      <c r="E59" s="117" t="inlineStr">
        <is>
          <t>Juego</t>
        </is>
      </c>
      <c r="F59" s="120" t="n">
        <v>8</v>
      </c>
      <c r="G59" s="121" t="n">
        <v>3.1</v>
      </c>
      <c r="H59" s="121" t="n">
        <v>3.16</v>
      </c>
      <c r="I59" s="117" t="inlineStr">
        <is>
          <t>Megametales</t>
        </is>
      </c>
      <c r="J59" s="121" t="n">
        <v>3.35</v>
      </c>
      <c r="K59" s="117" t="inlineStr">
        <is>
          <t>Kywi / Megakywi</t>
        </is>
      </c>
      <c r="L59" s="122">
        <f>F59*G59</f>
        <v/>
      </c>
      <c r="M59" s="158" t="inlineStr">
        <is>
          <t>AI-E20-HRJ-COR-350</t>
        </is>
      </c>
      <c r="N59" s="117" t="inlineStr">
        <is>
          <t>Arquitectura interior y mobiliario</t>
        </is>
      </c>
      <c r="O59" s="117" t="inlineStr">
        <is>
          <t>Estimado DION · criterio de mercado Guayaquil 2026 (no verificado en tienda)</t>
        </is>
      </c>
      <c r="P59" s="117" t="inlineStr">
        <is>
          <t>oct-2026 (est.)</t>
        </is>
      </c>
      <c r="Q59" s="117" t="n"/>
    </row>
    <row r="60">
      <c r="A60" s="18" t="n">
        <v>39</v>
      </c>
      <c r="B60" s="19" t="inlineStr">
        <is>
          <t xml:space="preserve">        Corredera Telescópica Extensión Total 40 cm</t>
        </is>
      </c>
      <c r="C60" s="20" t="inlineStr">
        <is>
          <t>Residencial / Comercial</t>
        </is>
      </c>
      <c r="D60" s="18" t="inlineStr">
        <is>
          <t>Correderas Cajón</t>
        </is>
      </c>
      <c r="E60" s="18" t="inlineStr">
        <is>
          <t>Juego</t>
        </is>
      </c>
      <c r="F60" s="21" t="n">
        <v>8</v>
      </c>
      <c r="G60" s="22" t="n">
        <v>3.5</v>
      </c>
      <c r="H60" s="22" t="n">
        <v>3.64</v>
      </c>
      <c r="I60" s="18" t="inlineStr">
        <is>
          <t>Megametales</t>
        </is>
      </c>
      <c r="J60" s="22" t="n">
        <v>3.75</v>
      </c>
      <c r="K60" s="18" t="inlineStr">
        <is>
          <t>Ferrisariato</t>
        </is>
      </c>
      <c r="L60" s="8">
        <f>F60*G60</f>
        <v/>
      </c>
      <c r="M60" s="145" t="inlineStr">
        <is>
          <t>AI-E20-HRJ-COR-400</t>
        </is>
      </c>
      <c r="N60" s="18" t="inlineStr">
        <is>
          <t>Arquitectura interior y mobiliario</t>
        </is>
      </c>
      <c r="O60" s="18" t="inlineStr">
        <is>
          <t>Estimado DION · criterio de mercado Guayaquil 2026 (no verificado en tienda)</t>
        </is>
      </c>
      <c r="P60" s="18" t="inlineStr">
        <is>
          <t>oct-2026 (est.)</t>
        </is>
      </c>
      <c r="Q60" s="18" t="n"/>
    </row>
    <row r="61">
      <c r="A61" s="117" t="n">
        <v>40</v>
      </c>
      <c r="B61" s="118" t="inlineStr">
        <is>
          <t xml:space="preserve">        Corredera Telescópica Extensión Total 50 cm</t>
        </is>
      </c>
      <c r="C61" s="119" t="inlineStr">
        <is>
          <t>Residencial / Comercial</t>
        </is>
      </c>
      <c r="D61" s="117" t="inlineStr">
        <is>
          <t>Correderas Cajón</t>
        </is>
      </c>
      <c r="E61" s="117" t="inlineStr">
        <is>
          <t>Juego</t>
        </is>
      </c>
      <c r="F61" s="120" t="n">
        <v>8</v>
      </c>
      <c r="G61" s="121" t="n">
        <v>4.4</v>
      </c>
      <c r="H61" s="121" t="n">
        <v>4.58</v>
      </c>
      <c r="I61" s="117" t="inlineStr">
        <is>
          <t>Megametales</t>
        </is>
      </c>
      <c r="J61" s="121" t="n">
        <v>4.8</v>
      </c>
      <c r="K61" s="117" t="inlineStr">
        <is>
          <t>Kywi / Megakywi</t>
        </is>
      </c>
      <c r="L61" s="122">
        <f>F61*G61</f>
        <v/>
      </c>
      <c r="M61" s="158" t="inlineStr">
        <is>
          <t>AI-E20-HRJ-COR-500</t>
        </is>
      </c>
      <c r="N61" s="117" t="inlineStr">
        <is>
          <t>Arquitectura interior y mobiliario</t>
        </is>
      </c>
      <c r="O61" s="117" t="inlineStr">
        <is>
          <t>Estimado DION · criterio de mercado Guayaquil 2026 (no verificado en tienda)</t>
        </is>
      </c>
      <c r="P61" s="117" t="inlineStr">
        <is>
          <t>oct-2026 (est.)</t>
        </is>
      </c>
      <c r="Q61" s="117" t="n"/>
    </row>
    <row r="62">
      <c r="A62" s="18" t="n">
        <v>41</v>
      </c>
      <c r="B62" s="19" t="inlineStr">
        <is>
          <t xml:space="preserve">        Corredera Telescópica Extensión Total 55 cm</t>
        </is>
      </c>
      <c r="C62" s="20" t="inlineStr">
        <is>
          <t>Residencial / Comercial</t>
        </is>
      </c>
      <c r="D62" s="18" t="inlineStr">
        <is>
          <t>Correderas Cajón</t>
        </is>
      </c>
      <c r="E62" s="18" t="inlineStr">
        <is>
          <t>Juego</t>
        </is>
      </c>
      <c r="F62" s="21" t="n">
        <v>8</v>
      </c>
      <c r="G62" s="22" t="n">
        <v>4.8</v>
      </c>
      <c r="H62" s="22" t="n">
        <v>4.9</v>
      </c>
      <c r="I62" s="18" t="inlineStr">
        <is>
          <t>Megametales</t>
        </is>
      </c>
      <c r="J62" s="22" t="n">
        <v>5.28</v>
      </c>
      <c r="K62" s="18" t="inlineStr">
        <is>
          <t>Ferrisariato</t>
        </is>
      </c>
      <c r="L62" s="8">
        <f>F62*G62</f>
        <v/>
      </c>
      <c r="M62" s="145" t="inlineStr">
        <is>
          <t>AI-E20-HRJ-COR-550</t>
        </is>
      </c>
      <c r="N62" s="18" t="inlineStr">
        <is>
          <t>Arquitectura interior y mobiliario</t>
        </is>
      </c>
      <c r="O62" s="18" t="inlineStr">
        <is>
          <t>Estimado DION · criterio de mercado Guayaquil 2026 (no verificado en tienda)</t>
        </is>
      </c>
      <c r="P62" s="18" t="inlineStr">
        <is>
          <t>oct-2026 (est.)</t>
        </is>
      </c>
      <c r="Q62" s="18" t="n"/>
    </row>
    <row r="63">
      <c r="A63" s="117" t="n">
        <v>42</v>
      </c>
      <c r="B63" s="118" t="inlineStr">
        <is>
          <t xml:space="preserve">        Corredera Oculta Cierre Lento 45 cm (Tandem)</t>
        </is>
      </c>
      <c r="C63" s="119" t="inlineStr">
        <is>
          <t>Residencial / Comercial</t>
        </is>
      </c>
      <c r="D63" s="117" t="inlineStr">
        <is>
          <t>Correderas Ocultas</t>
        </is>
      </c>
      <c r="E63" s="117" t="inlineStr">
        <is>
          <t>Juego</t>
        </is>
      </c>
      <c r="F63" s="120" t="n">
        <v>6</v>
      </c>
      <c r="G63" s="121" t="n">
        <v>14.5</v>
      </c>
      <c r="H63" s="121" t="n">
        <v>14.79</v>
      </c>
      <c r="I63" s="117" t="inlineStr">
        <is>
          <t>Megametales</t>
        </is>
      </c>
      <c r="J63" s="121" t="n">
        <v>15.81</v>
      </c>
      <c r="K63" s="117" t="inlineStr">
        <is>
          <t>Kywi / Megakywi</t>
        </is>
      </c>
      <c r="L63" s="122">
        <f>F63*G63</f>
        <v/>
      </c>
      <c r="M63" s="158" t="inlineStr">
        <is>
          <t>AI-E20-HRJ-COR-OCU-450</t>
        </is>
      </c>
      <c r="N63" s="117" t="inlineStr">
        <is>
          <t>Arquitectura interior y mobiliario</t>
        </is>
      </c>
      <c r="O63" s="117" t="inlineStr">
        <is>
          <t>Estimado DION · criterio de mercado Guayaquil 2026 (no verificado en tienda)</t>
        </is>
      </c>
      <c r="P63" s="117" t="inlineStr">
        <is>
          <t>oct-2026 (est.)</t>
        </is>
      </c>
      <c r="Q63" s="117" t="n"/>
    </row>
    <row r="64">
      <c r="A64" s="18" t="n">
        <v>43</v>
      </c>
      <c r="B64" s="19" t="inlineStr">
        <is>
          <t xml:space="preserve">        Sistema de Puerta Corrediza para Clóset (Riel + Ruedas 2 Hojas)</t>
        </is>
      </c>
      <c r="C64" s="20" t="inlineStr">
        <is>
          <t>Residencial</t>
        </is>
      </c>
      <c r="D64" s="18" t="inlineStr">
        <is>
          <t>Sistemas Corredizos</t>
        </is>
      </c>
      <c r="E64" s="18" t="inlineStr">
        <is>
          <t>Juego</t>
        </is>
      </c>
      <c r="F64" s="21" t="n">
        <v>2</v>
      </c>
      <c r="G64" s="22" t="n">
        <v>38</v>
      </c>
      <c r="H64" s="22" t="n">
        <v>39.14</v>
      </c>
      <c r="I64" s="18" t="inlineStr">
        <is>
          <t>Megametales</t>
        </is>
      </c>
      <c r="J64" s="22" t="n">
        <v>41.8</v>
      </c>
      <c r="K64" s="18" t="inlineStr">
        <is>
          <t>Ferrisariato</t>
        </is>
      </c>
      <c r="L64" s="8">
        <f>F64*G64</f>
        <v/>
      </c>
      <c r="M64" s="145" t="inlineStr">
        <is>
          <t>AI-E20-HRJ-COR-PUE</t>
        </is>
      </c>
      <c r="N64" s="18" t="inlineStr">
        <is>
          <t>Arquitectura interior y mobiliario</t>
        </is>
      </c>
      <c r="O64" s="18" t="inlineStr">
        <is>
          <t>Estimado DION · criterio de mercado Guayaquil 2026 (no verificado en tienda)</t>
        </is>
      </c>
      <c r="P64" s="18" t="inlineStr">
        <is>
          <t>oct-2026 (est.)</t>
        </is>
      </c>
      <c r="Q64" s="18" t="n"/>
    </row>
    <row r="65">
      <c r="A65" s="117" t="n">
        <v>44</v>
      </c>
      <c r="B65" s="118" t="inlineStr">
        <is>
          <t xml:space="preserve">        Pistón a Gas 60N</t>
        </is>
      </c>
      <c r="C65" s="119" t="inlineStr">
        <is>
          <t>Residencial / Comercial</t>
        </is>
      </c>
      <c r="D65" s="117" t="inlineStr">
        <is>
          <t>Pistones Gas</t>
        </is>
      </c>
      <c r="E65" s="117" t="inlineStr">
        <is>
          <t>U</t>
        </is>
      </c>
      <c r="F65" s="120" t="n">
        <v>6</v>
      </c>
      <c r="G65" s="121" t="n">
        <v>2.3</v>
      </c>
      <c r="H65" s="121" t="n">
        <v>2.39</v>
      </c>
      <c r="I65" s="117" t="inlineStr">
        <is>
          <t>Megametales</t>
        </is>
      </c>
      <c r="J65" s="121" t="n">
        <v>2.53</v>
      </c>
      <c r="K65" s="117" t="inlineStr">
        <is>
          <t>Kywi / Megakywi</t>
        </is>
      </c>
      <c r="L65" s="122">
        <f>F65*G65</f>
        <v/>
      </c>
      <c r="M65" s="158" t="inlineStr">
        <is>
          <t>AI-E20-HRJ-PIS-060N</t>
        </is>
      </c>
      <c r="N65" s="117" t="inlineStr">
        <is>
          <t>Arquitectura interior y mobiliario</t>
        </is>
      </c>
      <c r="O65" s="117" t="inlineStr">
        <is>
          <t>Estimado DION · criterio de mercado Guayaquil 2026 (no verificado en tienda)</t>
        </is>
      </c>
      <c r="P65" s="117" t="inlineStr">
        <is>
          <t>oct-2026 (est.)</t>
        </is>
      </c>
      <c r="Q65" s="117" t="n"/>
    </row>
    <row r="66">
      <c r="A66" s="18" t="n">
        <v>45</v>
      </c>
      <c r="B66" s="19" t="inlineStr">
        <is>
          <t xml:space="preserve">        Pistón a Gas 120N</t>
        </is>
      </c>
      <c r="C66" s="20" t="inlineStr">
        <is>
          <t>Residencial / Comercial</t>
        </is>
      </c>
      <c r="D66" s="18" t="inlineStr">
        <is>
          <t>Pistones Gas</t>
        </is>
      </c>
      <c r="E66" s="18" t="inlineStr">
        <is>
          <t>U</t>
        </is>
      </c>
      <c r="F66" s="21" t="n">
        <v>6</v>
      </c>
      <c r="G66" s="22" t="n">
        <v>2.9</v>
      </c>
      <c r="H66" s="22" t="n">
        <v>3.02</v>
      </c>
      <c r="I66" s="18" t="inlineStr">
        <is>
          <t>Megametales</t>
        </is>
      </c>
      <c r="J66" s="22" t="n">
        <v>3.16</v>
      </c>
      <c r="K66" s="18" t="inlineStr">
        <is>
          <t>Ferrisariato</t>
        </is>
      </c>
      <c r="L66" s="8">
        <f>F66*G66</f>
        <v/>
      </c>
      <c r="M66" s="145" t="inlineStr">
        <is>
          <t>AI-E20-HRJ-PIS-120N</t>
        </is>
      </c>
      <c r="N66" s="18" t="inlineStr">
        <is>
          <t>Arquitectura interior y mobiliario</t>
        </is>
      </c>
      <c r="O66" s="18" t="inlineStr">
        <is>
          <t>Estimado DION · criterio de mercado Guayaquil 2026 (no verificado en tienda)</t>
        </is>
      </c>
      <c r="P66" s="18" t="inlineStr">
        <is>
          <t>oct-2026 (est.)</t>
        </is>
      </c>
      <c r="Q66" s="18" t="n"/>
    </row>
    <row r="67">
      <c r="A67" s="117" t="n">
        <v>46</v>
      </c>
      <c r="B67" s="118" t="inlineStr">
        <is>
          <t xml:space="preserve">        Manija Aluminio Tipo Barra 96 mm</t>
        </is>
      </c>
      <c r="C67" s="119" t="inlineStr">
        <is>
          <t>Residencial / Comercial</t>
        </is>
      </c>
      <c r="D67" s="117" t="inlineStr">
        <is>
          <t>Manijas</t>
        </is>
      </c>
      <c r="E67" s="117" t="inlineStr">
        <is>
          <t>U</t>
        </is>
      </c>
      <c r="F67" s="120" t="n">
        <v>20</v>
      </c>
      <c r="G67" s="121" t="n">
        <v>1.6</v>
      </c>
      <c r="H67" s="121" t="n">
        <v>1.65</v>
      </c>
      <c r="I67" s="117" t="inlineStr">
        <is>
          <t>Megametales</t>
        </is>
      </c>
      <c r="J67" s="121" t="n">
        <v>1.78</v>
      </c>
      <c r="K67" s="117" t="inlineStr">
        <is>
          <t>Kywi / Megakywi</t>
        </is>
      </c>
      <c r="L67" s="122">
        <f>F67*G67</f>
        <v/>
      </c>
      <c r="M67" s="158" t="inlineStr">
        <is>
          <t>AI-E20-HRJ-MAN-96</t>
        </is>
      </c>
      <c r="N67" s="117" t="inlineStr">
        <is>
          <t>Arquitectura interior y mobiliario</t>
        </is>
      </c>
      <c r="O67" s="117" t="inlineStr">
        <is>
          <t>Estimado DION · criterio de mercado Guayaquil 2026 (no verificado en tienda)</t>
        </is>
      </c>
      <c r="P67" s="117" t="inlineStr">
        <is>
          <t>oct-2026 (est.)</t>
        </is>
      </c>
      <c r="Q67" s="117" t="n"/>
    </row>
    <row r="68">
      <c r="A68" s="18" t="n">
        <v>47</v>
      </c>
      <c r="B68" s="19" t="inlineStr">
        <is>
          <t xml:space="preserve">        Manija Aluminio Tipo Barra 128 mm</t>
        </is>
      </c>
      <c r="C68" s="20" t="inlineStr">
        <is>
          <t>Residencial / Comercial</t>
        </is>
      </c>
      <c r="D68" s="18" t="inlineStr">
        <is>
          <t>Manijas</t>
        </is>
      </c>
      <c r="E68" s="18" t="inlineStr">
        <is>
          <t>U</t>
        </is>
      </c>
      <c r="F68" s="21" t="n">
        <v>20</v>
      </c>
      <c r="G68" s="22" t="n">
        <v>1.9</v>
      </c>
      <c r="H68" s="22" t="n">
        <v>1.98</v>
      </c>
      <c r="I68" s="18" t="inlineStr">
        <is>
          <t>Megametales</t>
        </is>
      </c>
      <c r="J68" s="22" t="n">
        <v>2.11</v>
      </c>
      <c r="K68" s="18" t="inlineStr">
        <is>
          <t>Ferrisariato</t>
        </is>
      </c>
      <c r="L68" s="8">
        <f>F68*G68</f>
        <v/>
      </c>
      <c r="M68" s="145" t="inlineStr">
        <is>
          <t>AI-E20-HRJ-MAN-128</t>
        </is>
      </c>
      <c r="N68" s="18" t="inlineStr">
        <is>
          <t>Arquitectura interior y mobiliario</t>
        </is>
      </c>
      <c r="O68" s="18" t="inlineStr">
        <is>
          <t>Estimado DION · criterio de mercado Guayaquil 2026 (no verificado en tienda)</t>
        </is>
      </c>
      <c r="P68" s="18" t="inlineStr">
        <is>
          <t>oct-2026 (est.)</t>
        </is>
      </c>
      <c r="Q68" s="18" t="n"/>
    </row>
    <row r="69">
      <c r="A69" s="117" t="n">
        <v>48</v>
      </c>
      <c r="B69" s="118" t="inlineStr">
        <is>
          <t xml:space="preserve">        Manija Aluminio Tipo Barra 160 mm</t>
        </is>
      </c>
      <c r="C69" s="119" t="inlineStr">
        <is>
          <t>Residencial / Comercial</t>
        </is>
      </c>
      <c r="D69" s="117" t="inlineStr">
        <is>
          <t>Manijas</t>
        </is>
      </c>
      <c r="E69" s="117" t="inlineStr">
        <is>
          <t>U</t>
        </is>
      </c>
      <c r="F69" s="120" t="n">
        <v>20</v>
      </c>
      <c r="G69" s="121" t="n">
        <v>2.4</v>
      </c>
      <c r="H69" s="121" t="n">
        <v>2.5</v>
      </c>
      <c r="I69" s="117" t="inlineStr">
        <is>
          <t>Megametales</t>
        </is>
      </c>
      <c r="J69" s="121" t="n">
        <v>2.57</v>
      </c>
      <c r="K69" s="117" t="inlineStr">
        <is>
          <t>Kywi / Megakywi</t>
        </is>
      </c>
      <c r="L69" s="122">
        <f>F69*G69</f>
        <v/>
      </c>
      <c r="M69" s="158" t="inlineStr">
        <is>
          <t>AI-E20-HRJ-MAN-160</t>
        </is>
      </c>
      <c r="N69" s="117" t="inlineStr">
        <is>
          <t>Arquitectura interior y mobiliario</t>
        </is>
      </c>
      <c r="O69" s="117" t="inlineStr">
        <is>
          <t>Estimado DION · criterio de mercado Guayaquil 2026 (no verificado en tienda)</t>
        </is>
      </c>
      <c r="P69" s="117" t="inlineStr">
        <is>
          <t>oct-2026 (est.)</t>
        </is>
      </c>
      <c r="Q69" s="117" t="n"/>
    </row>
    <row r="70">
      <c r="A70" s="18" t="n">
        <v>49</v>
      </c>
      <c r="B70" s="19" t="inlineStr">
        <is>
          <t xml:space="preserve">        Manija Aluminio Tipo Barra 192 mm</t>
        </is>
      </c>
      <c r="C70" s="20" t="inlineStr">
        <is>
          <t>Residencial / Comercial</t>
        </is>
      </c>
      <c r="D70" s="18" t="inlineStr">
        <is>
          <t>Manijas</t>
        </is>
      </c>
      <c r="E70" s="18" t="inlineStr">
        <is>
          <t>U</t>
        </is>
      </c>
      <c r="F70" s="21" t="n">
        <v>20</v>
      </c>
      <c r="G70" s="22" t="n">
        <v>2.8</v>
      </c>
      <c r="H70" s="22" t="n">
        <v>2.91</v>
      </c>
      <c r="I70" s="18" t="inlineStr">
        <is>
          <t>Megametales</t>
        </is>
      </c>
      <c r="J70" s="22" t="n">
        <v>3.02</v>
      </c>
      <c r="K70" s="18" t="inlineStr">
        <is>
          <t>Ferrisariato</t>
        </is>
      </c>
      <c r="L70" s="8">
        <f>F70*G70</f>
        <v/>
      </c>
      <c r="M70" s="145" t="inlineStr">
        <is>
          <t>AI-E20-HRJ-MAN-192</t>
        </is>
      </c>
      <c r="N70" s="18" t="inlineStr">
        <is>
          <t>Arquitectura interior y mobiliario</t>
        </is>
      </c>
      <c r="O70" s="18" t="inlineStr">
        <is>
          <t>Estimado DION · criterio de mercado Guayaquil 2026 (no verificado en tienda)</t>
        </is>
      </c>
      <c r="P70" s="18" t="inlineStr">
        <is>
          <t>oct-2026 (est.)</t>
        </is>
      </c>
      <c r="Q70" s="18" t="n"/>
    </row>
    <row r="71">
      <c r="A71" s="117" t="n">
        <v>50</v>
      </c>
      <c r="B71" s="118" t="inlineStr">
        <is>
          <t xml:space="preserve">        Manija Aluminio Tipo Barra 320 mm</t>
        </is>
      </c>
      <c r="C71" s="119" t="inlineStr">
        <is>
          <t>Residencial / Comercial</t>
        </is>
      </c>
      <c r="D71" s="117" t="inlineStr">
        <is>
          <t>Manijas</t>
        </is>
      </c>
      <c r="E71" s="117" t="inlineStr">
        <is>
          <t>U</t>
        </is>
      </c>
      <c r="F71" s="120" t="n">
        <v>20</v>
      </c>
      <c r="G71" s="121" t="n">
        <v>4.5</v>
      </c>
      <c r="H71" s="121" t="n">
        <v>4.59</v>
      </c>
      <c r="I71" s="117" t="inlineStr">
        <is>
          <t>Megametales</t>
        </is>
      </c>
      <c r="J71" s="121" t="n">
        <v>4.86</v>
      </c>
      <c r="K71" s="117" t="inlineStr">
        <is>
          <t>Kywi / Megakywi</t>
        </is>
      </c>
      <c r="L71" s="122">
        <f>F71*G71</f>
        <v/>
      </c>
      <c r="M71" s="158" t="inlineStr">
        <is>
          <t>AI-E20-HRJ-MAN-320</t>
        </is>
      </c>
      <c r="N71" s="117" t="inlineStr">
        <is>
          <t>Arquitectura interior y mobiliario</t>
        </is>
      </c>
      <c r="O71" s="117" t="inlineStr">
        <is>
          <t>Estimado DION · criterio de mercado Guayaquil 2026 (no verificado en tienda)</t>
        </is>
      </c>
      <c r="P71" s="117" t="inlineStr">
        <is>
          <t>oct-2026 (est.)</t>
        </is>
      </c>
      <c r="Q71" s="117" t="n"/>
    </row>
    <row r="72">
      <c r="A72" s="18" t="n">
        <v>51</v>
      </c>
      <c r="B72" s="19" t="inlineStr">
        <is>
          <t xml:space="preserve">        Cerradura para Cajón / Puerta de Mueble</t>
        </is>
      </c>
      <c r="C72" s="20" t="inlineStr">
        <is>
          <t>Residencial / Comercial</t>
        </is>
      </c>
      <c r="D72" s="18" t="inlineStr">
        <is>
          <t>Cerraduras Mueble</t>
        </is>
      </c>
      <c r="E72" s="18" t="inlineStr">
        <is>
          <t>U</t>
        </is>
      </c>
      <c r="F72" s="21" t="n">
        <v>6</v>
      </c>
      <c r="G72" s="22" t="n">
        <v>2.8</v>
      </c>
      <c r="H72" s="22" t="n">
        <v>2.86</v>
      </c>
      <c r="I72" s="18" t="inlineStr">
        <is>
          <t>Megametales</t>
        </is>
      </c>
      <c r="J72" s="22" t="n">
        <v>3</v>
      </c>
      <c r="K72" s="18" t="inlineStr">
        <is>
          <t>Ferrisariato</t>
        </is>
      </c>
      <c r="L72" s="8">
        <f>F72*G72</f>
        <v/>
      </c>
      <c r="M72" s="145" t="inlineStr">
        <is>
          <t>AI-E20-HRJ-CER-MUE</t>
        </is>
      </c>
      <c r="N72" s="18" t="inlineStr">
        <is>
          <t>Arquitectura interior y mobiliario</t>
        </is>
      </c>
      <c r="O72" s="18" t="inlineStr">
        <is>
          <t>Estimado DION · criterio de mercado Guayaquil 2026 (no verificado en tienda)</t>
        </is>
      </c>
      <c r="P72" s="18" t="inlineStr">
        <is>
          <t>oct-2026 (est.)</t>
        </is>
      </c>
      <c r="Q72" s="18" t="n"/>
    </row>
    <row r="73">
      <c r="A73" s="117" t="n">
        <v>52</v>
      </c>
      <c r="B73" s="118" t="inlineStr">
        <is>
          <t xml:space="preserve">        Bisagra de Piano Acero 1" (m)</t>
        </is>
      </c>
      <c r="C73" s="119" t="inlineStr">
        <is>
          <t>Residencial / Comercial</t>
        </is>
      </c>
      <c r="D73" s="117" t="inlineStr">
        <is>
          <t>Bisagras Piano</t>
        </is>
      </c>
      <c r="E73" s="117" t="inlineStr">
        <is>
          <t>m</t>
        </is>
      </c>
      <c r="F73" s="120" t="n">
        <v>2</v>
      </c>
      <c r="G73" s="121" t="n">
        <v>3.5</v>
      </c>
      <c r="H73" s="121" t="n">
        <v>3.6</v>
      </c>
      <c r="I73" s="117" t="inlineStr">
        <is>
          <t>Megametales</t>
        </is>
      </c>
      <c r="J73" s="121" t="n">
        <v>3.75</v>
      </c>
      <c r="K73" s="117" t="inlineStr">
        <is>
          <t>Kywi / Megakywi</t>
        </is>
      </c>
      <c r="L73" s="122">
        <f>F73*G73</f>
        <v/>
      </c>
      <c r="M73" s="158" t="inlineStr">
        <is>
          <t>AI-E20-HRJ-BIS-PIA</t>
        </is>
      </c>
      <c r="N73" s="117" t="inlineStr">
        <is>
          <t>Arquitectura interior y mobiliario</t>
        </is>
      </c>
      <c r="O73" s="117" t="inlineStr">
        <is>
          <t>Estimado DION · criterio de mercado Guayaquil 2026 (no verificado en tienda)</t>
        </is>
      </c>
      <c r="P73" s="117" t="inlineStr">
        <is>
          <t>oct-2026 (est.)</t>
        </is>
      </c>
      <c r="Q73" s="117" t="n"/>
    </row>
    <row r="74">
      <c r="A74" s="114" t="inlineStr">
        <is>
          <t>EQUIPOS ESPECIALIZADOS</t>
        </is>
      </c>
      <c r="B74" s="143" t="n"/>
      <c r="C74" s="143" t="n"/>
      <c r="D74" s="143" t="n"/>
      <c r="E74" s="143" t="n"/>
      <c r="F74" s="143" t="n"/>
      <c r="G74" s="143" t="n"/>
      <c r="H74" s="143" t="n"/>
      <c r="I74" s="143" t="n"/>
      <c r="J74" s="143" t="n"/>
      <c r="K74" s="143" t="n"/>
      <c r="L74" s="143" t="n"/>
      <c r="M74" s="143" t="n"/>
      <c r="N74" s="143" t="n"/>
      <c r="O74" s="143" t="n"/>
      <c r="P74" s="143" t="n"/>
      <c r="Q74" s="144" t="n"/>
    </row>
    <row r="75">
      <c r="A75" s="115" t="inlineStr">
        <is>
          <t xml:space="preserve">  ► CATEGORÍA: TABLEROS MELAMINA, MDF, OSB, CONTRACHAPADO Y LAMINADOS</t>
        </is>
      </c>
      <c r="B75" s="143" t="n"/>
      <c r="C75" s="143" t="n"/>
      <c r="D75" s="143" t="n"/>
      <c r="E75" s="143" t="n"/>
      <c r="F75" s="143" t="n"/>
      <c r="G75" s="143" t="n"/>
      <c r="H75" s="143" t="n"/>
      <c r="I75" s="143" t="n"/>
      <c r="J75" s="143" t="n"/>
      <c r="K75" s="143" t="n"/>
      <c r="L75" s="143" t="n"/>
      <c r="M75" s="143" t="n"/>
      <c r="N75" s="143" t="n"/>
      <c r="O75" s="143" t="n"/>
      <c r="P75" s="143" t="n"/>
      <c r="Q75" s="144" t="n"/>
    </row>
    <row r="76">
      <c r="A76" s="116" t="inlineStr">
        <is>
          <t xml:space="preserve">      • Subcategoría Especificada: Tableros de Madera y Aglomerados</t>
        </is>
      </c>
      <c r="B76" s="143" t="n"/>
      <c r="C76" s="143" t="n"/>
      <c r="D76" s="143" t="n"/>
      <c r="E76" s="143" t="n"/>
      <c r="F76" s="143" t="n"/>
      <c r="G76" s="143" t="n"/>
      <c r="H76" s="143" t="n"/>
      <c r="I76" s="143" t="n"/>
      <c r="J76" s="143" t="n"/>
      <c r="K76" s="143" t="n"/>
      <c r="L76" s="143" t="n"/>
      <c r="M76" s="143" t="n"/>
      <c r="N76" s="143" t="n"/>
      <c r="O76" s="143" t="n"/>
      <c r="P76" s="143" t="n"/>
      <c r="Q76" s="144" t="n"/>
    </row>
    <row r="77">
      <c r="A77" s="18" t="n">
        <v>53</v>
      </c>
      <c r="B77" s="19" t="inlineStr">
        <is>
          <t xml:space="preserve">        Tablero Melamínico Pelíkan / Duratex 15mm 2.14x2.44m</t>
        </is>
      </c>
      <c r="C77" s="20" t="inlineStr">
        <is>
          <t>Residencial / Comercial</t>
        </is>
      </c>
      <c r="D77" s="18" t="inlineStr">
        <is>
          <t>Tableros Melamina</t>
        </is>
      </c>
      <c r="E77" s="18" t="inlineStr">
        <is>
          <t>U</t>
        </is>
      </c>
      <c r="F77" s="21" t="n">
        <v>10</v>
      </c>
      <c r="G77" s="22" t="n">
        <v>38</v>
      </c>
      <c r="H77" s="22" t="n">
        <v>39.5</v>
      </c>
      <c r="I77" s="18" t="inlineStr">
        <is>
          <t>Megametales / Edimca</t>
        </is>
      </c>
      <c r="J77" s="22" t="n">
        <v>42</v>
      </c>
      <c r="K77" s="18" t="inlineStr">
        <is>
          <t>Ferrisariato</t>
        </is>
      </c>
      <c r="L77" s="8">
        <f>F77*G77</f>
        <v/>
      </c>
      <c r="M77" s="145" t="inlineStr">
        <is>
          <t>AI-E20-TBL-MLM-15</t>
        </is>
      </c>
      <c r="N77" s="18" t="inlineStr">
        <is>
          <t>Arquitectura interior y mobiliario</t>
        </is>
      </c>
      <c r="O77" s="18" t="inlineStr">
        <is>
          <t>Estimado · base original del usuario (sin cotización verificada)</t>
        </is>
      </c>
      <c r="P77" s="18" t="inlineStr">
        <is>
          <t>oct-2026 (est.)</t>
        </is>
      </c>
      <c r="Q77" s="18" t="n">
        <v>15</v>
      </c>
    </row>
    <row r="78">
      <c r="A78" s="117" t="n">
        <v>54</v>
      </c>
      <c r="B78" s="118" t="inlineStr">
        <is>
          <t xml:space="preserve">        Tablero MDF CRUDO 15mm 1.83x2.44m</t>
        </is>
      </c>
      <c r="C78" s="119" t="inlineStr">
        <is>
          <t>Residencial / Comercial</t>
        </is>
      </c>
      <c r="D78" s="117" t="inlineStr">
        <is>
          <t>Tableros MDF</t>
        </is>
      </c>
      <c r="E78" s="117" t="inlineStr">
        <is>
          <t>U</t>
        </is>
      </c>
      <c r="F78" s="120" t="n">
        <v>6</v>
      </c>
      <c r="G78" s="121" t="n">
        <v>24</v>
      </c>
      <c r="H78" s="121" t="n">
        <v>24.8</v>
      </c>
      <c r="I78" s="117" t="inlineStr">
        <is>
          <t>Megametales / Edimca</t>
        </is>
      </c>
      <c r="J78" s="121" t="n">
        <v>26.5</v>
      </c>
      <c r="K78" s="117" t="inlineStr">
        <is>
          <t>Kywi / Megakywi</t>
        </is>
      </c>
      <c r="L78" s="122">
        <f>F78*G78</f>
        <v/>
      </c>
      <c r="M78" s="158" t="inlineStr">
        <is>
          <t>AI-E20-TBL-MDF-15</t>
        </is>
      </c>
      <c r="N78" s="117" t="inlineStr">
        <is>
          <t>Arquitectura interior y mobiliario</t>
        </is>
      </c>
      <c r="O78" s="117" t="inlineStr">
        <is>
          <t>Estimado · base original del usuario (sin cotización verificada)</t>
        </is>
      </c>
      <c r="P78" s="117" t="inlineStr">
        <is>
          <t>oct-2026 (est.)</t>
        </is>
      </c>
      <c r="Q78" s="117" t="n">
        <v>15</v>
      </c>
    </row>
    <row r="79">
      <c r="A79" s="18" t="n">
        <v>55</v>
      </c>
      <c r="B79" s="19" t="inlineStr">
        <is>
          <t xml:space="preserve">        Tablero Contrachapado Triplex Okume RH 15mm 1.22x2.44m</t>
        </is>
      </c>
      <c r="C79" s="20" t="inlineStr">
        <is>
          <t>Residencial / Comercial</t>
        </is>
      </c>
      <c r="D79" s="18" t="inlineStr">
        <is>
          <t>Tableros Triplex RH</t>
        </is>
      </c>
      <c r="E79" s="18" t="inlineStr">
        <is>
          <t>U</t>
        </is>
      </c>
      <c r="F79" s="21" t="n">
        <v>4</v>
      </c>
      <c r="G79" s="22" t="n">
        <v>32</v>
      </c>
      <c r="H79" s="22" t="n">
        <v>33.2</v>
      </c>
      <c r="I79" s="18" t="inlineStr">
        <is>
          <t>Megametales / Edimca</t>
        </is>
      </c>
      <c r="J79" s="22" t="n">
        <v>35.5</v>
      </c>
      <c r="K79" s="18" t="inlineStr">
        <is>
          <t>Ferrisariato</t>
        </is>
      </c>
      <c r="L79" s="8">
        <f>F79*G79</f>
        <v/>
      </c>
      <c r="M79" s="145" t="inlineStr">
        <is>
          <t>AI-E20-TBL-TRI-15</t>
        </is>
      </c>
      <c r="N79" s="18" t="inlineStr">
        <is>
          <t>Arquitectura interior y mobiliario</t>
        </is>
      </c>
      <c r="O79" s="18" t="inlineStr">
        <is>
          <t>Estimado · base original del usuario (sin cotización verificada)</t>
        </is>
      </c>
      <c r="P79" s="18" t="inlineStr">
        <is>
          <t>oct-2026 (est.)</t>
        </is>
      </c>
      <c r="Q79" s="18" t="n">
        <v>15</v>
      </c>
    </row>
    <row r="80">
      <c r="A80" s="117" t="n">
        <v>56</v>
      </c>
      <c r="B80" s="118" t="inlineStr">
        <is>
          <t xml:space="preserve">        Laminado Plástico Formica Formica 0.8mm Ducha/Cocina</t>
        </is>
      </c>
      <c r="C80" s="119" t="inlineStr">
        <is>
          <t>Residencial / Comercial</t>
        </is>
      </c>
      <c r="D80" s="117" t="inlineStr">
        <is>
          <t>Laminados Formica</t>
        </is>
      </c>
      <c r="E80" s="117" t="inlineStr">
        <is>
          <t>U</t>
        </is>
      </c>
      <c r="F80" s="120" t="n">
        <v>4</v>
      </c>
      <c r="G80" s="121" t="n">
        <v>18.5</v>
      </c>
      <c r="H80" s="121" t="n">
        <v>19.2</v>
      </c>
      <c r="I80" s="117" t="inlineStr">
        <is>
          <t>Megametales</t>
        </is>
      </c>
      <c r="J80" s="121" t="n">
        <v>20.5</v>
      </c>
      <c r="K80" s="117" t="inlineStr">
        <is>
          <t>Ferrisariato</t>
        </is>
      </c>
      <c r="L80" s="122">
        <f>F80*G80</f>
        <v/>
      </c>
      <c r="M80" s="158" t="inlineStr">
        <is>
          <t>AI-E20-TBL-FOR-0P8</t>
        </is>
      </c>
      <c r="N80" s="117" t="inlineStr">
        <is>
          <t>Arquitectura interior y mobiliario</t>
        </is>
      </c>
      <c r="O80" s="117" t="inlineStr">
        <is>
          <t>Estimado · base original del usuario (sin cotización verificada)</t>
        </is>
      </c>
      <c r="P80" s="117" t="inlineStr">
        <is>
          <t>oct-2026 (est.)</t>
        </is>
      </c>
      <c r="Q80" s="117" t="n">
        <v>10</v>
      </c>
    </row>
    <row r="81">
      <c r="A81" s="116" t="inlineStr">
        <is>
          <t xml:space="preserve">      • Subcategoría Especificada: Todos los Espesores y Acabados</t>
        </is>
      </c>
      <c r="B81" s="143" t="n"/>
      <c r="C81" s="143" t="n"/>
      <c r="D81" s="143" t="n"/>
      <c r="E81" s="143" t="n"/>
      <c r="F81" s="143" t="n"/>
      <c r="G81" s="143" t="n"/>
      <c r="H81" s="143" t="n"/>
      <c r="I81" s="143" t="n"/>
      <c r="J81" s="143" t="n"/>
      <c r="K81" s="143" t="n"/>
      <c r="L81" s="143" t="n"/>
      <c r="M81" s="143" t="n"/>
      <c r="N81" s="143" t="n"/>
      <c r="O81" s="143" t="n"/>
      <c r="P81" s="143" t="n"/>
      <c r="Q81" s="144" t="n"/>
    </row>
    <row r="82">
      <c r="A82" s="18" t="n">
        <v>57</v>
      </c>
      <c r="B82" s="19" t="inlineStr">
        <is>
          <t xml:space="preserve">        Tablero Melamínico Blanco 6 mm 2.15x2.44 m</t>
        </is>
      </c>
      <c r="C82" s="20" t="inlineStr">
        <is>
          <t>Residencial / Comercial</t>
        </is>
      </c>
      <c r="D82" s="18" t="inlineStr">
        <is>
          <t>Tableros Melamina</t>
        </is>
      </c>
      <c r="E82" s="18" t="inlineStr">
        <is>
          <t>U</t>
        </is>
      </c>
      <c r="F82" s="21" t="n">
        <v>4</v>
      </c>
      <c r="G82" s="22" t="n">
        <v>22</v>
      </c>
      <c r="H82" s="22" t="n">
        <v>22.44</v>
      </c>
      <c r="I82" s="18" t="inlineStr">
        <is>
          <t>Megametales</t>
        </is>
      </c>
      <c r="J82" s="22" t="n">
        <v>24.2</v>
      </c>
      <c r="K82" s="18" t="inlineStr">
        <is>
          <t>Ferrisariato</t>
        </is>
      </c>
      <c r="L82" s="8">
        <f>F82*G82</f>
        <v/>
      </c>
      <c r="M82" s="145" t="inlineStr">
        <is>
          <t>AI-E20-TBL-MLM-06</t>
        </is>
      </c>
      <c r="N82" s="18" t="inlineStr">
        <is>
          <t>Arquitectura interior y mobiliario</t>
        </is>
      </c>
      <c r="O82" s="18" t="inlineStr">
        <is>
          <t>Estimado DION · criterio de mercado Guayaquil 2026 (no verificado en tienda)</t>
        </is>
      </c>
      <c r="P82" s="18" t="inlineStr">
        <is>
          <t>oct-2026 (est.)</t>
        </is>
      </c>
      <c r="Q82" s="18" t="n">
        <v>15</v>
      </c>
    </row>
    <row r="83">
      <c r="A83" s="117" t="n">
        <v>58</v>
      </c>
      <c r="B83" s="118" t="inlineStr">
        <is>
          <t xml:space="preserve">        Tablero Melamínico Blanco 9 mm 2.15x2.44 m</t>
        </is>
      </c>
      <c r="C83" s="119" t="inlineStr">
        <is>
          <t>Residencial / Comercial</t>
        </is>
      </c>
      <c r="D83" s="117" t="inlineStr">
        <is>
          <t>Tableros Melamina</t>
        </is>
      </c>
      <c r="E83" s="117" t="inlineStr">
        <is>
          <t>U</t>
        </is>
      </c>
      <c r="F83" s="120" t="n">
        <v>4</v>
      </c>
      <c r="G83" s="121" t="n">
        <v>27</v>
      </c>
      <c r="H83" s="121" t="n">
        <v>27.81</v>
      </c>
      <c r="I83" s="117" t="inlineStr">
        <is>
          <t>Megametales</t>
        </is>
      </c>
      <c r="J83" s="121" t="n">
        <v>29.16</v>
      </c>
      <c r="K83" s="117" t="inlineStr">
        <is>
          <t>Kywi / Megakywi</t>
        </is>
      </c>
      <c r="L83" s="122">
        <f>F83*G83</f>
        <v/>
      </c>
      <c r="M83" s="158" t="inlineStr">
        <is>
          <t>AI-E20-TBL-MLM-09</t>
        </is>
      </c>
      <c r="N83" s="117" t="inlineStr">
        <is>
          <t>Arquitectura interior y mobiliario</t>
        </is>
      </c>
      <c r="O83" s="117" t="inlineStr">
        <is>
          <t>Estimado DION · criterio de mercado Guayaquil 2026 (no verificado en tienda)</t>
        </is>
      </c>
      <c r="P83" s="117" t="inlineStr">
        <is>
          <t>oct-2026 (est.)</t>
        </is>
      </c>
      <c r="Q83" s="117" t="n">
        <v>15</v>
      </c>
    </row>
    <row r="84">
      <c r="A84" s="18" t="n">
        <v>59</v>
      </c>
      <c r="B84" s="19" t="inlineStr">
        <is>
          <t xml:space="preserve">        Tablero Melamínico Blanco 12 mm 2.15x2.44 m</t>
        </is>
      </c>
      <c r="C84" s="20" t="inlineStr">
        <is>
          <t>Residencial / Comercial</t>
        </is>
      </c>
      <c r="D84" s="18" t="inlineStr">
        <is>
          <t>Tableros Melamina</t>
        </is>
      </c>
      <c r="E84" s="18" t="inlineStr">
        <is>
          <t>U</t>
        </is>
      </c>
      <c r="F84" s="21" t="n">
        <v>4</v>
      </c>
      <c r="G84" s="22" t="n">
        <v>33</v>
      </c>
      <c r="H84" s="22" t="n">
        <v>34.65</v>
      </c>
      <c r="I84" s="18" t="inlineStr">
        <is>
          <t>Megametales</t>
        </is>
      </c>
      <c r="J84" s="22" t="n">
        <v>35.31</v>
      </c>
      <c r="K84" s="18" t="inlineStr">
        <is>
          <t>Ferrisariato</t>
        </is>
      </c>
      <c r="L84" s="8">
        <f>F84*G84</f>
        <v/>
      </c>
      <c r="M84" s="145" t="inlineStr">
        <is>
          <t>AI-E20-TBL-MLM-12</t>
        </is>
      </c>
      <c r="N84" s="18" t="inlineStr">
        <is>
          <t>Arquitectura interior y mobiliario</t>
        </is>
      </c>
      <c r="O84" s="18" t="inlineStr">
        <is>
          <t>Estimado DION · criterio de mercado Guayaquil 2026 (no verificado en tienda)</t>
        </is>
      </c>
      <c r="P84" s="18" t="inlineStr">
        <is>
          <t>oct-2026 (est.)</t>
        </is>
      </c>
      <c r="Q84" s="18" t="n">
        <v>15</v>
      </c>
    </row>
    <row r="85">
      <c r="A85" s="117" t="n">
        <v>60</v>
      </c>
      <c r="B85" s="118" t="inlineStr">
        <is>
          <t xml:space="preserve">        Tablero Melamínico Blanco 18 mm 2.15x2.44 m</t>
        </is>
      </c>
      <c r="C85" s="119" t="inlineStr">
        <is>
          <t>Residencial / Comercial</t>
        </is>
      </c>
      <c r="D85" s="117" t="inlineStr">
        <is>
          <t>Tableros Melamina</t>
        </is>
      </c>
      <c r="E85" s="117" t="inlineStr">
        <is>
          <t>U</t>
        </is>
      </c>
      <c r="F85" s="120" t="n">
        <v>4</v>
      </c>
      <c r="G85" s="121" t="n">
        <v>44</v>
      </c>
      <c r="H85" s="121" t="n">
        <v>45.32</v>
      </c>
      <c r="I85" s="117" t="inlineStr">
        <is>
          <t>Megametales</t>
        </is>
      </c>
      <c r="J85" s="121" t="n">
        <v>47.08</v>
      </c>
      <c r="K85" s="117" t="inlineStr">
        <is>
          <t>Kywi / Megakywi</t>
        </is>
      </c>
      <c r="L85" s="122">
        <f>F85*G85</f>
        <v/>
      </c>
      <c r="M85" s="158" t="inlineStr">
        <is>
          <t>AI-E20-TBL-MLM-18</t>
        </is>
      </c>
      <c r="N85" s="117" t="inlineStr">
        <is>
          <t>Arquitectura interior y mobiliario</t>
        </is>
      </c>
      <c r="O85" s="117" t="inlineStr">
        <is>
          <t>Estimado DION · criterio de mercado Guayaquil 2026 (no verificado en tienda)</t>
        </is>
      </c>
      <c r="P85" s="117" t="inlineStr">
        <is>
          <t>oct-2026 (est.)</t>
        </is>
      </c>
      <c r="Q85" s="117" t="n">
        <v>15</v>
      </c>
    </row>
    <row r="86">
      <c r="A86" s="18" t="n">
        <v>61</v>
      </c>
      <c r="B86" s="19" t="inlineStr">
        <is>
          <t xml:space="preserve">        Tablero Melamínico Color / Madera 18 mm 2.15x2.44 m</t>
        </is>
      </c>
      <c r="C86" s="20" t="inlineStr">
        <is>
          <t>Residencial / Comercial</t>
        </is>
      </c>
      <c r="D86" s="18" t="inlineStr">
        <is>
          <t>Tableros Melamina</t>
        </is>
      </c>
      <c r="E86" s="18" t="inlineStr">
        <is>
          <t>U</t>
        </is>
      </c>
      <c r="F86" s="21" t="n">
        <v>4</v>
      </c>
      <c r="G86" s="22" t="n">
        <v>52</v>
      </c>
      <c r="H86" s="22" t="n">
        <v>53.56</v>
      </c>
      <c r="I86" s="18" t="inlineStr">
        <is>
          <t>Megametales</t>
        </is>
      </c>
      <c r="J86" s="22" t="n">
        <v>56.68</v>
      </c>
      <c r="K86" s="18" t="inlineStr">
        <is>
          <t>Ferrisariato</t>
        </is>
      </c>
      <c r="L86" s="8">
        <f>F86*G86</f>
        <v/>
      </c>
      <c r="M86" s="145" t="inlineStr">
        <is>
          <t>AI-E20-TBL-MLM-18-COL</t>
        </is>
      </c>
      <c r="N86" s="18" t="inlineStr">
        <is>
          <t>Arquitectura interior y mobiliario</t>
        </is>
      </c>
      <c r="O86" s="18" t="inlineStr">
        <is>
          <t>Estimado DION · criterio de mercado Guayaquil 2026 (no verificado en tienda)</t>
        </is>
      </c>
      <c r="P86" s="18" t="inlineStr">
        <is>
          <t>oct-2026 (est.)</t>
        </is>
      </c>
      <c r="Q86" s="18" t="n">
        <v>15</v>
      </c>
    </row>
    <row r="87">
      <c r="A87" s="117" t="n">
        <v>62</v>
      </c>
      <c r="B87" s="118" t="inlineStr">
        <is>
          <t xml:space="preserve">        Tablero Melamínico Hidrófugo (RH) 18 mm 2.15x2.44 m</t>
        </is>
      </c>
      <c r="C87" s="119" t="inlineStr">
        <is>
          <t>Residencial / Comercial</t>
        </is>
      </c>
      <c r="D87" s="117" t="inlineStr">
        <is>
          <t>Tableros Melamina</t>
        </is>
      </c>
      <c r="E87" s="117" t="inlineStr">
        <is>
          <t>U</t>
        </is>
      </c>
      <c r="F87" s="120" t="n">
        <v>2</v>
      </c>
      <c r="G87" s="121" t="n">
        <v>62</v>
      </c>
      <c r="H87" s="121" t="n">
        <v>63.86</v>
      </c>
      <c r="I87" s="117" t="inlineStr">
        <is>
          <t>Megametales</t>
        </is>
      </c>
      <c r="J87" s="121" t="n">
        <v>66.95999999999999</v>
      </c>
      <c r="K87" s="117" t="inlineStr">
        <is>
          <t>Kywi / Megakywi</t>
        </is>
      </c>
      <c r="L87" s="122">
        <f>F87*G87</f>
        <v/>
      </c>
      <c r="M87" s="158" t="inlineStr">
        <is>
          <t>AI-E20-TBL-MLM-18-RH</t>
        </is>
      </c>
      <c r="N87" s="117" t="inlineStr">
        <is>
          <t>Arquitectura interior y mobiliario</t>
        </is>
      </c>
      <c r="O87" s="117" t="inlineStr">
        <is>
          <t>Estimado DION · criterio de mercado Guayaquil 2026 (no verificado en tienda)</t>
        </is>
      </c>
      <c r="P87" s="117" t="inlineStr">
        <is>
          <t>oct-2026 (est.)</t>
        </is>
      </c>
      <c r="Q87" s="117" t="n">
        <v>15</v>
      </c>
    </row>
    <row r="88">
      <c r="A88" s="18" t="n">
        <v>63</v>
      </c>
      <c r="B88" s="19" t="inlineStr">
        <is>
          <t xml:space="preserve">        Tablero MDF Crudo 3 mm 1.83x2.44 m</t>
        </is>
      </c>
      <c r="C88" s="20" t="inlineStr">
        <is>
          <t>Residencial / Comercial</t>
        </is>
      </c>
      <c r="D88" s="18" t="inlineStr">
        <is>
          <t>Tableros MDF</t>
        </is>
      </c>
      <c r="E88" s="18" t="inlineStr">
        <is>
          <t>U</t>
        </is>
      </c>
      <c r="F88" s="21" t="n">
        <v>4</v>
      </c>
      <c r="G88" s="22" t="n">
        <v>9.5</v>
      </c>
      <c r="H88" s="22" t="n">
        <v>9.880000000000001</v>
      </c>
      <c r="I88" s="18" t="inlineStr">
        <is>
          <t>Megametales</t>
        </is>
      </c>
      <c r="J88" s="22" t="n">
        <v>10.55</v>
      </c>
      <c r="K88" s="18" t="inlineStr">
        <is>
          <t>Ferrisariato</t>
        </is>
      </c>
      <c r="L88" s="8">
        <f>F88*G88</f>
        <v/>
      </c>
      <c r="M88" s="145" t="inlineStr">
        <is>
          <t>AI-E20-TBL-MDF-03</t>
        </is>
      </c>
      <c r="N88" s="18" t="inlineStr">
        <is>
          <t>Arquitectura interior y mobiliario</t>
        </is>
      </c>
      <c r="O88" s="18" t="inlineStr">
        <is>
          <t>Estimado DION · criterio de mercado Guayaquil 2026 (no verificado en tienda)</t>
        </is>
      </c>
      <c r="P88" s="18" t="inlineStr">
        <is>
          <t>oct-2026 (est.)</t>
        </is>
      </c>
      <c r="Q88" s="18" t="n">
        <v>15</v>
      </c>
    </row>
    <row r="89">
      <c r="A89" s="117" t="n">
        <v>64</v>
      </c>
      <c r="B89" s="118" t="inlineStr">
        <is>
          <t xml:space="preserve">        Tablero MDF Crudo 5.5 mm 1.83x2.44 m</t>
        </is>
      </c>
      <c r="C89" s="119" t="inlineStr">
        <is>
          <t>Residencial / Comercial</t>
        </is>
      </c>
      <c r="D89" s="117" t="inlineStr">
        <is>
          <t>Tableros MDF</t>
        </is>
      </c>
      <c r="E89" s="117" t="inlineStr">
        <is>
          <t>U</t>
        </is>
      </c>
      <c r="F89" s="120" t="n">
        <v>4</v>
      </c>
      <c r="G89" s="121" t="n">
        <v>13</v>
      </c>
      <c r="H89" s="121" t="n">
        <v>13.39</v>
      </c>
      <c r="I89" s="117" t="inlineStr">
        <is>
          <t>Megametales</t>
        </is>
      </c>
      <c r="J89" s="121" t="n">
        <v>14.04</v>
      </c>
      <c r="K89" s="117" t="inlineStr">
        <is>
          <t>Kywi / Megakywi</t>
        </is>
      </c>
      <c r="L89" s="122">
        <f>F89*G89</f>
        <v/>
      </c>
      <c r="M89" s="158" t="inlineStr">
        <is>
          <t>AI-E20-TBL-MDF-5P5</t>
        </is>
      </c>
      <c r="N89" s="117" t="inlineStr">
        <is>
          <t>Arquitectura interior y mobiliario</t>
        </is>
      </c>
      <c r="O89" s="117" t="inlineStr">
        <is>
          <t>Estimado DION · criterio de mercado Guayaquil 2026 (no verificado en tienda)</t>
        </is>
      </c>
      <c r="P89" s="117" t="inlineStr">
        <is>
          <t>oct-2026 (est.)</t>
        </is>
      </c>
      <c r="Q89" s="117" t="n">
        <v>15</v>
      </c>
    </row>
    <row r="90">
      <c r="A90" s="18" t="n">
        <v>65</v>
      </c>
      <c r="B90" s="19" t="inlineStr">
        <is>
          <t xml:space="preserve">        Tablero MDF Crudo 9 mm 1.83x2.44 m</t>
        </is>
      </c>
      <c r="C90" s="20" t="inlineStr">
        <is>
          <t>Residencial / Comercial</t>
        </is>
      </c>
      <c r="D90" s="18" t="inlineStr">
        <is>
          <t>Tableros MDF</t>
        </is>
      </c>
      <c r="E90" s="18" t="inlineStr">
        <is>
          <t>U</t>
        </is>
      </c>
      <c r="F90" s="21" t="n">
        <v>4</v>
      </c>
      <c r="G90" s="22" t="n">
        <v>17</v>
      </c>
      <c r="H90" s="22" t="n">
        <v>17.68</v>
      </c>
      <c r="I90" s="18" t="inlineStr">
        <is>
          <t>Megametales</t>
        </is>
      </c>
      <c r="J90" s="22" t="n">
        <v>18.19</v>
      </c>
      <c r="K90" s="18" t="inlineStr">
        <is>
          <t>Ferrisariato</t>
        </is>
      </c>
      <c r="L90" s="8">
        <f>F90*G90</f>
        <v/>
      </c>
      <c r="M90" s="145" t="inlineStr">
        <is>
          <t>AI-E20-TBL-MDF-09</t>
        </is>
      </c>
      <c r="N90" s="18" t="inlineStr">
        <is>
          <t>Arquitectura interior y mobiliario</t>
        </is>
      </c>
      <c r="O90" s="18" t="inlineStr">
        <is>
          <t>Estimado DION · criterio de mercado Guayaquil 2026 (no verificado en tienda)</t>
        </is>
      </c>
      <c r="P90" s="18" t="inlineStr">
        <is>
          <t>oct-2026 (est.)</t>
        </is>
      </c>
      <c r="Q90" s="18" t="n">
        <v>15</v>
      </c>
    </row>
    <row r="91">
      <c r="A91" s="117" t="n">
        <v>66</v>
      </c>
      <c r="B91" s="118" t="inlineStr">
        <is>
          <t xml:space="preserve">        Tablero MDF Crudo 12 mm 1.83x2.44 m</t>
        </is>
      </c>
      <c r="C91" s="119" t="inlineStr">
        <is>
          <t>Residencial / Comercial</t>
        </is>
      </c>
      <c r="D91" s="117" t="inlineStr">
        <is>
          <t>Tableros MDF</t>
        </is>
      </c>
      <c r="E91" s="117" t="inlineStr">
        <is>
          <t>U</t>
        </is>
      </c>
      <c r="F91" s="120" t="n">
        <v>4</v>
      </c>
      <c r="G91" s="121" t="n">
        <v>20.5</v>
      </c>
      <c r="H91" s="121" t="n">
        <v>21.53</v>
      </c>
      <c r="I91" s="117" t="inlineStr">
        <is>
          <t>Megametales</t>
        </is>
      </c>
      <c r="J91" s="121" t="n">
        <v>22.55</v>
      </c>
      <c r="K91" s="117" t="inlineStr">
        <is>
          <t>Kywi / Megakywi</t>
        </is>
      </c>
      <c r="L91" s="122">
        <f>F91*G91</f>
        <v/>
      </c>
      <c r="M91" s="158" t="inlineStr">
        <is>
          <t>AI-E20-TBL-MDF-12</t>
        </is>
      </c>
      <c r="N91" s="117" t="inlineStr">
        <is>
          <t>Arquitectura interior y mobiliario</t>
        </is>
      </c>
      <c r="O91" s="117" t="inlineStr">
        <is>
          <t>Estimado DION · criterio de mercado Guayaquil 2026 (no verificado en tienda)</t>
        </is>
      </c>
      <c r="P91" s="117" t="inlineStr">
        <is>
          <t>oct-2026 (est.)</t>
        </is>
      </c>
      <c r="Q91" s="117" t="n">
        <v>15</v>
      </c>
    </row>
    <row r="92">
      <c r="A92" s="18" t="n">
        <v>67</v>
      </c>
      <c r="B92" s="19" t="inlineStr">
        <is>
          <t xml:space="preserve">        Tablero MDF Crudo 18 mm 1.83x2.44 m</t>
        </is>
      </c>
      <c r="C92" s="20" t="inlineStr">
        <is>
          <t>Residencial / Comercial</t>
        </is>
      </c>
      <c r="D92" s="18" t="inlineStr">
        <is>
          <t>Tableros MDF</t>
        </is>
      </c>
      <c r="E92" s="18" t="inlineStr">
        <is>
          <t>U</t>
        </is>
      </c>
      <c r="F92" s="21" t="n">
        <v>4</v>
      </c>
      <c r="G92" s="22" t="n">
        <v>28.5</v>
      </c>
      <c r="H92" s="22" t="n">
        <v>29.64</v>
      </c>
      <c r="I92" s="18" t="inlineStr">
        <is>
          <t>Megametales</t>
        </is>
      </c>
      <c r="J92" s="22" t="n">
        <v>30.78</v>
      </c>
      <c r="K92" s="18" t="inlineStr">
        <is>
          <t>Ferrisariato</t>
        </is>
      </c>
      <c r="L92" s="8">
        <f>F92*G92</f>
        <v/>
      </c>
      <c r="M92" s="145" t="inlineStr">
        <is>
          <t>AI-E20-TBL-MDF-18</t>
        </is>
      </c>
      <c r="N92" s="18" t="inlineStr">
        <is>
          <t>Arquitectura interior y mobiliario</t>
        </is>
      </c>
      <c r="O92" s="18" t="inlineStr">
        <is>
          <t>Estimado DION · criterio de mercado Guayaquil 2026 (no verificado en tienda)</t>
        </is>
      </c>
      <c r="P92" s="18" t="inlineStr">
        <is>
          <t>oct-2026 (est.)</t>
        </is>
      </c>
      <c r="Q92" s="18" t="n">
        <v>15</v>
      </c>
    </row>
    <row r="93">
      <c r="A93" s="117" t="n">
        <v>68</v>
      </c>
      <c r="B93" s="118" t="inlineStr">
        <is>
          <t xml:space="preserve">        Tablero MDF Crudo 25 mm 1.83x2.44 m</t>
        </is>
      </c>
      <c r="C93" s="119" t="inlineStr">
        <is>
          <t>Residencial / Comercial</t>
        </is>
      </c>
      <c r="D93" s="117" t="inlineStr">
        <is>
          <t>Tableros MDF</t>
        </is>
      </c>
      <c r="E93" s="117" t="inlineStr">
        <is>
          <t>U</t>
        </is>
      </c>
      <c r="F93" s="120" t="n">
        <v>4</v>
      </c>
      <c r="G93" s="121" t="n">
        <v>39</v>
      </c>
      <c r="H93" s="121" t="n">
        <v>40.95</v>
      </c>
      <c r="I93" s="117" t="inlineStr">
        <is>
          <t>Megametales</t>
        </is>
      </c>
      <c r="J93" s="121" t="n">
        <v>42.9</v>
      </c>
      <c r="K93" s="117" t="inlineStr">
        <is>
          <t>Kywi / Megakywi</t>
        </is>
      </c>
      <c r="L93" s="122">
        <f>F93*G93</f>
        <v/>
      </c>
      <c r="M93" s="158" t="inlineStr">
        <is>
          <t>AI-E20-TBL-MDF-25</t>
        </is>
      </c>
      <c r="N93" s="117" t="inlineStr">
        <is>
          <t>Arquitectura interior y mobiliario</t>
        </is>
      </c>
      <c r="O93" s="117" t="inlineStr">
        <is>
          <t>Estimado DION · criterio de mercado Guayaquil 2026 (no verificado en tienda)</t>
        </is>
      </c>
      <c r="P93" s="117" t="inlineStr">
        <is>
          <t>oct-2026 (est.)</t>
        </is>
      </c>
      <c r="Q93" s="117" t="n">
        <v>15</v>
      </c>
    </row>
    <row r="94">
      <c r="A94" s="18" t="n">
        <v>69</v>
      </c>
      <c r="B94" s="19" t="inlineStr">
        <is>
          <t xml:space="preserve">        Tablero MDF RH Hidrófugo 18 mm 1.83x2.44 m</t>
        </is>
      </c>
      <c r="C94" s="20" t="inlineStr">
        <is>
          <t>Residencial / Comercial</t>
        </is>
      </c>
      <c r="D94" s="18" t="inlineStr">
        <is>
          <t>Tableros MDF</t>
        </is>
      </c>
      <c r="E94" s="18" t="inlineStr">
        <is>
          <t>U</t>
        </is>
      </c>
      <c r="F94" s="21" t="n">
        <v>2</v>
      </c>
      <c r="G94" s="22" t="n">
        <v>38</v>
      </c>
      <c r="H94" s="22" t="n">
        <v>39.9</v>
      </c>
      <c r="I94" s="18" t="inlineStr">
        <is>
          <t>Megametales</t>
        </is>
      </c>
      <c r="J94" s="22" t="n">
        <v>41.42</v>
      </c>
      <c r="K94" s="18" t="inlineStr">
        <is>
          <t>Ferrisariato</t>
        </is>
      </c>
      <c r="L94" s="8">
        <f>F94*G94</f>
        <v/>
      </c>
      <c r="M94" s="145" t="inlineStr">
        <is>
          <t>AI-E20-TBL-MDF-18-RH</t>
        </is>
      </c>
      <c r="N94" s="18" t="inlineStr">
        <is>
          <t>Arquitectura interior y mobiliario</t>
        </is>
      </c>
      <c r="O94" s="18" t="inlineStr">
        <is>
          <t>Estimado DION · criterio de mercado Guayaquil 2026 (no verificado en tienda)</t>
        </is>
      </c>
      <c r="P94" s="18" t="inlineStr">
        <is>
          <t>oct-2026 (est.)</t>
        </is>
      </c>
      <c r="Q94" s="18" t="n">
        <v>15</v>
      </c>
    </row>
    <row r="95">
      <c r="A95" s="117" t="n">
        <v>70</v>
      </c>
      <c r="B95" s="118" t="inlineStr">
        <is>
          <t xml:space="preserve">        Tablero OSB 11 mm 1.22x2.44 m</t>
        </is>
      </c>
      <c r="C95" s="119" t="inlineStr">
        <is>
          <t>Residencial / Comercial</t>
        </is>
      </c>
      <c r="D95" s="117" t="inlineStr">
        <is>
          <t>Tableros OSB</t>
        </is>
      </c>
      <c r="E95" s="117" t="inlineStr">
        <is>
          <t>U</t>
        </is>
      </c>
      <c r="F95" s="120" t="n">
        <v>4</v>
      </c>
      <c r="G95" s="121" t="n">
        <v>21</v>
      </c>
      <c r="H95" s="121" t="n">
        <v>22.05</v>
      </c>
      <c r="I95" s="117" t="inlineStr">
        <is>
          <t>Megametales</t>
        </is>
      </c>
      <c r="J95" s="121" t="n">
        <v>23.31</v>
      </c>
      <c r="K95" s="117" t="inlineStr">
        <is>
          <t>Kywi / Megakywi</t>
        </is>
      </c>
      <c r="L95" s="122">
        <f>F95*G95</f>
        <v/>
      </c>
      <c r="M95" s="158" t="inlineStr">
        <is>
          <t>AI-E20-TBL-OSB-11</t>
        </is>
      </c>
      <c r="N95" s="117" t="inlineStr">
        <is>
          <t>Arquitectura interior y mobiliario</t>
        </is>
      </c>
      <c r="O95" s="117" t="inlineStr">
        <is>
          <t>Estimado DION · criterio de mercado Guayaquil 2026 (no verificado en tienda)</t>
        </is>
      </c>
      <c r="P95" s="117" t="inlineStr">
        <is>
          <t>oct-2026 (est.)</t>
        </is>
      </c>
      <c r="Q95" s="117" t="n">
        <v>10</v>
      </c>
    </row>
    <row r="96">
      <c r="A96" s="18" t="n">
        <v>71</v>
      </c>
      <c r="B96" s="19" t="inlineStr">
        <is>
          <t xml:space="preserve">        Tablero OSB 15 mm 1.22x2.44 m</t>
        </is>
      </c>
      <c r="C96" s="20" t="inlineStr">
        <is>
          <t>Residencial / Comercial</t>
        </is>
      </c>
      <c r="D96" s="18" t="inlineStr">
        <is>
          <t>Tableros OSB</t>
        </is>
      </c>
      <c r="E96" s="18" t="inlineStr">
        <is>
          <t>U</t>
        </is>
      </c>
      <c r="F96" s="21" t="n">
        <v>4</v>
      </c>
      <c r="G96" s="22" t="n">
        <v>27</v>
      </c>
      <c r="H96" s="22" t="n">
        <v>27.54</v>
      </c>
      <c r="I96" s="18" t="inlineStr">
        <is>
          <t>Megametales</t>
        </is>
      </c>
      <c r="J96" s="22" t="n">
        <v>29.43</v>
      </c>
      <c r="K96" s="18" t="inlineStr">
        <is>
          <t>Ferrisariato</t>
        </is>
      </c>
      <c r="L96" s="8">
        <f>F96*G96</f>
        <v/>
      </c>
      <c r="M96" s="145" t="inlineStr">
        <is>
          <t>AI-E20-TBL-OSB-15</t>
        </is>
      </c>
      <c r="N96" s="18" t="inlineStr">
        <is>
          <t>Arquitectura interior y mobiliario</t>
        </is>
      </c>
      <c r="O96" s="18" t="inlineStr">
        <is>
          <t>Estimado DION · criterio de mercado Guayaquil 2026 (no verificado en tienda)</t>
        </is>
      </c>
      <c r="P96" s="18" t="inlineStr">
        <is>
          <t>oct-2026 (est.)</t>
        </is>
      </c>
      <c r="Q96" s="18" t="n">
        <v>10</v>
      </c>
    </row>
    <row r="97">
      <c r="A97" s="117" t="n">
        <v>72</v>
      </c>
      <c r="B97" s="118" t="inlineStr">
        <is>
          <t xml:space="preserve">        Tablero Contrachapado Triplex 4 mm 1.22x2.44 m</t>
        </is>
      </c>
      <c r="C97" s="119" t="inlineStr">
        <is>
          <t>Residencial / Comercial</t>
        </is>
      </c>
      <c r="D97" s="117" t="inlineStr">
        <is>
          <t>Tableros Triplex</t>
        </is>
      </c>
      <c r="E97" s="117" t="inlineStr">
        <is>
          <t>U</t>
        </is>
      </c>
      <c r="F97" s="120" t="n">
        <v>4</v>
      </c>
      <c r="G97" s="121" t="n">
        <v>11.5</v>
      </c>
      <c r="H97" s="121" t="n">
        <v>11.96</v>
      </c>
      <c r="I97" s="117" t="inlineStr">
        <is>
          <t>Megametales</t>
        </is>
      </c>
      <c r="J97" s="121" t="n">
        <v>12.31</v>
      </c>
      <c r="K97" s="117" t="inlineStr">
        <is>
          <t>Kywi / Megakywi</t>
        </is>
      </c>
      <c r="L97" s="122">
        <f>F97*G97</f>
        <v/>
      </c>
      <c r="M97" s="158" t="inlineStr">
        <is>
          <t>AI-E20-TBL-TRI-04</t>
        </is>
      </c>
      <c r="N97" s="117" t="inlineStr">
        <is>
          <t>Arquitectura interior y mobiliario</t>
        </is>
      </c>
      <c r="O97" s="117" t="inlineStr">
        <is>
          <t>Estimado DION · criterio de mercado Guayaquil 2026 (no verificado en tienda)</t>
        </is>
      </c>
      <c r="P97" s="117" t="inlineStr">
        <is>
          <t>oct-2026 (est.)</t>
        </is>
      </c>
      <c r="Q97" s="117" t="n">
        <v>15</v>
      </c>
    </row>
    <row r="98">
      <c r="A98" s="18" t="n">
        <v>73</v>
      </c>
      <c r="B98" s="19" t="inlineStr">
        <is>
          <t xml:space="preserve">        Tablero Contrachapado Triplex 9 mm 1.22x2.44 m</t>
        </is>
      </c>
      <c r="C98" s="20" t="inlineStr">
        <is>
          <t>Residencial / Comercial</t>
        </is>
      </c>
      <c r="D98" s="18" t="inlineStr">
        <is>
          <t>Tableros Triplex</t>
        </is>
      </c>
      <c r="E98" s="18" t="inlineStr">
        <is>
          <t>U</t>
        </is>
      </c>
      <c r="F98" s="21" t="n">
        <v>4</v>
      </c>
      <c r="G98" s="22" t="n">
        <v>19</v>
      </c>
      <c r="H98" s="22" t="n">
        <v>19.57</v>
      </c>
      <c r="I98" s="18" t="inlineStr">
        <is>
          <t>Megametales</t>
        </is>
      </c>
      <c r="J98" s="22" t="n">
        <v>20.71</v>
      </c>
      <c r="K98" s="18" t="inlineStr">
        <is>
          <t>Ferrisariato</t>
        </is>
      </c>
      <c r="L98" s="8">
        <f>F98*G98</f>
        <v/>
      </c>
      <c r="M98" s="145" t="inlineStr">
        <is>
          <t>AI-E20-TBL-TRI-09</t>
        </is>
      </c>
      <c r="N98" s="18" t="inlineStr">
        <is>
          <t>Arquitectura interior y mobiliario</t>
        </is>
      </c>
      <c r="O98" s="18" t="inlineStr">
        <is>
          <t>Estimado DION · criterio de mercado Guayaquil 2026 (no verificado en tienda)</t>
        </is>
      </c>
      <c r="P98" s="18" t="inlineStr">
        <is>
          <t>oct-2026 (est.)</t>
        </is>
      </c>
      <c r="Q98" s="18" t="n">
        <v>15</v>
      </c>
    </row>
    <row r="99">
      <c r="A99" s="117" t="n">
        <v>74</v>
      </c>
      <c r="B99" s="118" t="inlineStr">
        <is>
          <t xml:space="preserve">        Tablero Contrachapado Triplex 12 mm 1.22x2.44 m</t>
        </is>
      </c>
      <c r="C99" s="119" t="inlineStr">
        <is>
          <t>Residencial / Comercial</t>
        </is>
      </c>
      <c r="D99" s="117" t="inlineStr">
        <is>
          <t>Tableros Triplex</t>
        </is>
      </c>
      <c r="E99" s="117" t="inlineStr">
        <is>
          <t>U</t>
        </is>
      </c>
      <c r="F99" s="120" t="n">
        <v>4</v>
      </c>
      <c r="G99" s="121" t="n">
        <v>25</v>
      </c>
      <c r="H99" s="121" t="n">
        <v>25.5</v>
      </c>
      <c r="I99" s="117" t="inlineStr">
        <is>
          <t>Megametales</t>
        </is>
      </c>
      <c r="J99" s="121" t="n">
        <v>27</v>
      </c>
      <c r="K99" s="117" t="inlineStr">
        <is>
          <t>Kywi / Megakywi</t>
        </is>
      </c>
      <c r="L99" s="122">
        <f>F99*G99</f>
        <v/>
      </c>
      <c r="M99" s="158" t="inlineStr">
        <is>
          <t>AI-E20-TBL-TRI-12</t>
        </is>
      </c>
      <c r="N99" s="117" t="inlineStr">
        <is>
          <t>Arquitectura interior y mobiliario</t>
        </is>
      </c>
      <c r="O99" s="117" t="inlineStr">
        <is>
          <t>Estimado DION · criterio de mercado Guayaquil 2026 (no verificado en tienda)</t>
        </is>
      </c>
      <c r="P99" s="117" t="inlineStr">
        <is>
          <t>oct-2026 (est.)</t>
        </is>
      </c>
      <c r="Q99" s="117" t="n">
        <v>15</v>
      </c>
    </row>
    <row r="100">
      <c r="A100" s="18" t="n">
        <v>75</v>
      </c>
      <c r="B100" s="19" t="inlineStr">
        <is>
          <t xml:space="preserve">        Tablero Contrachapado Triplex 18 mm 1.22x2.44 m</t>
        </is>
      </c>
      <c r="C100" s="20" t="inlineStr">
        <is>
          <t>Residencial / Comercial</t>
        </is>
      </c>
      <c r="D100" s="18" t="inlineStr">
        <is>
          <t>Tableros Triplex</t>
        </is>
      </c>
      <c r="E100" s="18" t="inlineStr">
        <is>
          <t>U</t>
        </is>
      </c>
      <c r="F100" s="21" t="n">
        <v>4</v>
      </c>
      <c r="G100" s="22" t="n">
        <v>38</v>
      </c>
      <c r="H100" s="22" t="n">
        <v>39.14</v>
      </c>
      <c r="I100" s="18" t="inlineStr">
        <is>
          <t>Megametales</t>
        </is>
      </c>
      <c r="J100" s="22" t="n">
        <v>42.18</v>
      </c>
      <c r="K100" s="18" t="inlineStr">
        <is>
          <t>Ferrisariato</t>
        </is>
      </c>
      <c r="L100" s="8">
        <f>F100*G100</f>
        <v/>
      </c>
      <c r="M100" s="145" t="inlineStr">
        <is>
          <t>AI-E20-TBL-TRI-18</t>
        </is>
      </c>
      <c r="N100" s="18" t="inlineStr">
        <is>
          <t>Arquitectura interior y mobiliario</t>
        </is>
      </c>
      <c r="O100" s="18" t="inlineStr">
        <is>
          <t>Estimado DION · criterio de mercado Guayaquil 2026 (no verificado en tienda)</t>
        </is>
      </c>
      <c r="P100" s="18" t="inlineStr">
        <is>
          <t>oct-2026 (est.)</t>
        </is>
      </c>
      <c r="Q100" s="18" t="n">
        <v>15</v>
      </c>
    </row>
    <row r="101">
      <c r="A101" s="117" t="n">
        <v>76</v>
      </c>
      <c r="B101" s="118" t="inlineStr">
        <is>
          <t xml:space="preserve">        Tablero Aglomerado / MDP Crudo 15 mm 2.15x2.44 m</t>
        </is>
      </c>
      <c r="C101" s="119" t="inlineStr">
        <is>
          <t>Residencial / Comercial</t>
        </is>
      </c>
      <c r="D101" s="117" t="inlineStr">
        <is>
          <t>Tableros Aglomerado</t>
        </is>
      </c>
      <c r="E101" s="117" t="inlineStr">
        <is>
          <t>U</t>
        </is>
      </c>
      <c r="F101" s="120" t="n">
        <v>4</v>
      </c>
      <c r="G101" s="121" t="n">
        <v>24</v>
      </c>
      <c r="H101" s="121" t="n">
        <v>24.72</v>
      </c>
      <c r="I101" s="117" t="inlineStr">
        <is>
          <t>Megametales</t>
        </is>
      </c>
      <c r="J101" s="121" t="n">
        <v>26.64</v>
      </c>
      <c r="K101" s="117" t="inlineStr">
        <is>
          <t>Kywi / Megakywi</t>
        </is>
      </c>
      <c r="L101" s="122">
        <f>F101*G101</f>
        <v/>
      </c>
      <c r="M101" s="158" t="inlineStr">
        <is>
          <t>AI-E20-TBL-AGL-15</t>
        </is>
      </c>
      <c r="N101" s="117" t="inlineStr">
        <is>
          <t>Arquitectura interior y mobiliario</t>
        </is>
      </c>
      <c r="O101" s="117" t="inlineStr">
        <is>
          <t>Estimado DION · criterio de mercado Guayaquil 2026 (no verificado en tienda)</t>
        </is>
      </c>
      <c r="P101" s="117" t="inlineStr">
        <is>
          <t>oct-2026 (est.)</t>
        </is>
      </c>
      <c r="Q101" s="117" t="n">
        <v>15</v>
      </c>
    </row>
    <row r="102">
      <c r="A102" s="18" t="n">
        <v>77</v>
      </c>
      <c r="B102" s="19" t="inlineStr">
        <is>
          <t xml:space="preserve">        Lámina HPL / Postformado para Mesón 3 m x 60 cm</t>
        </is>
      </c>
      <c r="C102" s="20" t="inlineStr">
        <is>
          <t>Residencial / Comercial</t>
        </is>
      </c>
      <c r="D102" s="18" t="inlineStr">
        <is>
          <t>Laminados HPL</t>
        </is>
      </c>
      <c r="E102" s="18" t="inlineStr">
        <is>
          <t>U</t>
        </is>
      </c>
      <c r="F102" s="21" t="n">
        <v>2</v>
      </c>
      <c r="G102" s="22" t="n">
        <v>48</v>
      </c>
      <c r="H102" s="22" t="n">
        <v>49.44</v>
      </c>
      <c r="I102" s="18" t="inlineStr">
        <is>
          <t>Megametales</t>
        </is>
      </c>
      <c r="J102" s="22" t="n">
        <v>53.28</v>
      </c>
      <c r="K102" s="18" t="inlineStr">
        <is>
          <t>Ferrisariato</t>
        </is>
      </c>
      <c r="L102" s="8">
        <f>F102*G102</f>
        <v/>
      </c>
      <c r="M102" s="145" t="inlineStr">
        <is>
          <t>AI-E20-TBL-HPL-POS</t>
        </is>
      </c>
      <c r="N102" s="18" t="inlineStr">
        <is>
          <t>Arquitectura interior y mobiliario</t>
        </is>
      </c>
      <c r="O102" s="18" t="inlineStr">
        <is>
          <t>Estimado DION · criterio de mercado Guayaquil 2026 (no verificado en tienda)</t>
        </is>
      </c>
      <c r="P102" s="18" t="inlineStr">
        <is>
          <t>oct-2026 (est.)</t>
        </is>
      </c>
      <c r="Q102" s="18" t="n">
        <v>10</v>
      </c>
    </row>
    <row r="103">
      <c r="A103" s="117" t="n">
        <v>78</v>
      </c>
      <c r="B103" s="118" t="inlineStr">
        <is>
          <t xml:space="preserve">        Madera Sólida Laurel Cepillada 2x10 cm x 2.4 m</t>
        </is>
      </c>
      <c r="C103" s="119" t="inlineStr">
        <is>
          <t>Residencial / Comercial</t>
        </is>
      </c>
      <c r="D103" s="117" t="inlineStr">
        <is>
          <t>Madera Sólida</t>
        </is>
      </c>
      <c r="E103" s="117" t="inlineStr">
        <is>
          <t>U</t>
        </is>
      </c>
      <c r="F103" s="120" t="n">
        <v>10</v>
      </c>
      <c r="G103" s="121" t="n">
        <v>6.5</v>
      </c>
      <c r="H103" s="121" t="n">
        <v>6.76</v>
      </c>
      <c r="I103" s="117" t="inlineStr">
        <is>
          <t>Megametales</t>
        </is>
      </c>
      <c r="J103" s="121" t="n">
        <v>7.22</v>
      </c>
      <c r="K103" s="117" t="inlineStr">
        <is>
          <t>Kywi / Megakywi</t>
        </is>
      </c>
      <c r="L103" s="122">
        <f>F103*G103</f>
        <v/>
      </c>
      <c r="M103" s="158" t="inlineStr">
        <is>
          <t>AI-E20-TBL-LAU-2X10</t>
        </is>
      </c>
      <c r="N103" s="117" t="inlineStr">
        <is>
          <t>Arquitectura interior y mobiliario</t>
        </is>
      </c>
      <c r="O103" s="117" t="inlineStr">
        <is>
          <t>Estimado DION · criterio de mercado Guayaquil 2026 (no verificado en tienda)</t>
        </is>
      </c>
      <c r="P103" s="117" t="inlineStr">
        <is>
          <t>oct-2026 (est.)</t>
        </is>
      </c>
      <c r="Q103" s="117" t="n">
        <v>15</v>
      </c>
    </row>
    <row r="104">
      <c r="A104" s="18" t="n">
        <v>79</v>
      </c>
      <c r="B104" s="19" t="inlineStr">
        <is>
          <t xml:space="preserve">        Chapa de Madera Natural (Enchape) m²</t>
        </is>
      </c>
      <c r="C104" s="20" t="inlineStr">
        <is>
          <t>Residencial / Comercial</t>
        </is>
      </c>
      <c r="D104" s="18" t="inlineStr">
        <is>
          <t>Chapas</t>
        </is>
      </c>
      <c r="E104" s="18" t="inlineStr">
        <is>
          <t>m2</t>
        </is>
      </c>
      <c r="F104" s="21" t="n">
        <v>10</v>
      </c>
      <c r="G104" s="22" t="n">
        <v>12</v>
      </c>
      <c r="H104" s="22" t="n">
        <v>12.48</v>
      </c>
      <c r="I104" s="18" t="inlineStr">
        <is>
          <t>Megametales</t>
        </is>
      </c>
      <c r="J104" s="22" t="n">
        <v>12.84</v>
      </c>
      <c r="K104" s="18" t="inlineStr">
        <is>
          <t>Ferrisariato</t>
        </is>
      </c>
      <c r="L104" s="8">
        <f>F104*G104</f>
        <v/>
      </c>
      <c r="M104" s="145" t="inlineStr">
        <is>
          <t>AI-E20-TBL-CHP-NAT</t>
        </is>
      </c>
      <c r="N104" s="18" t="inlineStr">
        <is>
          <t>Arquitectura interior y mobiliario</t>
        </is>
      </c>
      <c r="O104" s="18" t="inlineStr">
        <is>
          <t>Estimado DION · criterio de mercado Guayaquil 2026 (no verificado en tienda)</t>
        </is>
      </c>
      <c r="P104" s="18" t="inlineStr">
        <is>
          <t>oct-2026 (est.)</t>
        </is>
      </c>
      <c r="Q104" s="18" t="n">
        <v>15</v>
      </c>
    </row>
    <row r="105">
      <c r="A105" s="10" t="n"/>
      <c r="B105" s="147" t="inlineStr">
        <is>
          <t>TOTAL BASE DE DATOS EBANISTERÍA (ESTIMADO)</t>
        </is>
      </c>
      <c r="C105" s="148" t="n"/>
      <c r="D105" s="148" t="n"/>
      <c r="E105" s="148" t="n"/>
      <c r="F105" s="148" t="n"/>
      <c r="G105" s="148" t="n"/>
      <c r="H105" s="148" t="n"/>
      <c r="I105" s="148" t="n"/>
      <c r="J105" s="148" t="n"/>
      <c r="K105" s="148" t="n"/>
      <c r="L105" s="30">
        <f>SUM(L6:L104)</f>
        <v/>
      </c>
      <c r="M105" s="30" t="n"/>
      <c r="N105" s="30" t="n"/>
      <c r="O105" s="30" t="n"/>
      <c r="P105" s="30" t="n"/>
      <c r="Q105" s="30" t="n"/>
    </row>
  </sheetData>
  <mergeCells count="21">
    <mergeCell ref="A74:Q74"/>
    <mergeCell ref="A34:Q34"/>
    <mergeCell ref="A48:Q48"/>
    <mergeCell ref="A26:Q26"/>
    <mergeCell ref="A24:Q24"/>
    <mergeCell ref="B105:K105"/>
    <mergeCell ref="A76:Q76"/>
    <mergeCell ref="A33:Q33"/>
    <mergeCell ref="A11:Q11"/>
    <mergeCell ref="A47:Q47"/>
    <mergeCell ref="A23:Q23"/>
    <mergeCell ref="A32:Q32"/>
    <mergeCell ref="A8:Q8"/>
    <mergeCell ref="A6:Q6"/>
    <mergeCell ref="A22:Q22"/>
    <mergeCell ref="A75:Q75"/>
    <mergeCell ref="A53:Q53"/>
    <mergeCell ref="A7:Q7"/>
    <mergeCell ref="A81:Q81"/>
    <mergeCell ref="A37:Q37"/>
    <mergeCell ref="A46:Q46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81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8" customWidth="1" min="2" max="2"/>
    <col width="30" customWidth="1" min="3" max="3"/>
    <col width="32" customWidth="1" min="4" max="4"/>
    <col width="8" customWidth="1" min="5" max="5"/>
    <col width="10" customWidth="1" min="6" max="6"/>
    <col width="15" customWidth="1" min="7" max="7"/>
    <col width="16" customWidth="1" min="8" max="8"/>
    <col width="22" customWidth="1" min="9" max="9"/>
    <col width="16" customWidth="1" min="10" max="10"/>
    <col width="20" customWidth="1" min="11" max="11"/>
    <col width="16" customWidth="1" min="12" max="12"/>
    <col width="27" customWidth="1" min="13" max="13"/>
    <col width="30" customWidth="1" min="14" max="14"/>
    <col width="44" customWidth="1" min="15" max="15"/>
    <col width="15" customWidth="1" min="16" max="16"/>
    <col width="14" customWidth="1" min="17" max="17"/>
  </cols>
  <sheetData>
    <row r="1">
      <c r="A1" s="1" t="inlineStr">
        <is>
          <t>BASE DE DATOS COMPLETA DE CATALOGACIÓN: GYPSUM</t>
        </is>
      </c>
    </row>
    <row r="2">
      <c r="A2" s="2" t="inlineStr">
        <is>
          <t>Estructura Jerárquica Homogénea: Accesorios &gt; Tuberías &gt; Equipos &gt; Conexiones &gt; Equipos Especializados | Degradé por Niveles (Ecuador - USD)</t>
        </is>
      </c>
    </row>
    <row r="3">
      <c r="A3" s="13" t="inlineStr">
        <is>
          <t>« Volver al Índice General</t>
        </is>
      </c>
    </row>
    <row r="5" ht="30" customHeight="1">
      <c r="A5" s="4" t="inlineStr">
        <is>
          <t>Item</t>
        </is>
      </c>
      <c r="B5" s="4" t="inlineStr">
        <is>
          <t>Descripción de Accesorio / Ítem Especificado</t>
        </is>
      </c>
      <c r="C5" s="4" t="inlineStr">
        <is>
          <t>Clasificación / Ámbito de Uso
(Residencial/Comercial/Industrial)</t>
        </is>
      </c>
      <c r="D5" s="4" t="inlineStr">
        <is>
          <t>Tipo / Familia</t>
        </is>
      </c>
      <c r="E5" s="4" t="inlineStr">
        <is>
          <t>Unidad</t>
        </is>
      </c>
      <c r="F5" s="4" t="inlineStr">
        <is>
          <t>Cant.</t>
        </is>
      </c>
      <c r="G5" s="4" t="inlineStr">
        <is>
          <t>P. Ref. Est. ($)</t>
        </is>
      </c>
      <c r="H5" s="4" t="inlineStr">
        <is>
          <t>P. Unit. Local A ($)
(Megametales)</t>
        </is>
      </c>
      <c r="I5" s="4" t="inlineStr">
        <is>
          <t>Local A
Especificado</t>
        </is>
      </c>
      <c r="J5" s="4" t="inlineStr">
        <is>
          <t>P. Unit. Local B ($)
(Kywi/Ferrisariato)</t>
        </is>
      </c>
      <c r="K5" s="4" t="inlineStr">
        <is>
          <t>Local B
Especificado</t>
        </is>
      </c>
      <c r="L5" s="4" t="inlineStr">
        <is>
          <t>Subtotal Est. ($)</t>
        </is>
      </c>
      <c r="M5" s="4" t="inlineStr">
        <is>
          <t>Código DION</t>
        </is>
      </c>
      <c r="N5" s="4" t="inlineStr">
        <is>
          <t>Disciplina</t>
        </is>
      </c>
      <c r="O5" s="4" t="inlineStr">
        <is>
          <t>Fuente del precio</t>
        </is>
      </c>
      <c r="P5" s="4" t="inlineStr">
        <is>
          <t>Fecha precio</t>
        </is>
      </c>
      <c r="Q5" s="4" t="inlineStr">
        <is>
          <t>Rendimiento /
desperdicio %</t>
        </is>
      </c>
    </row>
    <row r="6">
      <c r="A6" s="123" t="inlineStr">
        <is>
          <t>ACCESORIOS</t>
        </is>
      </c>
      <c r="B6" s="143" t="n"/>
      <c r="C6" s="143" t="n"/>
      <c r="D6" s="143" t="n"/>
      <c r="E6" s="143" t="n"/>
      <c r="F6" s="143" t="n"/>
      <c r="G6" s="143" t="n"/>
      <c r="H6" s="143" t="n"/>
      <c r="I6" s="143" t="n"/>
      <c r="J6" s="143" t="n"/>
      <c r="K6" s="143" t="n"/>
      <c r="L6" s="143" t="n"/>
      <c r="M6" s="143" t="n"/>
      <c r="N6" s="143" t="n"/>
      <c r="O6" s="143" t="n"/>
      <c r="P6" s="143" t="n"/>
      <c r="Q6" s="144" t="n"/>
    </row>
    <row r="7">
      <c r="A7" s="124" t="inlineStr">
        <is>
          <t xml:space="preserve">  ► CATEGORÍA: TORNILLOS DRYWALL, CINTAS Y MASILLAS</t>
        </is>
      </c>
      <c r="B7" s="143" t="n"/>
      <c r="C7" s="143" t="n"/>
      <c r="D7" s="143" t="n"/>
      <c r="E7" s="143" t="n"/>
      <c r="F7" s="143" t="n"/>
      <c r="G7" s="143" t="n"/>
      <c r="H7" s="143" t="n"/>
      <c r="I7" s="143" t="n"/>
      <c r="J7" s="143" t="n"/>
      <c r="K7" s="143" t="n"/>
      <c r="L7" s="143" t="n"/>
      <c r="M7" s="143" t="n"/>
      <c r="N7" s="143" t="n"/>
      <c r="O7" s="143" t="n"/>
      <c r="P7" s="143" t="n"/>
      <c r="Q7" s="144" t="n"/>
    </row>
    <row r="8">
      <c r="A8" s="125" t="inlineStr">
        <is>
          <t xml:space="preserve">      • Subcategoría Especificada: Fijación y Enlucido Drywall</t>
        </is>
      </c>
      <c r="B8" s="143" t="n"/>
      <c r="C8" s="143" t="n"/>
      <c r="D8" s="143" t="n"/>
      <c r="E8" s="143" t="n"/>
      <c r="F8" s="143" t="n"/>
      <c r="G8" s="143" t="n"/>
      <c r="H8" s="143" t="n"/>
      <c r="I8" s="143" t="n"/>
      <c r="J8" s="143" t="n"/>
      <c r="K8" s="143" t="n"/>
      <c r="L8" s="143" t="n"/>
      <c r="M8" s="143" t="n"/>
      <c r="N8" s="143" t="n"/>
      <c r="O8" s="143" t="n"/>
      <c r="P8" s="143" t="n"/>
      <c r="Q8" s="144" t="n"/>
    </row>
    <row r="9">
      <c r="A9" s="18" t="n">
        <v>1</v>
      </c>
      <c r="B9" s="19" t="inlineStr">
        <is>
          <t xml:space="preserve">        Tornillo Drywall Punta Broca 6x1" (Caja 1000u)</t>
        </is>
      </c>
      <c r="C9" s="20" t="inlineStr">
        <is>
          <t>Residencial / Comercial</t>
        </is>
      </c>
      <c r="D9" s="18" t="inlineStr">
        <is>
          <t>Tornillos Drywall</t>
        </is>
      </c>
      <c r="E9" s="18" t="inlineStr">
        <is>
          <t>Caja 1000u</t>
        </is>
      </c>
      <c r="F9" s="21" t="n">
        <v>4</v>
      </c>
      <c r="G9" s="22" t="n">
        <v>6.5</v>
      </c>
      <c r="H9" s="22" t="n">
        <v>6.7</v>
      </c>
      <c r="I9" s="18" t="inlineStr">
        <is>
          <t>Megametales</t>
        </is>
      </c>
      <c r="J9" s="22" t="n">
        <v>7.2</v>
      </c>
      <c r="K9" s="18" t="inlineStr">
        <is>
          <t>Ferrisariato</t>
        </is>
      </c>
      <c r="L9" s="8">
        <f>F9*G9</f>
        <v/>
      </c>
      <c r="M9" s="145" t="inlineStr">
        <is>
          <t>A-C10-GYM-TOR-6X1</t>
        </is>
      </c>
      <c r="N9" s="18" t="inlineStr">
        <is>
          <t>Arquitectura</t>
        </is>
      </c>
      <c r="O9" s="18" t="inlineStr">
        <is>
          <t>Estimado · base original del usuario (sin cotización verificada)</t>
        </is>
      </c>
      <c r="P9" s="18" t="inlineStr">
        <is>
          <t>oct-2026 (est.)</t>
        </is>
      </c>
      <c r="Q9" s="18" t="n">
        <v>5</v>
      </c>
    </row>
    <row r="10">
      <c r="A10" s="126" t="n">
        <v>2</v>
      </c>
      <c r="B10" s="127" t="inlineStr">
        <is>
          <t xml:space="preserve">        Cinta de Papel Microperforada para Juntas 75m</t>
        </is>
      </c>
      <c r="C10" s="128" t="inlineStr">
        <is>
          <t>Residencial / Comercial</t>
        </is>
      </c>
      <c r="D10" s="126" t="inlineStr">
        <is>
          <t>Cintas Juntas</t>
        </is>
      </c>
      <c r="E10" s="126" t="inlineStr">
        <is>
          <t>Rollo</t>
        </is>
      </c>
      <c r="F10" s="129" t="n">
        <v>3</v>
      </c>
      <c r="G10" s="130" t="n">
        <v>4.5</v>
      </c>
      <c r="H10" s="130" t="n">
        <v>4.7</v>
      </c>
      <c r="I10" s="126" t="inlineStr">
        <is>
          <t>Megametales</t>
        </is>
      </c>
      <c r="J10" s="130" t="n">
        <v>5.1</v>
      </c>
      <c r="K10" s="126" t="inlineStr">
        <is>
          <t>Ferrisariato</t>
        </is>
      </c>
      <c r="L10" s="131">
        <f>F10*G10</f>
        <v/>
      </c>
      <c r="M10" s="159" t="inlineStr">
        <is>
          <t>A-C10-GYM-CIN-PAP</t>
        </is>
      </c>
      <c r="N10" s="126" t="inlineStr">
        <is>
          <t>Arquitectura</t>
        </is>
      </c>
      <c r="O10" s="126" t="inlineStr">
        <is>
          <t>Estimado · base original del usuario (sin cotización verificada)</t>
        </is>
      </c>
      <c r="P10" s="126" t="inlineStr">
        <is>
          <t>oct-2026 (est.)</t>
        </is>
      </c>
      <c r="Q10" s="126" t="n">
        <v>10</v>
      </c>
    </row>
    <row r="11">
      <c r="A11" s="18" t="n">
        <v>3</v>
      </c>
      <c r="B11" s="19" t="inlineStr">
        <is>
          <t xml:space="preserve">        Masilla Lista para Usar Drywall Gyplac (Balde 20kg)</t>
        </is>
      </c>
      <c r="C11" s="20" t="inlineStr">
        <is>
          <t>Residencial / Comercial</t>
        </is>
      </c>
      <c r="D11" s="18" t="inlineStr">
        <is>
          <t>Masillas Gypsum</t>
        </is>
      </c>
      <c r="E11" s="18" t="inlineStr">
        <is>
          <t>Balde 20kg</t>
        </is>
      </c>
      <c r="F11" s="21" t="n">
        <v>2</v>
      </c>
      <c r="G11" s="22" t="n">
        <v>14.5</v>
      </c>
      <c r="H11" s="22" t="n">
        <v>15</v>
      </c>
      <c r="I11" s="18" t="inlineStr">
        <is>
          <t>Megametales</t>
        </is>
      </c>
      <c r="J11" s="22" t="n">
        <v>16.2</v>
      </c>
      <c r="K11" s="18" t="inlineStr">
        <is>
          <t>Kywi / Megakywi</t>
        </is>
      </c>
      <c r="L11" s="8">
        <f>F11*G11</f>
        <v/>
      </c>
      <c r="M11" s="145" t="inlineStr">
        <is>
          <t>A-C10-GYM-MAS-20KG</t>
        </is>
      </c>
      <c r="N11" s="18" t="inlineStr">
        <is>
          <t>Arquitectura</t>
        </is>
      </c>
      <c r="O11" s="18" t="inlineStr">
        <is>
          <t>Estimado · base original del usuario (sin cotización verificada)</t>
        </is>
      </c>
      <c r="P11" s="18" t="inlineStr">
        <is>
          <t>oct-2026 (est.)</t>
        </is>
      </c>
      <c r="Q11" s="18" t="n">
        <v>10</v>
      </c>
    </row>
    <row r="12">
      <c r="A12" s="125" t="inlineStr">
        <is>
          <t xml:space="preserve">      • Subcategoría Especificada: Tornillería, Cintas, Masillas y Fijaciones</t>
        </is>
      </c>
      <c r="B12" s="143" t="n"/>
      <c r="C12" s="143" t="n"/>
      <c r="D12" s="143" t="n"/>
      <c r="E12" s="143" t="n"/>
      <c r="F12" s="143" t="n"/>
      <c r="G12" s="143" t="n"/>
      <c r="H12" s="143" t="n"/>
      <c r="I12" s="143" t="n"/>
      <c r="J12" s="143" t="n"/>
      <c r="K12" s="143" t="n"/>
      <c r="L12" s="143" t="n"/>
      <c r="M12" s="143" t="n"/>
      <c r="N12" s="143" t="n"/>
      <c r="O12" s="143" t="n"/>
      <c r="P12" s="143" t="n"/>
      <c r="Q12" s="144" t="n"/>
    </row>
    <row r="13">
      <c r="A13" s="126" t="n">
        <v>4</v>
      </c>
      <c r="B13" s="127" t="inlineStr">
        <is>
          <t xml:space="preserve">        Tornillo Drywall Punta Fina 6x1¼" (Caja 1000u)</t>
        </is>
      </c>
      <c r="C13" s="128" t="inlineStr">
        <is>
          <t>Residencial / Comercial</t>
        </is>
      </c>
      <c r="D13" s="126" t="inlineStr">
        <is>
          <t>Tornillos Drywall</t>
        </is>
      </c>
      <c r="E13" s="126" t="inlineStr">
        <is>
          <t>Caja 1000u</t>
        </is>
      </c>
      <c r="F13" s="129" t="n">
        <v>2</v>
      </c>
      <c r="G13" s="130" t="n">
        <v>7.5</v>
      </c>
      <c r="H13" s="130" t="n">
        <v>7.88</v>
      </c>
      <c r="I13" s="126" t="inlineStr">
        <is>
          <t>Megametales</t>
        </is>
      </c>
      <c r="J13" s="130" t="n">
        <v>8.25</v>
      </c>
      <c r="K13" s="126" t="inlineStr">
        <is>
          <t>Kywi / Megakywi</t>
        </is>
      </c>
      <c r="L13" s="131">
        <f>F13*G13</f>
        <v/>
      </c>
      <c r="M13" s="159" t="inlineStr">
        <is>
          <t>A-C10-GYM-TOR-6X114</t>
        </is>
      </c>
      <c r="N13" s="126" t="inlineStr">
        <is>
          <t>Arquitectura</t>
        </is>
      </c>
      <c r="O13" s="126" t="inlineStr">
        <is>
          <t>Estimado DION · criterio de mercado Guayaquil 2026 (no verificado en tienda)</t>
        </is>
      </c>
      <c r="P13" s="126" t="inlineStr">
        <is>
          <t>oct-2026 (est.)</t>
        </is>
      </c>
      <c r="Q13" s="126" t="n">
        <v>5</v>
      </c>
    </row>
    <row r="14">
      <c r="A14" s="18" t="n">
        <v>5</v>
      </c>
      <c r="B14" s="19" t="inlineStr">
        <is>
          <t xml:space="preserve">        Tornillo Estructura Framer 8x½" Punta Broca (Caja 1000u)</t>
        </is>
      </c>
      <c r="C14" s="20" t="inlineStr">
        <is>
          <t>Residencial / Comercial</t>
        </is>
      </c>
      <c r="D14" s="18" t="inlineStr">
        <is>
          <t>Tornillos Framer</t>
        </is>
      </c>
      <c r="E14" s="18" t="inlineStr">
        <is>
          <t>Caja 1000u</t>
        </is>
      </c>
      <c r="F14" s="21" t="n">
        <v>2</v>
      </c>
      <c r="G14" s="22" t="n">
        <v>8.5</v>
      </c>
      <c r="H14" s="22" t="n">
        <v>8.84</v>
      </c>
      <c r="I14" s="18" t="inlineStr">
        <is>
          <t>Megametales</t>
        </is>
      </c>
      <c r="J14" s="22" t="n">
        <v>9.44</v>
      </c>
      <c r="K14" s="18" t="inlineStr">
        <is>
          <t>Ferrisariato</t>
        </is>
      </c>
      <c r="L14" s="8">
        <f>F14*G14</f>
        <v/>
      </c>
      <c r="M14" s="145" t="inlineStr">
        <is>
          <t>A-C10-GYM-TOR-8X12</t>
        </is>
      </c>
      <c r="N14" s="18" t="inlineStr">
        <is>
          <t>Arquitectura</t>
        </is>
      </c>
      <c r="O14" s="18" t="inlineStr">
        <is>
          <t>Estimado DION · criterio de mercado Guayaquil 2026 (no verificado en tienda)</t>
        </is>
      </c>
      <c r="P14" s="18" t="inlineStr">
        <is>
          <t>oct-2026 (est.)</t>
        </is>
      </c>
      <c r="Q14" s="18" t="n">
        <v>5</v>
      </c>
    </row>
    <row r="15">
      <c r="A15" s="126" t="n">
        <v>6</v>
      </c>
      <c r="B15" s="127" t="inlineStr">
        <is>
          <t xml:space="preserve">        Clavo Fulminante + Fulminante para Canal a Losa (Ciento)</t>
        </is>
      </c>
      <c r="C15" s="128" t="inlineStr">
        <is>
          <t>Residencial / Comercial</t>
        </is>
      </c>
      <c r="D15" s="126" t="inlineStr">
        <is>
          <t>Fijaciones</t>
        </is>
      </c>
      <c r="E15" s="126" t="inlineStr">
        <is>
          <t>Ciento</t>
        </is>
      </c>
      <c r="F15" s="129" t="n">
        <v>2</v>
      </c>
      <c r="G15" s="130" t="n">
        <v>18</v>
      </c>
      <c r="H15" s="130" t="n">
        <v>18.36</v>
      </c>
      <c r="I15" s="126" t="inlineStr">
        <is>
          <t>Megametales</t>
        </is>
      </c>
      <c r="J15" s="130" t="n">
        <v>19.62</v>
      </c>
      <c r="K15" s="126" t="inlineStr">
        <is>
          <t>Kywi / Megakywi</t>
        </is>
      </c>
      <c r="L15" s="131">
        <f>F15*G15</f>
        <v/>
      </c>
      <c r="M15" s="159" t="inlineStr">
        <is>
          <t>A-C10-GYM-CLF</t>
        </is>
      </c>
      <c r="N15" s="126" t="inlineStr">
        <is>
          <t>Arquitectura</t>
        </is>
      </c>
      <c r="O15" s="126" t="inlineStr">
        <is>
          <t>Estimado DION · criterio de mercado Guayaquil 2026 (no verificado en tienda)</t>
        </is>
      </c>
      <c r="P15" s="126" t="inlineStr">
        <is>
          <t>oct-2026 (est.)</t>
        </is>
      </c>
      <c r="Q15" s="126" t="n">
        <v>5</v>
      </c>
    </row>
    <row r="16">
      <c r="A16" s="18" t="n">
        <v>7</v>
      </c>
      <c r="B16" s="19" t="inlineStr">
        <is>
          <t xml:space="preserve">        Taco Fisher #6 + Tornillo para Canal (Ciento)</t>
        </is>
      </c>
      <c r="C16" s="20" t="inlineStr">
        <is>
          <t>Residencial / Comercial</t>
        </is>
      </c>
      <c r="D16" s="18" t="inlineStr">
        <is>
          <t>Fijaciones</t>
        </is>
      </c>
      <c r="E16" s="18" t="inlineStr">
        <is>
          <t>Ciento</t>
        </is>
      </c>
      <c r="F16" s="21" t="n">
        <v>2</v>
      </c>
      <c r="G16" s="22" t="n">
        <v>2.8</v>
      </c>
      <c r="H16" s="22" t="n">
        <v>2.88</v>
      </c>
      <c r="I16" s="18" t="inlineStr">
        <is>
          <t>Megametales</t>
        </is>
      </c>
      <c r="J16" s="22" t="n">
        <v>3.08</v>
      </c>
      <c r="K16" s="18" t="inlineStr">
        <is>
          <t>Ferrisariato</t>
        </is>
      </c>
      <c r="L16" s="8">
        <f>F16*G16</f>
        <v/>
      </c>
      <c r="M16" s="145" t="inlineStr">
        <is>
          <t>A-C10-GYM-TAC-F6</t>
        </is>
      </c>
      <c r="N16" s="18" t="inlineStr">
        <is>
          <t>Arquitectura</t>
        </is>
      </c>
      <c r="O16" s="18" t="inlineStr">
        <is>
          <t>Estimado DION · criterio de mercado Guayaquil 2026 (no verificado en tienda)</t>
        </is>
      </c>
      <c r="P16" s="18" t="inlineStr">
        <is>
          <t>oct-2026 (est.)</t>
        </is>
      </c>
      <c r="Q16" s="18" t="n">
        <v>5</v>
      </c>
    </row>
    <row r="17">
      <c r="A17" s="126" t="n">
        <v>8</v>
      </c>
      <c r="B17" s="127" t="inlineStr">
        <is>
          <t xml:space="preserve">        Cinta Malla Fibra de Vidrio Autoadhesiva 50 mm x 90 m</t>
        </is>
      </c>
      <c r="C17" s="128" t="inlineStr">
        <is>
          <t>Residencial / Comercial</t>
        </is>
      </c>
      <c r="D17" s="126" t="inlineStr">
        <is>
          <t>Cintas Juntas</t>
        </is>
      </c>
      <c r="E17" s="126" t="inlineStr">
        <is>
          <t>Rollo</t>
        </is>
      </c>
      <c r="F17" s="129" t="n">
        <v>2</v>
      </c>
      <c r="G17" s="130" t="n">
        <v>5.5</v>
      </c>
      <c r="H17" s="130" t="n">
        <v>5.72</v>
      </c>
      <c r="I17" s="126" t="inlineStr">
        <is>
          <t>Megametales</t>
        </is>
      </c>
      <c r="J17" s="130" t="n">
        <v>5.94</v>
      </c>
      <c r="K17" s="126" t="inlineStr">
        <is>
          <t>Kywi / Megakywi</t>
        </is>
      </c>
      <c r="L17" s="131">
        <f>F17*G17</f>
        <v/>
      </c>
      <c r="M17" s="159" t="inlineStr">
        <is>
          <t>A-C10-GYM-CIN-MAL</t>
        </is>
      </c>
      <c r="N17" s="126" t="inlineStr">
        <is>
          <t>Arquitectura</t>
        </is>
      </c>
      <c r="O17" s="126" t="inlineStr">
        <is>
          <t>Estimado DION · criterio de mercado Guayaquil 2026 (no verificado en tienda)</t>
        </is>
      </c>
      <c r="P17" s="126" t="inlineStr">
        <is>
          <t>oct-2026 (est.)</t>
        </is>
      </c>
      <c r="Q17" s="126" t="n">
        <v>10</v>
      </c>
    </row>
    <row r="18">
      <c r="A18" s="18" t="n">
        <v>9</v>
      </c>
      <c r="B18" s="19" t="inlineStr">
        <is>
          <t xml:space="preserve">        Masilla en Polvo Secado Rápido (Saco 20 kg)</t>
        </is>
      </c>
      <c r="C18" s="20" t="inlineStr">
        <is>
          <t>Residencial / Comercial</t>
        </is>
      </c>
      <c r="D18" s="18" t="inlineStr">
        <is>
          <t>Masillas Gypsum</t>
        </is>
      </c>
      <c r="E18" s="18" t="inlineStr">
        <is>
          <t>Saco</t>
        </is>
      </c>
      <c r="F18" s="21" t="n">
        <v>2</v>
      </c>
      <c r="G18" s="22" t="n">
        <v>13</v>
      </c>
      <c r="H18" s="22" t="n">
        <v>13.39</v>
      </c>
      <c r="I18" s="18" t="inlineStr">
        <is>
          <t>Megametales</t>
        </is>
      </c>
      <c r="J18" s="22" t="n">
        <v>14.17</v>
      </c>
      <c r="K18" s="18" t="inlineStr">
        <is>
          <t>Ferrisariato</t>
        </is>
      </c>
      <c r="L18" s="8">
        <f>F18*G18</f>
        <v/>
      </c>
      <c r="M18" s="145" t="inlineStr">
        <is>
          <t>A-C10-GYM-MAS-POL</t>
        </is>
      </c>
      <c r="N18" s="18" t="inlineStr">
        <is>
          <t>Arquitectura</t>
        </is>
      </c>
      <c r="O18" s="18" t="inlineStr">
        <is>
          <t>Estimado DION · criterio de mercado Guayaquil 2026 (no verificado en tienda)</t>
        </is>
      </c>
      <c r="P18" s="18" t="inlineStr">
        <is>
          <t>oct-2026 (est.)</t>
        </is>
      </c>
      <c r="Q18" s="18" t="n">
        <v>10</v>
      </c>
    </row>
    <row r="19">
      <c r="A19" s="126" t="n">
        <v>10</v>
      </c>
      <c r="B19" s="127" t="inlineStr">
        <is>
          <t xml:space="preserve">        Masilla Lista Exterior / Fibrocemento (Balde 20 kg)</t>
        </is>
      </c>
      <c r="C19" s="128" t="inlineStr">
        <is>
          <t>Residencial / Comercial</t>
        </is>
      </c>
      <c r="D19" s="126" t="inlineStr">
        <is>
          <t>Masillas Gypsum</t>
        </is>
      </c>
      <c r="E19" s="126" t="inlineStr">
        <is>
          <t>Balde 20kg</t>
        </is>
      </c>
      <c r="F19" s="129" t="n">
        <v>1</v>
      </c>
      <c r="G19" s="130" t="n">
        <v>22</v>
      </c>
      <c r="H19" s="130" t="n">
        <v>22.88</v>
      </c>
      <c r="I19" s="126" t="inlineStr">
        <is>
          <t>Megametales</t>
        </is>
      </c>
      <c r="J19" s="130" t="n">
        <v>23.98</v>
      </c>
      <c r="K19" s="126" t="inlineStr">
        <is>
          <t>Kywi / Megakywi</t>
        </is>
      </c>
      <c r="L19" s="131">
        <f>F19*G19</f>
        <v/>
      </c>
      <c r="M19" s="159" t="inlineStr">
        <is>
          <t>A-C10-GYM-MAS-EXT</t>
        </is>
      </c>
      <c r="N19" s="126" t="inlineStr">
        <is>
          <t>Arquitectura</t>
        </is>
      </c>
      <c r="O19" s="126" t="inlineStr">
        <is>
          <t>Estimado DION · criterio de mercado Guayaquil 2026 (no verificado en tienda)</t>
        </is>
      </c>
      <c r="P19" s="126" t="inlineStr">
        <is>
          <t>oct-2026 (est.)</t>
        </is>
      </c>
      <c r="Q19" s="126" t="n">
        <v>10</v>
      </c>
    </row>
    <row r="20">
      <c r="A20" s="18" t="n">
        <v>11</v>
      </c>
      <c r="B20" s="19" t="inlineStr">
        <is>
          <t xml:space="preserve">        Lana de Vidrio Acústica 2" (Rollo 18 m²)</t>
        </is>
      </c>
      <c r="C20" s="20" t="inlineStr">
        <is>
          <t>Residencial / Comercial</t>
        </is>
      </c>
      <c r="D20" s="18" t="inlineStr">
        <is>
          <t>Aislamiento Acústico</t>
        </is>
      </c>
      <c r="E20" s="18" t="inlineStr">
        <is>
          <t>Rollo</t>
        </is>
      </c>
      <c r="F20" s="21" t="n">
        <v>2</v>
      </c>
      <c r="G20" s="22" t="n">
        <v>48</v>
      </c>
      <c r="H20" s="22" t="n">
        <v>48.96</v>
      </c>
      <c r="I20" s="18" t="inlineStr">
        <is>
          <t>Megametales</t>
        </is>
      </c>
      <c r="J20" s="22" t="n">
        <v>53.28</v>
      </c>
      <c r="K20" s="18" t="inlineStr">
        <is>
          <t>Ferrisariato</t>
        </is>
      </c>
      <c r="L20" s="8">
        <f>F20*G20</f>
        <v/>
      </c>
      <c r="M20" s="145" t="inlineStr">
        <is>
          <t>A-C10-GYM-LAN-050</t>
        </is>
      </c>
      <c r="N20" s="18" t="inlineStr">
        <is>
          <t>Arquitectura</t>
        </is>
      </c>
      <c r="O20" s="18" t="inlineStr">
        <is>
          <t>Estimado DION · criterio de mercado Guayaquil 2026 (no verificado en tienda)</t>
        </is>
      </c>
      <c r="P20" s="18" t="inlineStr">
        <is>
          <t>oct-2026 (est.)</t>
        </is>
      </c>
      <c r="Q20" s="18" t="n">
        <v>5</v>
      </c>
    </row>
    <row r="21">
      <c r="A21" s="126" t="n">
        <v>12</v>
      </c>
      <c r="B21" s="127" t="inlineStr">
        <is>
          <t xml:space="preserve">        Banda Acústica Autoadhesiva para Canal 60 mm (30 m)</t>
        </is>
      </c>
      <c r="C21" s="128" t="inlineStr">
        <is>
          <t>Comercial</t>
        </is>
      </c>
      <c r="D21" s="126" t="inlineStr">
        <is>
          <t>Bandas Acústicas</t>
        </is>
      </c>
      <c r="E21" s="126" t="inlineStr">
        <is>
          <t>Rollo</t>
        </is>
      </c>
      <c r="F21" s="129" t="n">
        <v>1</v>
      </c>
      <c r="G21" s="130" t="n">
        <v>14</v>
      </c>
      <c r="H21" s="130" t="n">
        <v>14.42</v>
      </c>
      <c r="I21" s="126" t="inlineStr">
        <is>
          <t>Megametales</t>
        </is>
      </c>
      <c r="J21" s="130" t="n">
        <v>15.54</v>
      </c>
      <c r="K21" s="126" t="inlineStr">
        <is>
          <t>Kywi / Megakywi</t>
        </is>
      </c>
      <c r="L21" s="131">
        <f>F21*G21</f>
        <v/>
      </c>
      <c r="M21" s="159" t="inlineStr">
        <is>
          <t>A-C10-GYM-BAN-ACU</t>
        </is>
      </c>
      <c r="N21" s="126" t="inlineStr">
        <is>
          <t>Arquitectura</t>
        </is>
      </c>
      <c r="O21" s="126" t="inlineStr">
        <is>
          <t>Estimado DION · criterio de mercado Guayaquil 2026 (no verificado en tienda)</t>
        </is>
      </c>
      <c r="P21" s="126" t="inlineStr">
        <is>
          <t>oct-2026 (est.)</t>
        </is>
      </c>
      <c r="Q21" s="126" t="n">
        <v>5</v>
      </c>
    </row>
    <row r="22">
      <c r="A22" s="123" t="inlineStr">
        <is>
          <t>TUBERÍAS</t>
        </is>
      </c>
      <c r="B22" s="143" t="n"/>
      <c r="C22" s="143" t="n"/>
      <c r="D22" s="143" t="n"/>
      <c r="E22" s="143" t="n"/>
      <c r="F22" s="143" t="n"/>
      <c r="G22" s="143" t="n"/>
      <c r="H22" s="143" t="n"/>
      <c r="I22" s="143" t="n"/>
      <c r="J22" s="143" t="n"/>
      <c r="K22" s="143" t="n"/>
      <c r="L22" s="143" t="n"/>
      <c r="M22" s="143" t="n"/>
      <c r="N22" s="143" t="n"/>
      <c r="O22" s="143" t="n"/>
      <c r="P22" s="143" t="n"/>
      <c r="Q22" s="144" t="n"/>
    </row>
    <row r="23">
      <c r="A23" s="124" t="inlineStr">
        <is>
          <t xml:space="preserve">  ► CATEGORÍA: PERFILERÍA OMEGA Y CANALES GYPSUM</t>
        </is>
      </c>
      <c r="B23" s="143" t="n"/>
      <c r="C23" s="143" t="n"/>
      <c r="D23" s="143" t="n"/>
      <c r="E23" s="143" t="n"/>
      <c r="F23" s="143" t="n"/>
      <c r="G23" s="143" t="n"/>
      <c r="H23" s="143" t="n"/>
      <c r="I23" s="143" t="n"/>
      <c r="J23" s="143" t="n"/>
      <c r="K23" s="143" t="n"/>
      <c r="L23" s="143" t="n"/>
      <c r="M23" s="143" t="n"/>
      <c r="N23" s="143" t="n"/>
      <c r="O23" s="143" t="n"/>
      <c r="P23" s="143" t="n"/>
      <c r="Q23" s="144" t="n"/>
    </row>
    <row r="24">
      <c r="A24" s="125" t="inlineStr">
        <is>
          <t xml:space="preserve">      • Subcategoría Especificada: Perfiles de Chapa</t>
        </is>
      </c>
      <c r="B24" s="143" t="n"/>
      <c r="C24" s="143" t="n"/>
      <c r="D24" s="143" t="n"/>
      <c r="E24" s="143" t="n"/>
      <c r="F24" s="143" t="n"/>
      <c r="G24" s="143" t="n"/>
      <c r="H24" s="143" t="n"/>
      <c r="I24" s="143" t="n"/>
      <c r="J24" s="143" t="n"/>
      <c r="K24" s="143" t="n"/>
      <c r="L24" s="143" t="n"/>
      <c r="M24" s="143" t="n"/>
      <c r="N24" s="143" t="n"/>
      <c r="O24" s="143" t="n"/>
      <c r="P24" s="143" t="n"/>
      <c r="Q24" s="144" t="n"/>
    </row>
    <row r="25">
      <c r="A25" s="18" t="n">
        <v>13</v>
      </c>
      <c r="B25" s="19" t="inlineStr">
        <is>
          <t xml:space="preserve">        Perfil Omega Galvanizado 0.45mm (2.44m)</t>
        </is>
      </c>
      <c r="C25" s="20" t="inlineStr">
        <is>
          <t>Residencial / Comercial</t>
        </is>
      </c>
      <c r="D25" s="18" t="inlineStr">
        <is>
          <t>Perfiles Omega</t>
        </is>
      </c>
      <c r="E25" s="18" t="inlineStr">
        <is>
          <t>U</t>
        </is>
      </c>
      <c r="F25" s="21" t="n">
        <v>30</v>
      </c>
      <c r="G25" s="22" t="n">
        <v>1.8</v>
      </c>
      <c r="H25" s="22" t="n">
        <v>1.88</v>
      </c>
      <c r="I25" s="18" t="inlineStr">
        <is>
          <t>Megametales</t>
        </is>
      </c>
      <c r="J25" s="22" t="n">
        <v>2.05</v>
      </c>
      <c r="K25" s="18" t="inlineStr">
        <is>
          <t>Ferrisariato</t>
        </is>
      </c>
      <c r="L25" s="8">
        <f>F25*G25</f>
        <v/>
      </c>
      <c r="M25" s="145" t="inlineStr">
        <is>
          <t>A-C10-GYM-OMG-0P45</t>
        </is>
      </c>
      <c r="N25" s="18" t="inlineStr">
        <is>
          <t>Arquitectura</t>
        </is>
      </c>
      <c r="O25" s="18" t="inlineStr">
        <is>
          <t>Estimado · base original del usuario (sin cotización verificada)</t>
        </is>
      </c>
      <c r="P25" s="18" t="inlineStr">
        <is>
          <t>oct-2026 (est.)</t>
        </is>
      </c>
      <c r="Q25" s="18" t="n">
        <v>5</v>
      </c>
    </row>
    <row r="26">
      <c r="A26" s="125" t="inlineStr">
        <is>
          <t xml:space="preserve">      • Subcategoría Especificada: Perfiles de Cielo Raso</t>
        </is>
      </c>
      <c r="B26" s="143" t="n"/>
      <c r="C26" s="143" t="n"/>
      <c r="D26" s="143" t="n"/>
      <c r="E26" s="143" t="n"/>
      <c r="F26" s="143" t="n"/>
      <c r="G26" s="143" t="n"/>
      <c r="H26" s="143" t="n"/>
      <c r="I26" s="143" t="n"/>
      <c r="J26" s="143" t="n"/>
      <c r="K26" s="143" t="n"/>
      <c r="L26" s="143" t="n"/>
      <c r="M26" s="143" t="n"/>
      <c r="N26" s="143" t="n"/>
      <c r="O26" s="143" t="n"/>
      <c r="P26" s="143" t="n"/>
      <c r="Q26" s="144" t="n"/>
    </row>
    <row r="27">
      <c r="A27" s="126" t="n">
        <v>14</v>
      </c>
      <c r="B27" s="127" t="inlineStr">
        <is>
          <t xml:space="preserve">        Perfil Omega Galvanizado 0.50 mm (3 m)</t>
        </is>
      </c>
      <c r="C27" s="128" t="inlineStr">
        <is>
          <t>Residencial / Comercial</t>
        </is>
      </c>
      <c r="D27" s="126" t="inlineStr">
        <is>
          <t>Perfiles Omega</t>
        </is>
      </c>
      <c r="E27" s="126" t="inlineStr">
        <is>
          <t>U</t>
        </is>
      </c>
      <c r="F27" s="129" t="n">
        <v>20</v>
      </c>
      <c r="G27" s="130" t="n">
        <v>2.3</v>
      </c>
      <c r="H27" s="130" t="n">
        <v>2.42</v>
      </c>
      <c r="I27" s="126" t="inlineStr">
        <is>
          <t>Megametales</t>
        </is>
      </c>
      <c r="J27" s="130" t="n">
        <v>2.48</v>
      </c>
      <c r="K27" s="126" t="inlineStr">
        <is>
          <t>Kywi / Megakywi</t>
        </is>
      </c>
      <c r="L27" s="131">
        <f>F27*G27</f>
        <v/>
      </c>
      <c r="M27" s="159" t="inlineStr">
        <is>
          <t>A-C10-GYM-OMG-0P50</t>
        </is>
      </c>
      <c r="N27" s="126" t="inlineStr">
        <is>
          <t>Arquitectura</t>
        </is>
      </c>
      <c r="O27" s="126" t="inlineStr">
        <is>
          <t>Estimado DION · criterio de mercado Guayaquil 2026 (no verificado en tienda)</t>
        </is>
      </c>
      <c r="P27" s="126" t="inlineStr">
        <is>
          <t>oct-2026 (est.)</t>
        </is>
      </c>
      <c r="Q27" s="126" t="n">
        <v>5</v>
      </c>
    </row>
    <row r="28">
      <c r="A28" s="18" t="n">
        <v>15</v>
      </c>
      <c r="B28" s="19" t="inlineStr">
        <is>
          <t xml:space="preserve">        Ángulo Perimetral Galvanizado 25x25 mm (3 m)</t>
        </is>
      </c>
      <c r="C28" s="20" t="inlineStr">
        <is>
          <t>Residencial / Comercial</t>
        </is>
      </c>
      <c r="D28" s="18" t="inlineStr">
        <is>
          <t>Ángulos Cielo</t>
        </is>
      </c>
      <c r="E28" s="18" t="inlineStr">
        <is>
          <t>U</t>
        </is>
      </c>
      <c r="F28" s="21" t="n">
        <v>20</v>
      </c>
      <c r="G28" s="22" t="n">
        <v>1.45</v>
      </c>
      <c r="H28" s="22" t="n">
        <v>1.51</v>
      </c>
      <c r="I28" s="18" t="inlineStr">
        <is>
          <t>Megametales</t>
        </is>
      </c>
      <c r="J28" s="22" t="n">
        <v>1.58</v>
      </c>
      <c r="K28" s="18" t="inlineStr">
        <is>
          <t>Ferrisariato</t>
        </is>
      </c>
      <c r="L28" s="8">
        <f>F28*G28</f>
        <v/>
      </c>
      <c r="M28" s="145" t="inlineStr">
        <is>
          <t>A-C10-GYM-ANG-025</t>
        </is>
      </c>
      <c r="N28" s="18" t="inlineStr">
        <is>
          <t>Arquitectura</t>
        </is>
      </c>
      <c r="O28" s="18" t="inlineStr">
        <is>
          <t>Estimado DION · criterio de mercado Guayaquil 2026 (no verificado en tienda)</t>
        </is>
      </c>
      <c r="P28" s="18" t="inlineStr">
        <is>
          <t>oct-2026 (est.)</t>
        </is>
      </c>
      <c r="Q28" s="18" t="n">
        <v>5</v>
      </c>
    </row>
    <row r="29">
      <c r="A29" s="126" t="n">
        <v>16</v>
      </c>
      <c r="B29" s="127" t="inlineStr">
        <is>
          <t xml:space="preserve">        Canal Principal Cielo Suspendido (Carrying) 38 mm (3.66 m)</t>
        </is>
      </c>
      <c r="C29" s="128" t="inlineStr">
        <is>
          <t>Comercial</t>
        </is>
      </c>
      <c r="D29" s="126" t="inlineStr">
        <is>
          <t>Canales Cielo</t>
        </is>
      </c>
      <c r="E29" s="126" t="inlineStr">
        <is>
          <t>U</t>
        </is>
      </c>
      <c r="F29" s="129" t="n">
        <v>10</v>
      </c>
      <c r="G29" s="130" t="n">
        <v>3.1</v>
      </c>
      <c r="H29" s="130" t="n">
        <v>3.22</v>
      </c>
      <c r="I29" s="126" t="inlineStr">
        <is>
          <t>Megametales</t>
        </is>
      </c>
      <c r="J29" s="130" t="n">
        <v>3.38</v>
      </c>
      <c r="K29" s="126" t="inlineStr">
        <is>
          <t>Kywi / Megakywi</t>
        </is>
      </c>
      <c r="L29" s="131">
        <f>F29*G29</f>
        <v/>
      </c>
      <c r="M29" s="159" t="inlineStr">
        <is>
          <t>A-C10-GYM-CCA-038</t>
        </is>
      </c>
      <c r="N29" s="126" t="inlineStr">
        <is>
          <t>Arquitectura</t>
        </is>
      </c>
      <c r="O29" s="126" t="inlineStr">
        <is>
          <t>Estimado DION · criterio de mercado Guayaquil 2026 (no verificado en tienda)</t>
        </is>
      </c>
      <c r="P29" s="126" t="inlineStr">
        <is>
          <t>oct-2026 (est.)</t>
        </is>
      </c>
      <c r="Q29" s="126" t="n">
        <v>5</v>
      </c>
    </row>
    <row r="30">
      <c r="A30" s="18" t="n">
        <v>17</v>
      </c>
      <c r="B30" s="19" t="inlineStr">
        <is>
          <t xml:space="preserve">        Colgante Alambre Galvanizado #12 con Gancho (m)</t>
        </is>
      </c>
      <c r="C30" s="20" t="inlineStr">
        <is>
          <t>Residencial / Comercial</t>
        </is>
      </c>
      <c r="D30" s="18" t="inlineStr">
        <is>
          <t>Colgantes</t>
        </is>
      </c>
      <c r="E30" s="18" t="inlineStr">
        <is>
          <t>m</t>
        </is>
      </c>
      <c r="F30" s="21" t="n">
        <v>50</v>
      </c>
      <c r="G30" s="22" t="n">
        <v>0.25</v>
      </c>
      <c r="H30" s="22" t="n">
        <v>0.26</v>
      </c>
      <c r="I30" s="18" t="inlineStr">
        <is>
          <t>Megametales</t>
        </is>
      </c>
      <c r="J30" s="22" t="n">
        <v>0.27</v>
      </c>
      <c r="K30" s="18" t="inlineStr">
        <is>
          <t>Ferrisariato</t>
        </is>
      </c>
      <c r="L30" s="8">
        <f>F30*G30</f>
        <v/>
      </c>
      <c r="M30" s="145" t="inlineStr">
        <is>
          <t>A-C10-GYM-COL-12</t>
        </is>
      </c>
      <c r="N30" s="18" t="inlineStr">
        <is>
          <t>Arquitectura</t>
        </is>
      </c>
      <c r="O30" s="18" t="inlineStr">
        <is>
          <t>Estimado DION · criterio de mercado Guayaquil 2026 (no verificado en tienda)</t>
        </is>
      </c>
      <c r="P30" s="18" t="inlineStr">
        <is>
          <t>oct-2026 (est.)</t>
        </is>
      </c>
      <c r="Q30" s="18" t="n">
        <v>5</v>
      </c>
    </row>
    <row r="31">
      <c r="A31" s="126" t="n">
        <v>18</v>
      </c>
      <c r="B31" s="127" t="inlineStr">
        <is>
          <t xml:space="preserve">        Perfilería T Cielo Modular Principal 3.66 m (Fibra Mineral)</t>
        </is>
      </c>
      <c r="C31" s="128" t="inlineStr">
        <is>
          <t>Comercial / Oficinas</t>
        </is>
      </c>
      <c r="D31" s="126" t="inlineStr">
        <is>
          <t>Perfilería T</t>
        </is>
      </c>
      <c r="E31" s="126" t="inlineStr">
        <is>
          <t>U</t>
        </is>
      </c>
      <c r="F31" s="129" t="n">
        <v>20</v>
      </c>
      <c r="G31" s="130" t="n">
        <v>3.8</v>
      </c>
      <c r="H31" s="130" t="n">
        <v>3.91</v>
      </c>
      <c r="I31" s="126" t="inlineStr">
        <is>
          <t>Megametales</t>
        </is>
      </c>
      <c r="J31" s="130" t="n">
        <v>4.22</v>
      </c>
      <c r="K31" s="126" t="inlineStr">
        <is>
          <t>Kywi / Megakywi</t>
        </is>
      </c>
      <c r="L31" s="131">
        <f>F31*G31</f>
        <v/>
      </c>
      <c r="M31" s="159" t="inlineStr">
        <is>
          <t>A-C10-GYM-PTE-366</t>
        </is>
      </c>
      <c r="N31" s="126" t="inlineStr">
        <is>
          <t>Arquitectura</t>
        </is>
      </c>
      <c r="O31" s="126" t="inlineStr">
        <is>
          <t>Estimado DION · criterio de mercado Guayaquil 2026 (no verificado en tienda)</t>
        </is>
      </c>
      <c r="P31" s="126" t="inlineStr">
        <is>
          <t>oct-2026 (est.)</t>
        </is>
      </c>
      <c r="Q31" s="126" t="n">
        <v>5</v>
      </c>
    </row>
    <row r="32">
      <c r="A32" s="18" t="n">
        <v>19</v>
      </c>
      <c r="B32" s="19" t="inlineStr">
        <is>
          <t xml:space="preserve">        Perfilería T Secundaria 1.22 m</t>
        </is>
      </c>
      <c r="C32" s="20" t="inlineStr">
        <is>
          <t>Comercial / Oficinas</t>
        </is>
      </c>
      <c r="D32" s="18" t="inlineStr">
        <is>
          <t>Perfilería T</t>
        </is>
      </c>
      <c r="E32" s="18" t="inlineStr">
        <is>
          <t>U</t>
        </is>
      </c>
      <c r="F32" s="21" t="n">
        <v>40</v>
      </c>
      <c r="G32" s="22" t="n">
        <v>1.3</v>
      </c>
      <c r="H32" s="22" t="n">
        <v>1.33</v>
      </c>
      <c r="I32" s="18" t="inlineStr">
        <is>
          <t>Megametales</t>
        </is>
      </c>
      <c r="J32" s="22" t="n">
        <v>1.44</v>
      </c>
      <c r="K32" s="18" t="inlineStr">
        <is>
          <t>Ferrisariato</t>
        </is>
      </c>
      <c r="L32" s="8">
        <f>F32*G32</f>
        <v/>
      </c>
      <c r="M32" s="145" t="inlineStr">
        <is>
          <t>A-C10-GYM-PTE-122</t>
        </is>
      </c>
      <c r="N32" s="18" t="inlineStr">
        <is>
          <t>Arquitectura</t>
        </is>
      </c>
      <c r="O32" s="18" t="inlineStr">
        <is>
          <t>Estimado DION · criterio de mercado Guayaquil 2026 (no verificado en tienda)</t>
        </is>
      </c>
      <c r="P32" s="18" t="inlineStr">
        <is>
          <t>oct-2026 (est.)</t>
        </is>
      </c>
      <c r="Q32" s="18" t="n">
        <v>5</v>
      </c>
    </row>
    <row r="33">
      <c r="A33" s="126" t="n">
        <v>20</v>
      </c>
      <c r="B33" s="127" t="inlineStr">
        <is>
          <t xml:space="preserve">        Perfilería T Secundaria 0.61 m</t>
        </is>
      </c>
      <c r="C33" s="128" t="inlineStr">
        <is>
          <t>Comercial / Oficinas</t>
        </is>
      </c>
      <c r="D33" s="126" t="inlineStr">
        <is>
          <t>Perfilería T</t>
        </is>
      </c>
      <c r="E33" s="126" t="inlineStr">
        <is>
          <t>U</t>
        </is>
      </c>
      <c r="F33" s="129" t="n">
        <v>40</v>
      </c>
      <c r="G33" s="130" t="n">
        <v>0.68</v>
      </c>
      <c r="H33" s="130" t="n">
        <v>0.71</v>
      </c>
      <c r="I33" s="126" t="inlineStr">
        <is>
          <t>Megametales</t>
        </is>
      </c>
      <c r="J33" s="130" t="n">
        <v>0.75</v>
      </c>
      <c r="K33" s="126" t="inlineStr">
        <is>
          <t>Kywi / Megakywi</t>
        </is>
      </c>
      <c r="L33" s="131">
        <f>F33*G33</f>
        <v/>
      </c>
      <c r="M33" s="159" t="inlineStr">
        <is>
          <t>A-C10-GYM-PTE-061</t>
        </is>
      </c>
      <c r="N33" s="126" t="inlineStr">
        <is>
          <t>Arquitectura</t>
        </is>
      </c>
      <c r="O33" s="126" t="inlineStr">
        <is>
          <t>Estimado DION · criterio de mercado Guayaquil 2026 (no verificado en tienda)</t>
        </is>
      </c>
      <c r="P33" s="126" t="inlineStr">
        <is>
          <t>oct-2026 (est.)</t>
        </is>
      </c>
      <c r="Q33" s="126" t="n">
        <v>5</v>
      </c>
    </row>
    <row r="34">
      <c r="A34" s="123" t="inlineStr">
        <is>
          <t>EQUIPOS</t>
        </is>
      </c>
      <c r="B34" s="143" t="n"/>
      <c r="C34" s="143" t="n"/>
      <c r="D34" s="143" t="n"/>
      <c r="E34" s="143" t="n"/>
      <c r="F34" s="143" t="n"/>
      <c r="G34" s="143" t="n"/>
      <c r="H34" s="143" t="n"/>
      <c r="I34" s="143" t="n"/>
      <c r="J34" s="143" t="n"/>
      <c r="K34" s="143" t="n"/>
      <c r="L34" s="143" t="n"/>
      <c r="M34" s="143" t="n"/>
      <c r="N34" s="143" t="n"/>
      <c r="O34" s="143" t="n"/>
      <c r="P34" s="143" t="n"/>
      <c r="Q34" s="144" t="n"/>
    </row>
    <row r="35">
      <c r="A35" s="124" t="inlineStr">
        <is>
          <t xml:space="preserve">  ► CATEGORÍA: ATORNILLADORAS, LIJADORAS DE PARED Y LÁSER</t>
        </is>
      </c>
      <c r="B35" s="143" t="n"/>
      <c r="C35" s="143" t="n"/>
      <c r="D35" s="143" t="n"/>
      <c r="E35" s="143" t="n"/>
      <c r="F35" s="143" t="n"/>
      <c r="G35" s="143" t="n"/>
      <c r="H35" s="143" t="n"/>
      <c r="I35" s="143" t="n"/>
      <c r="J35" s="143" t="n"/>
      <c r="K35" s="143" t="n"/>
      <c r="L35" s="143" t="n"/>
      <c r="M35" s="143" t="n"/>
      <c r="N35" s="143" t="n"/>
      <c r="O35" s="143" t="n"/>
      <c r="P35" s="143" t="n"/>
      <c r="Q35" s="144" t="n"/>
    </row>
    <row r="36">
      <c r="A36" s="125" t="inlineStr">
        <is>
          <t xml:space="preserve">      • Subcategoría Especificada: Herramientas Instalación Drywall</t>
        </is>
      </c>
      <c r="B36" s="143" t="n"/>
      <c r="C36" s="143" t="n"/>
      <c r="D36" s="143" t="n"/>
      <c r="E36" s="143" t="n"/>
      <c r="F36" s="143" t="n"/>
      <c r="G36" s="143" t="n"/>
      <c r="H36" s="143" t="n"/>
      <c r="I36" s="143" t="n"/>
      <c r="J36" s="143" t="n"/>
      <c r="K36" s="143" t="n"/>
      <c r="L36" s="143" t="n"/>
      <c r="M36" s="143" t="n"/>
      <c r="N36" s="143" t="n"/>
      <c r="O36" s="143" t="n"/>
      <c r="P36" s="143" t="n"/>
      <c r="Q36" s="144" t="n"/>
    </row>
    <row r="37">
      <c r="A37" s="18" t="n">
        <v>21</v>
      </c>
      <c r="B37" s="19" t="inlineStr">
        <is>
          <t xml:space="preserve">        Atornilladora Batería Drywall 18V Carga Cinta</t>
        </is>
      </c>
      <c r="C37" s="20" t="inlineStr">
        <is>
          <t>Comercial / Taller</t>
        </is>
      </c>
      <c r="D37" s="18" t="inlineStr">
        <is>
          <t>Atornilladoras</t>
        </is>
      </c>
      <c r="E37" s="18" t="inlineStr">
        <is>
          <t>U</t>
        </is>
      </c>
      <c r="F37" s="21" t="n">
        <v>1</v>
      </c>
      <c r="G37" s="22" t="n">
        <v>185</v>
      </c>
      <c r="H37" s="22" t="n">
        <v>192</v>
      </c>
      <c r="I37" s="18" t="inlineStr">
        <is>
          <t>Megametales</t>
        </is>
      </c>
      <c r="J37" s="22" t="n">
        <v>205</v>
      </c>
      <c r="K37" s="18" t="inlineStr">
        <is>
          <t>Kywi / Megakywi</t>
        </is>
      </c>
      <c r="L37" s="8">
        <f>F37*G37</f>
        <v/>
      </c>
      <c r="M37" s="145" t="inlineStr">
        <is>
          <t>Z-Z10-EQH-ATO-DRY</t>
        </is>
      </c>
      <c r="N37" s="18" t="inlineStr">
        <is>
          <t>General / coordinación multidisciplinar</t>
        </is>
      </c>
      <c r="O37" s="18" t="inlineStr">
        <is>
          <t>Estimado · base original del usuario (sin cotización verificada)</t>
        </is>
      </c>
      <c r="P37" s="18" t="inlineStr">
        <is>
          <t>oct-2026 (est.)</t>
        </is>
      </c>
      <c r="Q37" s="18" t="n"/>
    </row>
    <row r="38">
      <c r="A38" s="126" t="n">
        <v>22</v>
      </c>
      <c r="B38" s="127" t="inlineStr">
        <is>
          <t xml:space="preserve">        Lijadora de Pared Tipo Jirafa con Aspiradora</t>
        </is>
      </c>
      <c r="C38" s="128" t="inlineStr">
        <is>
          <t>Comercial / Taller</t>
        </is>
      </c>
      <c r="D38" s="126" t="inlineStr">
        <is>
          <t>Lijadoras Jirafa</t>
        </is>
      </c>
      <c r="E38" s="126" t="inlineStr">
        <is>
          <t>U</t>
        </is>
      </c>
      <c r="F38" s="129" t="n">
        <v>1</v>
      </c>
      <c r="G38" s="130" t="n">
        <v>280</v>
      </c>
      <c r="H38" s="130" t="n">
        <v>290</v>
      </c>
      <c r="I38" s="126" t="inlineStr">
        <is>
          <t>Megametales</t>
        </is>
      </c>
      <c r="J38" s="130" t="n">
        <v>310</v>
      </c>
      <c r="K38" s="126" t="inlineStr">
        <is>
          <t>Ferrisariato</t>
        </is>
      </c>
      <c r="L38" s="131">
        <f>F38*G38</f>
        <v/>
      </c>
      <c r="M38" s="159" t="inlineStr">
        <is>
          <t>Z-Z10-EQH-LIJ-JIR</t>
        </is>
      </c>
      <c r="N38" s="126" t="inlineStr">
        <is>
          <t>General / coordinación multidisciplinar</t>
        </is>
      </c>
      <c r="O38" s="126" t="inlineStr">
        <is>
          <t>Estimado · base original del usuario (sin cotización verificada)</t>
        </is>
      </c>
      <c r="P38" s="126" t="inlineStr">
        <is>
          <t>oct-2026 (est.)</t>
        </is>
      </c>
      <c r="Q38" s="126" t="n"/>
    </row>
    <row r="39">
      <c r="A39" s="125" t="inlineStr">
        <is>
          <t xml:space="preserve">      • Subcategoría Especificada: Herramienta Drywall</t>
        </is>
      </c>
      <c r="B39" s="143" t="n"/>
      <c r="C39" s="143" t="n"/>
      <c r="D39" s="143" t="n"/>
      <c r="E39" s="143" t="n"/>
      <c r="F39" s="143" t="n"/>
      <c r="G39" s="143" t="n"/>
      <c r="H39" s="143" t="n"/>
      <c r="I39" s="143" t="n"/>
      <c r="J39" s="143" t="n"/>
      <c r="K39" s="143" t="n"/>
      <c r="L39" s="143" t="n"/>
      <c r="M39" s="143" t="n"/>
      <c r="N39" s="143" t="n"/>
      <c r="O39" s="143" t="n"/>
      <c r="P39" s="143" t="n"/>
      <c r="Q39" s="144" t="n"/>
    </row>
    <row r="40">
      <c r="A40" s="18" t="n">
        <v>23</v>
      </c>
      <c r="B40" s="19" t="inlineStr">
        <is>
          <t xml:space="preserve">        Nivel Láser Autonivelante 360° Verde</t>
        </is>
      </c>
      <c r="C40" s="20" t="inlineStr">
        <is>
          <t>Residencial / Comercial</t>
        </is>
      </c>
      <c r="D40" s="18" t="inlineStr">
        <is>
          <t>Niveles Láser</t>
        </is>
      </c>
      <c r="E40" s="18" t="inlineStr">
        <is>
          <t>U</t>
        </is>
      </c>
      <c r="F40" s="21" t="n">
        <v>1</v>
      </c>
      <c r="G40" s="22" t="n">
        <v>240</v>
      </c>
      <c r="H40" s="22" t="n">
        <v>247.2</v>
      </c>
      <c r="I40" s="18" t="inlineStr">
        <is>
          <t>Megametales</t>
        </is>
      </c>
      <c r="J40" s="22" t="n">
        <v>266.4</v>
      </c>
      <c r="K40" s="18" t="inlineStr">
        <is>
          <t>Ferrisariato</t>
        </is>
      </c>
      <c r="L40" s="8">
        <f>F40*G40</f>
        <v/>
      </c>
      <c r="M40" s="145" t="inlineStr">
        <is>
          <t>Z-Z10-EQH-LAS-360</t>
        </is>
      </c>
      <c r="N40" s="18" t="inlineStr">
        <is>
          <t>General / coordinación multidisciplinar</t>
        </is>
      </c>
      <c r="O40" s="18" t="inlineStr">
        <is>
          <t>Estimado DION · criterio de mercado Guayaquil 2026 (no verificado en tienda)</t>
        </is>
      </c>
      <c r="P40" s="18" t="inlineStr">
        <is>
          <t>oct-2026 (est.)</t>
        </is>
      </c>
      <c r="Q40" s="18" t="n"/>
    </row>
    <row r="41">
      <c r="A41" s="126" t="n">
        <v>24</v>
      </c>
      <c r="B41" s="127" t="inlineStr">
        <is>
          <t xml:space="preserve">        Tijera / Cortadora de Perfil Drywall</t>
        </is>
      </c>
      <c r="C41" s="128" t="inlineStr">
        <is>
          <t>Residencial / Comercial</t>
        </is>
      </c>
      <c r="D41" s="126" t="inlineStr">
        <is>
          <t>Herramienta Manual</t>
        </is>
      </c>
      <c r="E41" s="126" t="inlineStr">
        <is>
          <t>U</t>
        </is>
      </c>
      <c r="F41" s="129" t="n">
        <v>1</v>
      </c>
      <c r="G41" s="130" t="n">
        <v>28</v>
      </c>
      <c r="H41" s="130" t="n">
        <v>28.56</v>
      </c>
      <c r="I41" s="126" t="inlineStr">
        <is>
          <t>Megametales</t>
        </is>
      </c>
      <c r="J41" s="130" t="n">
        <v>29.96</v>
      </c>
      <c r="K41" s="126" t="inlineStr">
        <is>
          <t>Kywi / Megakywi</t>
        </is>
      </c>
      <c r="L41" s="131">
        <f>F41*G41</f>
        <v/>
      </c>
      <c r="M41" s="159" t="inlineStr">
        <is>
          <t>Z-Z10-EQH-TIJ-PER</t>
        </is>
      </c>
      <c r="N41" s="126" t="inlineStr">
        <is>
          <t>General / coordinación multidisciplinar</t>
        </is>
      </c>
      <c r="O41" s="126" t="inlineStr">
        <is>
          <t>Estimado DION · criterio de mercado Guayaquil 2026 (no verificado en tienda)</t>
        </is>
      </c>
      <c r="P41" s="126" t="inlineStr">
        <is>
          <t>oct-2026 (est.)</t>
        </is>
      </c>
      <c r="Q41" s="126" t="n"/>
    </row>
    <row r="42">
      <c r="A42" s="18" t="n">
        <v>25</v>
      </c>
      <c r="B42" s="19" t="inlineStr">
        <is>
          <t xml:space="preserve">        Kit de Espátulas y Llanas para Masillado</t>
        </is>
      </c>
      <c r="C42" s="20" t="inlineStr">
        <is>
          <t>Residencial / Comercial</t>
        </is>
      </c>
      <c r="D42" s="18" t="inlineStr">
        <is>
          <t>Herramienta Manual</t>
        </is>
      </c>
      <c r="E42" s="18" t="inlineStr">
        <is>
          <t>Juego</t>
        </is>
      </c>
      <c r="F42" s="21" t="n">
        <v>1</v>
      </c>
      <c r="G42" s="22" t="n">
        <v>35</v>
      </c>
      <c r="H42" s="22" t="n">
        <v>35.7</v>
      </c>
      <c r="I42" s="18" t="inlineStr">
        <is>
          <t>Megametales</t>
        </is>
      </c>
      <c r="J42" s="22" t="n">
        <v>38.15</v>
      </c>
      <c r="K42" s="18" t="inlineStr">
        <is>
          <t>Ferrisariato</t>
        </is>
      </c>
      <c r="L42" s="8">
        <f>F42*G42</f>
        <v/>
      </c>
      <c r="M42" s="145" t="inlineStr">
        <is>
          <t>Z-Z10-EQH-KIT-MAS</t>
        </is>
      </c>
      <c r="N42" s="18" t="inlineStr">
        <is>
          <t>General / coordinación multidisciplinar</t>
        </is>
      </c>
      <c r="O42" s="18" t="inlineStr">
        <is>
          <t>Estimado DION · criterio de mercado Guayaquil 2026 (no verificado en tienda)</t>
        </is>
      </c>
      <c r="P42" s="18" t="inlineStr">
        <is>
          <t>oct-2026 (est.)</t>
        </is>
      </c>
      <c r="Q42" s="18" t="n"/>
    </row>
    <row r="43">
      <c r="A43" s="126" t="n">
        <v>26</v>
      </c>
      <c r="B43" s="127" t="inlineStr">
        <is>
          <t xml:space="preserve">        Andamio Rodante de Aluminio 2 Cuerpos</t>
        </is>
      </c>
      <c r="C43" s="128" t="inlineStr">
        <is>
          <t>Comercial</t>
        </is>
      </c>
      <c r="D43" s="126" t="inlineStr">
        <is>
          <t>Andamios</t>
        </is>
      </c>
      <c r="E43" s="126" t="inlineStr">
        <is>
          <t>U</t>
        </is>
      </c>
      <c r="F43" s="129" t="n">
        <v>0</v>
      </c>
      <c r="G43" s="130" t="n">
        <v>680</v>
      </c>
      <c r="H43" s="130" t="n">
        <v>707.2</v>
      </c>
      <c r="I43" s="126" t="inlineStr">
        <is>
          <t>Megametales</t>
        </is>
      </c>
      <c r="J43" s="130" t="n">
        <v>727.6</v>
      </c>
      <c r="K43" s="126" t="inlineStr">
        <is>
          <t>Kywi / Megakywi</t>
        </is>
      </c>
      <c r="L43" s="131">
        <f>F43*G43</f>
        <v/>
      </c>
      <c r="M43" s="159" t="inlineStr">
        <is>
          <t>Z-Z10-EQH-AND-ALU</t>
        </is>
      </c>
      <c r="N43" s="126" t="inlineStr">
        <is>
          <t>General / coordinación multidisciplinar</t>
        </is>
      </c>
      <c r="O43" s="126" t="inlineStr">
        <is>
          <t>Estimado DION · criterio de mercado Guayaquil 2026 (no verificado en tienda)</t>
        </is>
      </c>
      <c r="P43" s="126" t="inlineStr">
        <is>
          <t>oct-2026 (est.)</t>
        </is>
      </c>
      <c r="Q43" s="126" t="n"/>
    </row>
    <row r="44">
      <c r="A44" s="123" t="inlineStr">
        <is>
          <t>CONEXIONES</t>
        </is>
      </c>
      <c r="B44" s="143" t="n"/>
      <c r="C44" s="143" t="n"/>
      <c r="D44" s="143" t="n"/>
      <c r="E44" s="143" t="n"/>
      <c r="F44" s="143" t="n"/>
      <c r="G44" s="143" t="n"/>
      <c r="H44" s="143" t="n"/>
      <c r="I44" s="143" t="n"/>
      <c r="J44" s="143" t="n"/>
      <c r="K44" s="143" t="n"/>
      <c r="L44" s="143" t="n"/>
      <c r="M44" s="143" t="n"/>
      <c r="N44" s="143" t="n"/>
      <c r="O44" s="143" t="n"/>
      <c r="P44" s="143" t="n"/>
      <c r="Q44" s="144" t="n"/>
    </row>
    <row r="45">
      <c r="A45" s="124" t="inlineStr">
        <is>
          <t xml:space="preserve">  ► CATEGORÍA: PERFILERÍA CANALES, MONTANTES, ÁNGULOS Y ESQUINEROS</t>
        </is>
      </c>
      <c r="B45" s="143" t="n"/>
      <c r="C45" s="143" t="n"/>
      <c r="D45" s="143" t="n"/>
      <c r="E45" s="143" t="n"/>
      <c r="F45" s="143" t="n"/>
      <c r="G45" s="143" t="n"/>
      <c r="H45" s="143" t="n"/>
      <c r="I45" s="143" t="n"/>
      <c r="J45" s="143" t="n"/>
      <c r="K45" s="143" t="n"/>
      <c r="L45" s="143" t="n"/>
      <c r="M45" s="143" t="n"/>
      <c r="N45" s="143" t="n"/>
      <c r="O45" s="143" t="n"/>
      <c r="P45" s="143" t="n"/>
      <c r="Q45" s="144" t="n"/>
    </row>
    <row r="46">
      <c r="A46" s="125" t="inlineStr">
        <is>
          <t xml:space="preserve">      • Subcategoría Especificada: Estructura Galvanizada Drywall</t>
        </is>
      </c>
      <c r="B46" s="143" t="n"/>
      <c r="C46" s="143" t="n"/>
      <c r="D46" s="143" t="n"/>
      <c r="E46" s="143" t="n"/>
      <c r="F46" s="143" t="n"/>
      <c r="G46" s="143" t="n"/>
      <c r="H46" s="143" t="n"/>
      <c r="I46" s="143" t="n"/>
      <c r="J46" s="143" t="n"/>
      <c r="K46" s="143" t="n"/>
      <c r="L46" s="143" t="n"/>
      <c r="M46" s="143" t="n"/>
      <c r="N46" s="143" t="n"/>
      <c r="O46" s="143" t="n"/>
      <c r="P46" s="143" t="n"/>
      <c r="Q46" s="144" t="n"/>
    </row>
    <row r="47">
      <c r="A47" s="18" t="n">
        <v>27</v>
      </c>
      <c r="B47" s="19" t="inlineStr">
        <is>
          <t xml:space="preserve">        Canal Galvanizado 60mm x 0.45mm (3m)</t>
        </is>
      </c>
      <c r="C47" s="20" t="inlineStr">
        <is>
          <t>Residencial / Comercial</t>
        </is>
      </c>
      <c r="D47" s="18" t="inlineStr">
        <is>
          <t>Canales Galvanizados</t>
        </is>
      </c>
      <c r="E47" s="18" t="inlineStr">
        <is>
          <t>U</t>
        </is>
      </c>
      <c r="F47" s="21" t="n">
        <v>20</v>
      </c>
      <c r="G47" s="22" t="n">
        <v>2.5</v>
      </c>
      <c r="H47" s="22" t="n">
        <v>2.6</v>
      </c>
      <c r="I47" s="18" t="inlineStr">
        <is>
          <t>Megametales</t>
        </is>
      </c>
      <c r="J47" s="22" t="n">
        <v>2.8</v>
      </c>
      <c r="K47" s="18" t="inlineStr">
        <is>
          <t>Ferrisariato</t>
        </is>
      </c>
      <c r="L47" s="8">
        <f>F47*G47</f>
        <v/>
      </c>
      <c r="M47" s="145" t="inlineStr">
        <is>
          <t>A-C10-GYM-CAN-060</t>
        </is>
      </c>
      <c r="N47" s="18" t="inlineStr">
        <is>
          <t>Arquitectura</t>
        </is>
      </c>
      <c r="O47" s="18" t="inlineStr">
        <is>
          <t>Estimado · base original del usuario (sin cotización verificada)</t>
        </is>
      </c>
      <c r="P47" s="18" t="inlineStr">
        <is>
          <t>oct-2026 (est.)</t>
        </is>
      </c>
      <c r="Q47" s="18" t="n">
        <v>5</v>
      </c>
    </row>
    <row r="48">
      <c r="A48" s="126" t="n">
        <v>28</v>
      </c>
      <c r="B48" s="127" t="inlineStr">
        <is>
          <t xml:space="preserve">        Montante Galvanizado 60mm x 0.45mm (3m)</t>
        </is>
      </c>
      <c r="C48" s="128" t="inlineStr">
        <is>
          <t>Residencial / Comercial</t>
        </is>
      </c>
      <c r="D48" s="126" t="inlineStr">
        <is>
          <t>Montantes Galvanizados</t>
        </is>
      </c>
      <c r="E48" s="126" t="inlineStr">
        <is>
          <t>U</t>
        </is>
      </c>
      <c r="F48" s="129" t="n">
        <v>35</v>
      </c>
      <c r="G48" s="130" t="n">
        <v>2.8</v>
      </c>
      <c r="H48" s="130" t="n">
        <v>2.9</v>
      </c>
      <c r="I48" s="126" t="inlineStr">
        <is>
          <t>Megametales</t>
        </is>
      </c>
      <c r="J48" s="130" t="n">
        <v>3.1</v>
      </c>
      <c r="K48" s="126" t="inlineStr">
        <is>
          <t>Ferrisariato</t>
        </is>
      </c>
      <c r="L48" s="131">
        <f>F48*G48</f>
        <v/>
      </c>
      <c r="M48" s="159" t="inlineStr">
        <is>
          <t>A-C10-GYM-MON-060</t>
        </is>
      </c>
      <c r="N48" s="126" t="inlineStr">
        <is>
          <t>Arquitectura</t>
        </is>
      </c>
      <c r="O48" s="126" t="inlineStr">
        <is>
          <t>Estimado · base original del usuario (sin cotización verificada)</t>
        </is>
      </c>
      <c r="P48" s="126" t="inlineStr">
        <is>
          <t>oct-2026 (est.)</t>
        </is>
      </c>
      <c r="Q48" s="126" t="n">
        <v>5</v>
      </c>
    </row>
    <row r="49">
      <c r="A49" s="18" t="n">
        <v>29</v>
      </c>
      <c r="B49" s="19" t="inlineStr">
        <is>
          <t xml:space="preserve">        Esquinero Metálico Perforado para Gypsum (2.44m)</t>
        </is>
      </c>
      <c r="C49" s="20" t="inlineStr">
        <is>
          <t>Residencial / Comercial</t>
        </is>
      </c>
      <c r="D49" s="18" t="inlineStr">
        <is>
          <t>Esquineros Metálicos</t>
        </is>
      </c>
      <c r="E49" s="18" t="inlineStr">
        <is>
          <t>U</t>
        </is>
      </c>
      <c r="F49" s="21" t="n">
        <v>15</v>
      </c>
      <c r="G49" s="22" t="n">
        <v>1.1</v>
      </c>
      <c r="H49" s="22" t="n">
        <v>1.15</v>
      </c>
      <c r="I49" s="18" t="inlineStr">
        <is>
          <t>Megametales</t>
        </is>
      </c>
      <c r="J49" s="22" t="n">
        <v>1.25</v>
      </c>
      <c r="K49" s="18" t="inlineStr">
        <is>
          <t>Ferrisariato</t>
        </is>
      </c>
      <c r="L49" s="8">
        <f>F49*G49</f>
        <v/>
      </c>
      <c r="M49" s="145" t="inlineStr">
        <is>
          <t>A-C10-GYM-ESQ-MET</t>
        </is>
      </c>
      <c r="N49" s="18" t="inlineStr">
        <is>
          <t>Arquitectura</t>
        </is>
      </c>
      <c r="O49" s="18" t="inlineStr">
        <is>
          <t>Estimado · base original del usuario (sin cotización verificada)</t>
        </is>
      </c>
      <c r="P49" s="18" t="inlineStr">
        <is>
          <t>oct-2026 (est.)</t>
        </is>
      </c>
      <c r="Q49" s="18" t="n">
        <v>5</v>
      </c>
    </row>
    <row r="50">
      <c r="A50" s="125" t="inlineStr">
        <is>
          <t xml:space="preserve">      • Subcategoría Especificada: Canales y Montantes por Ancho y Calibre</t>
        </is>
      </c>
      <c r="B50" s="143" t="n"/>
      <c r="C50" s="143" t="n"/>
      <c r="D50" s="143" t="n"/>
      <c r="E50" s="143" t="n"/>
      <c r="F50" s="143" t="n"/>
      <c r="G50" s="143" t="n"/>
      <c r="H50" s="143" t="n"/>
      <c r="I50" s="143" t="n"/>
      <c r="J50" s="143" t="n"/>
      <c r="K50" s="143" t="n"/>
      <c r="L50" s="143" t="n"/>
      <c r="M50" s="143" t="n"/>
      <c r="N50" s="143" t="n"/>
      <c r="O50" s="143" t="n"/>
      <c r="P50" s="143" t="n"/>
      <c r="Q50" s="144" t="n"/>
    </row>
    <row r="51">
      <c r="A51" s="126" t="n">
        <v>30</v>
      </c>
      <c r="B51" s="127" t="inlineStr">
        <is>
          <t xml:space="preserve">        Canal Galvanizado 41 mm x 0.45 mm (3 m)</t>
        </is>
      </c>
      <c r="C51" s="128" t="inlineStr">
        <is>
          <t>Residencial / Comercial</t>
        </is>
      </c>
      <c r="D51" s="126" t="inlineStr">
        <is>
          <t>Canales Galvanizados</t>
        </is>
      </c>
      <c r="E51" s="126" t="inlineStr">
        <is>
          <t>U</t>
        </is>
      </c>
      <c r="F51" s="129" t="n">
        <v>10</v>
      </c>
      <c r="G51" s="130" t="n">
        <v>2.1</v>
      </c>
      <c r="H51" s="130" t="n">
        <v>2.18</v>
      </c>
      <c r="I51" s="126" t="inlineStr">
        <is>
          <t>Megametales</t>
        </is>
      </c>
      <c r="J51" s="130" t="n">
        <v>2.27</v>
      </c>
      <c r="K51" s="126" t="inlineStr">
        <is>
          <t>Kywi / Megakywi</t>
        </is>
      </c>
      <c r="L51" s="131">
        <f>F51*G51</f>
        <v/>
      </c>
      <c r="M51" s="159" t="inlineStr">
        <is>
          <t>A-C10-GYM-CAN-041</t>
        </is>
      </c>
      <c r="N51" s="126" t="inlineStr">
        <is>
          <t>Arquitectura</t>
        </is>
      </c>
      <c r="O51" s="126" t="inlineStr">
        <is>
          <t>Estimado DION · criterio de mercado Guayaquil 2026 (no verificado en tienda)</t>
        </is>
      </c>
      <c r="P51" s="126" t="inlineStr">
        <is>
          <t>oct-2026 (est.)</t>
        </is>
      </c>
      <c r="Q51" s="126" t="n">
        <v>5</v>
      </c>
    </row>
    <row r="52">
      <c r="A52" s="18" t="n">
        <v>31</v>
      </c>
      <c r="B52" s="19" t="inlineStr">
        <is>
          <t xml:space="preserve">        Canal Galvanizado 64 mm x 0.45 mm (3 m)</t>
        </is>
      </c>
      <c r="C52" s="20" t="inlineStr">
        <is>
          <t>Residencial / Comercial</t>
        </is>
      </c>
      <c r="D52" s="18" t="inlineStr">
        <is>
          <t>Canales Galvanizados</t>
        </is>
      </c>
      <c r="E52" s="18" t="inlineStr">
        <is>
          <t>U</t>
        </is>
      </c>
      <c r="F52" s="21" t="n">
        <v>10</v>
      </c>
      <c r="G52" s="22" t="n">
        <v>2.6</v>
      </c>
      <c r="H52" s="22" t="n">
        <v>2.73</v>
      </c>
      <c r="I52" s="18" t="inlineStr">
        <is>
          <t>Megametales</t>
        </is>
      </c>
      <c r="J52" s="22" t="n">
        <v>2.83</v>
      </c>
      <c r="K52" s="18" t="inlineStr">
        <is>
          <t>Ferrisariato</t>
        </is>
      </c>
      <c r="L52" s="8">
        <f>F52*G52</f>
        <v/>
      </c>
      <c r="M52" s="145" t="inlineStr">
        <is>
          <t>A-C10-GYM-CAN-064</t>
        </is>
      </c>
      <c r="N52" s="18" t="inlineStr">
        <is>
          <t>Arquitectura</t>
        </is>
      </c>
      <c r="O52" s="18" t="inlineStr">
        <is>
          <t>Estimado DION · criterio de mercado Guayaquil 2026 (no verificado en tienda)</t>
        </is>
      </c>
      <c r="P52" s="18" t="inlineStr">
        <is>
          <t>oct-2026 (est.)</t>
        </is>
      </c>
      <c r="Q52" s="18" t="n">
        <v>5</v>
      </c>
    </row>
    <row r="53">
      <c r="A53" s="126" t="n">
        <v>32</v>
      </c>
      <c r="B53" s="127" t="inlineStr">
        <is>
          <t xml:space="preserve">        Canal Galvanizado 92 mm x 0.45 mm (3 m)</t>
        </is>
      </c>
      <c r="C53" s="128" t="inlineStr">
        <is>
          <t>Residencial / Comercial</t>
        </is>
      </c>
      <c r="D53" s="126" t="inlineStr">
        <is>
          <t>Canales Galvanizados</t>
        </is>
      </c>
      <c r="E53" s="126" t="inlineStr">
        <is>
          <t>U</t>
        </is>
      </c>
      <c r="F53" s="129" t="n">
        <v>10</v>
      </c>
      <c r="G53" s="130" t="n">
        <v>3.4</v>
      </c>
      <c r="H53" s="130" t="n">
        <v>3.47</v>
      </c>
      <c r="I53" s="126" t="inlineStr">
        <is>
          <t>Megametales</t>
        </is>
      </c>
      <c r="J53" s="130" t="n">
        <v>3.77</v>
      </c>
      <c r="K53" s="126" t="inlineStr">
        <is>
          <t>Kywi / Megakywi</t>
        </is>
      </c>
      <c r="L53" s="131">
        <f>F53*G53</f>
        <v/>
      </c>
      <c r="M53" s="159" t="inlineStr">
        <is>
          <t>A-C10-GYM-CAN-092</t>
        </is>
      </c>
      <c r="N53" s="126" t="inlineStr">
        <is>
          <t>Arquitectura</t>
        </is>
      </c>
      <c r="O53" s="126" t="inlineStr">
        <is>
          <t>Estimado DION · criterio de mercado Guayaquil 2026 (no verificado en tienda)</t>
        </is>
      </c>
      <c r="P53" s="126" t="inlineStr">
        <is>
          <t>oct-2026 (est.)</t>
        </is>
      </c>
      <c r="Q53" s="126" t="n">
        <v>5</v>
      </c>
    </row>
    <row r="54">
      <c r="A54" s="18" t="n">
        <v>33</v>
      </c>
      <c r="B54" s="19" t="inlineStr">
        <is>
          <t xml:space="preserve">        Canal Galvanizado 64 mm x 0.90 mm (3 m)</t>
        </is>
      </c>
      <c r="C54" s="20" t="inlineStr">
        <is>
          <t>Residencial / Comercial</t>
        </is>
      </c>
      <c r="D54" s="18" t="inlineStr">
        <is>
          <t>Canales Galvanizados</t>
        </is>
      </c>
      <c r="E54" s="18" t="inlineStr">
        <is>
          <t>U</t>
        </is>
      </c>
      <c r="F54" s="21" t="n">
        <v>10</v>
      </c>
      <c r="G54" s="22" t="n">
        <v>5.2</v>
      </c>
      <c r="H54" s="22" t="n">
        <v>5.41</v>
      </c>
      <c r="I54" s="18" t="inlineStr">
        <is>
          <t>Megametales</t>
        </is>
      </c>
      <c r="J54" s="22" t="n">
        <v>5.67</v>
      </c>
      <c r="K54" s="18" t="inlineStr">
        <is>
          <t>Ferrisariato</t>
        </is>
      </c>
      <c r="L54" s="8">
        <f>F54*G54</f>
        <v/>
      </c>
      <c r="M54" s="145" t="inlineStr">
        <is>
          <t>A-C10-GYM-CAN-064-0P90</t>
        </is>
      </c>
      <c r="N54" s="18" t="inlineStr">
        <is>
          <t>Arquitectura</t>
        </is>
      </c>
      <c r="O54" s="18" t="inlineStr">
        <is>
          <t>Estimado DION · criterio de mercado Guayaquil 2026 (no verificado en tienda)</t>
        </is>
      </c>
      <c r="P54" s="18" t="inlineStr">
        <is>
          <t>oct-2026 (est.)</t>
        </is>
      </c>
      <c r="Q54" s="18" t="n">
        <v>5</v>
      </c>
    </row>
    <row r="55">
      <c r="A55" s="126" t="n">
        <v>34</v>
      </c>
      <c r="B55" s="127" t="inlineStr">
        <is>
          <t xml:space="preserve">        Montante Galvanizado 41 mm x 0.45 mm (3 m)</t>
        </is>
      </c>
      <c r="C55" s="128" t="inlineStr">
        <is>
          <t>Residencial / Comercial</t>
        </is>
      </c>
      <c r="D55" s="126" t="inlineStr">
        <is>
          <t>Montantes Galvanizados</t>
        </is>
      </c>
      <c r="E55" s="126" t="inlineStr">
        <is>
          <t>U</t>
        </is>
      </c>
      <c r="F55" s="129" t="n">
        <v>20</v>
      </c>
      <c r="G55" s="130" t="n">
        <v>2.4</v>
      </c>
      <c r="H55" s="130" t="n">
        <v>2.52</v>
      </c>
      <c r="I55" s="126" t="inlineStr">
        <is>
          <t>Megametales</t>
        </is>
      </c>
      <c r="J55" s="130" t="n">
        <v>2.62</v>
      </c>
      <c r="K55" s="126" t="inlineStr">
        <is>
          <t>Kywi / Megakywi</t>
        </is>
      </c>
      <c r="L55" s="131">
        <f>F55*G55</f>
        <v/>
      </c>
      <c r="M55" s="159" t="inlineStr">
        <is>
          <t>A-C10-GYM-MON-041</t>
        </is>
      </c>
      <c r="N55" s="126" t="inlineStr">
        <is>
          <t>Arquitectura</t>
        </is>
      </c>
      <c r="O55" s="126" t="inlineStr">
        <is>
          <t>Estimado DION · criterio de mercado Guayaquil 2026 (no verificado en tienda)</t>
        </is>
      </c>
      <c r="P55" s="126" t="inlineStr">
        <is>
          <t>oct-2026 (est.)</t>
        </is>
      </c>
      <c r="Q55" s="126" t="n">
        <v>5</v>
      </c>
    </row>
    <row r="56">
      <c r="A56" s="18" t="n">
        <v>35</v>
      </c>
      <c r="B56" s="19" t="inlineStr">
        <is>
          <t xml:space="preserve">        Montante Galvanizado 64 mm x 0.45 mm (3 m)</t>
        </is>
      </c>
      <c r="C56" s="20" t="inlineStr">
        <is>
          <t>Residencial / Comercial</t>
        </is>
      </c>
      <c r="D56" s="18" t="inlineStr">
        <is>
          <t>Montantes Galvanizados</t>
        </is>
      </c>
      <c r="E56" s="18" t="inlineStr">
        <is>
          <t>U</t>
        </is>
      </c>
      <c r="F56" s="21" t="n">
        <v>20</v>
      </c>
      <c r="G56" s="22" t="n">
        <v>3</v>
      </c>
      <c r="H56" s="22" t="n">
        <v>3.15</v>
      </c>
      <c r="I56" s="18" t="inlineStr">
        <is>
          <t>Megametales</t>
        </is>
      </c>
      <c r="J56" s="22" t="n">
        <v>3.21</v>
      </c>
      <c r="K56" s="18" t="inlineStr">
        <is>
          <t>Ferrisariato</t>
        </is>
      </c>
      <c r="L56" s="8">
        <f>F56*G56</f>
        <v/>
      </c>
      <c r="M56" s="145" t="inlineStr">
        <is>
          <t>A-C10-GYM-MON-064</t>
        </is>
      </c>
      <c r="N56" s="18" t="inlineStr">
        <is>
          <t>Arquitectura</t>
        </is>
      </c>
      <c r="O56" s="18" t="inlineStr">
        <is>
          <t>Estimado DION · criterio de mercado Guayaquil 2026 (no verificado en tienda)</t>
        </is>
      </c>
      <c r="P56" s="18" t="inlineStr">
        <is>
          <t>oct-2026 (est.)</t>
        </is>
      </c>
      <c r="Q56" s="18" t="n">
        <v>5</v>
      </c>
    </row>
    <row r="57">
      <c r="A57" s="126" t="n">
        <v>36</v>
      </c>
      <c r="B57" s="127" t="inlineStr">
        <is>
          <t xml:space="preserve">        Montante Galvanizado 92 mm x 0.45 mm (3 m)</t>
        </is>
      </c>
      <c r="C57" s="128" t="inlineStr">
        <is>
          <t>Residencial / Comercial</t>
        </is>
      </c>
      <c r="D57" s="126" t="inlineStr">
        <is>
          <t>Montantes Galvanizados</t>
        </is>
      </c>
      <c r="E57" s="126" t="inlineStr">
        <is>
          <t>U</t>
        </is>
      </c>
      <c r="F57" s="129" t="n">
        <v>20</v>
      </c>
      <c r="G57" s="130" t="n">
        <v>3.8</v>
      </c>
      <c r="H57" s="130" t="n">
        <v>3.88</v>
      </c>
      <c r="I57" s="126" t="inlineStr">
        <is>
          <t>Megametales</t>
        </is>
      </c>
      <c r="J57" s="130" t="n">
        <v>4.22</v>
      </c>
      <c r="K57" s="126" t="inlineStr">
        <is>
          <t>Kywi / Megakywi</t>
        </is>
      </c>
      <c r="L57" s="131">
        <f>F57*G57</f>
        <v/>
      </c>
      <c r="M57" s="159" t="inlineStr">
        <is>
          <t>A-C10-GYM-MON-092</t>
        </is>
      </c>
      <c r="N57" s="126" t="inlineStr">
        <is>
          <t>Arquitectura</t>
        </is>
      </c>
      <c r="O57" s="126" t="inlineStr">
        <is>
          <t>Estimado DION · criterio de mercado Guayaquil 2026 (no verificado en tienda)</t>
        </is>
      </c>
      <c r="P57" s="126" t="inlineStr">
        <is>
          <t>oct-2026 (est.)</t>
        </is>
      </c>
      <c r="Q57" s="126" t="n">
        <v>5</v>
      </c>
    </row>
    <row r="58">
      <c r="A58" s="18" t="n">
        <v>37</v>
      </c>
      <c r="B58" s="19" t="inlineStr">
        <is>
          <t xml:space="preserve">        Montante Galvanizado 64 mm x 0.90 mm (3 m)</t>
        </is>
      </c>
      <c r="C58" s="20" t="inlineStr">
        <is>
          <t>Residencial / Comercial</t>
        </is>
      </c>
      <c r="D58" s="18" t="inlineStr">
        <is>
          <t>Montantes Galvanizados</t>
        </is>
      </c>
      <c r="E58" s="18" t="inlineStr">
        <is>
          <t>U</t>
        </is>
      </c>
      <c r="F58" s="21" t="n">
        <v>20</v>
      </c>
      <c r="G58" s="22" t="n">
        <v>5.9</v>
      </c>
      <c r="H58" s="22" t="n">
        <v>6.02</v>
      </c>
      <c r="I58" s="18" t="inlineStr">
        <is>
          <t>Megametales</t>
        </is>
      </c>
      <c r="J58" s="22" t="n">
        <v>6.55</v>
      </c>
      <c r="K58" s="18" t="inlineStr">
        <is>
          <t>Ferrisariato</t>
        </is>
      </c>
      <c r="L58" s="8">
        <f>F58*G58</f>
        <v/>
      </c>
      <c r="M58" s="145" t="inlineStr">
        <is>
          <t>A-C10-GYM-MON-064-0P90</t>
        </is>
      </c>
      <c r="N58" s="18" t="inlineStr">
        <is>
          <t>Arquitectura</t>
        </is>
      </c>
      <c r="O58" s="18" t="inlineStr">
        <is>
          <t>Estimado DION · criterio de mercado Guayaquil 2026 (no verificado en tienda)</t>
        </is>
      </c>
      <c r="P58" s="18" t="inlineStr">
        <is>
          <t>oct-2026 (est.)</t>
        </is>
      </c>
      <c r="Q58" s="18" t="n">
        <v>5</v>
      </c>
    </row>
    <row r="59">
      <c r="A59" s="126" t="n">
        <v>38</v>
      </c>
      <c r="B59" s="127" t="inlineStr">
        <is>
          <t xml:space="preserve">        Montante Galvanizado 92 mm x 0.90 mm (3 m)</t>
        </is>
      </c>
      <c r="C59" s="128" t="inlineStr">
        <is>
          <t>Residencial / Comercial</t>
        </is>
      </c>
      <c r="D59" s="126" t="inlineStr">
        <is>
          <t>Montantes Galvanizados</t>
        </is>
      </c>
      <c r="E59" s="126" t="inlineStr">
        <is>
          <t>U</t>
        </is>
      </c>
      <c r="F59" s="129" t="n">
        <v>20</v>
      </c>
      <c r="G59" s="130" t="n">
        <v>7.2</v>
      </c>
      <c r="H59" s="130" t="n">
        <v>7.49</v>
      </c>
      <c r="I59" s="126" t="inlineStr">
        <is>
          <t>Megametales</t>
        </is>
      </c>
      <c r="J59" s="130" t="n">
        <v>7.78</v>
      </c>
      <c r="K59" s="126" t="inlineStr">
        <is>
          <t>Kywi / Megakywi</t>
        </is>
      </c>
      <c r="L59" s="131">
        <f>F59*G59</f>
        <v/>
      </c>
      <c r="M59" s="159" t="inlineStr">
        <is>
          <t>A-C10-GYM-MON-092-0P90</t>
        </is>
      </c>
      <c r="N59" s="126" t="inlineStr">
        <is>
          <t>Arquitectura</t>
        </is>
      </c>
      <c r="O59" s="126" t="inlineStr">
        <is>
          <t>Estimado DION · criterio de mercado Guayaquil 2026 (no verificado en tienda)</t>
        </is>
      </c>
      <c r="P59" s="126" t="inlineStr">
        <is>
          <t>oct-2026 (est.)</t>
        </is>
      </c>
      <c r="Q59" s="126" t="n">
        <v>5</v>
      </c>
    </row>
    <row r="60">
      <c r="A60" s="18" t="n">
        <v>39</v>
      </c>
      <c r="B60" s="19" t="inlineStr">
        <is>
          <t xml:space="preserve">        Esquinero Plástico PVC para Gypsum (3 m)</t>
        </is>
      </c>
      <c r="C60" s="20" t="inlineStr">
        <is>
          <t>Residencial / Comercial</t>
        </is>
      </c>
      <c r="D60" s="18" t="inlineStr">
        <is>
          <t>Esquineros</t>
        </is>
      </c>
      <c r="E60" s="18" t="inlineStr">
        <is>
          <t>U</t>
        </is>
      </c>
      <c r="F60" s="21" t="n">
        <v>10</v>
      </c>
      <c r="G60" s="22" t="n">
        <v>1.4</v>
      </c>
      <c r="H60" s="22" t="n">
        <v>1.44</v>
      </c>
      <c r="I60" s="18" t="inlineStr">
        <is>
          <t>Megametales</t>
        </is>
      </c>
      <c r="J60" s="22" t="n">
        <v>1.53</v>
      </c>
      <c r="K60" s="18" t="inlineStr">
        <is>
          <t>Ferrisariato</t>
        </is>
      </c>
      <c r="L60" s="8">
        <f>F60*G60</f>
        <v/>
      </c>
      <c r="M60" s="145" t="inlineStr">
        <is>
          <t>A-C10-GYM-ESQ-PVC</t>
        </is>
      </c>
      <c r="N60" s="18" t="inlineStr">
        <is>
          <t>Arquitectura</t>
        </is>
      </c>
      <c r="O60" s="18" t="inlineStr">
        <is>
          <t>Estimado DION · criterio de mercado Guayaquil 2026 (no verificado en tienda)</t>
        </is>
      </c>
      <c r="P60" s="18" t="inlineStr">
        <is>
          <t>oct-2026 (est.)</t>
        </is>
      </c>
      <c r="Q60" s="18" t="n">
        <v>5</v>
      </c>
    </row>
    <row r="61">
      <c r="A61" s="126" t="n">
        <v>40</v>
      </c>
      <c r="B61" s="127" t="inlineStr">
        <is>
          <t xml:space="preserve">        Perfil Tipo J / Remate (3 m)</t>
        </is>
      </c>
      <c r="C61" s="128" t="inlineStr">
        <is>
          <t>Residencial / Comercial</t>
        </is>
      </c>
      <c r="D61" s="126" t="inlineStr">
        <is>
          <t>Remates</t>
        </is>
      </c>
      <c r="E61" s="126" t="inlineStr">
        <is>
          <t>U</t>
        </is>
      </c>
      <c r="F61" s="129" t="n">
        <v>10</v>
      </c>
      <c r="G61" s="130" t="n">
        <v>1.6</v>
      </c>
      <c r="H61" s="130" t="n">
        <v>1.66</v>
      </c>
      <c r="I61" s="126" t="inlineStr">
        <is>
          <t>Megametales</t>
        </is>
      </c>
      <c r="J61" s="130" t="n">
        <v>1.76</v>
      </c>
      <c r="K61" s="126" t="inlineStr">
        <is>
          <t>Kywi / Megakywi</t>
        </is>
      </c>
      <c r="L61" s="131">
        <f>F61*G61</f>
        <v/>
      </c>
      <c r="M61" s="159" t="inlineStr">
        <is>
          <t>A-C10-GYM-REM-J</t>
        </is>
      </c>
      <c r="N61" s="126" t="inlineStr">
        <is>
          <t>Arquitectura</t>
        </is>
      </c>
      <c r="O61" s="126" t="inlineStr">
        <is>
          <t>Estimado DION · criterio de mercado Guayaquil 2026 (no verificado en tienda)</t>
        </is>
      </c>
      <c r="P61" s="126" t="inlineStr">
        <is>
          <t>oct-2026 (est.)</t>
        </is>
      </c>
      <c r="Q61" s="126" t="n">
        <v>5</v>
      </c>
    </row>
    <row r="62">
      <c r="A62" s="18" t="n">
        <v>41</v>
      </c>
      <c r="B62" s="19" t="inlineStr">
        <is>
          <t xml:space="preserve">        Perfil de Junta de Control / Dilatación (3 m)</t>
        </is>
      </c>
      <c r="C62" s="20" t="inlineStr">
        <is>
          <t>Residencial / Comercial</t>
        </is>
      </c>
      <c r="D62" s="18" t="inlineStr">
        <is>
          <t>Juntas</t>
        </is>
      </c>
      <c r="E62" s="18" t="inlineStr">
        <is>
          <t>U</t>
        </is>
      </c>
      <c r="F62" s="21" t="n">
        <v>4</v>
      </c>
      <c r="G62" s="22" t="n">
        <v>4.5</v>
      </c>
      <c r="H62" s="22" t="n">
        <v>4.73</v>
      </c>
      <c r="I62" s="18" t="inlineStr">
        <is>
          <t>Megametales</t>
        </is>
      </c>
      <c r="J62" s="22" t="n">
        <v>4.82</v>
      </c>
      <c r="K62" s="18" t="inlineStr">
        <is>
          <t>Ferrisariato</t>
        </is>
      </c>
      <c r="L62" s="8">
        <f>F62*G62</f>
        <v/>
      </c>
      <c r="M62" s="145" t="inlineStr">
        <is>
          <t>A-C10-GYM-JUN-CTL</t>
        </is>
      </c>
      <c r="N62" s="18" t="inlineStr">
        <is>
          <t>Arquitectura</t>
        </is>
      </c>
      <c r="O62" s="18" t="inlineStr">
        <is>
          <t>Estimado DION · criterio de mercado Guayaquil 2026 (no verificado en tienda)</t>
        </is>
      </c>
      <c r="P62" s="18" t="inlineStr">
        <is>
          <t>oct-2026 (est.)</t>
        </is>
      </c>
      <c r="Q62" s="18" t="n">
        <v>5</v>
      </c>
    </row>
    <row r="63">
      <c r="A63" s="126" t="n">
        <v>42</v>
      </c>
      <c r="B63" s="127" t="inlineStr">
        <is>
          <t xml:space="preserve">        Esquinero Flexible / Arco con Cinta Metálica (30 m)</t>
        </is>
      </c>
      <c r="C63" s="128" t="inlineStr">
        <is>
          <t>Residencial / Comercial</t>
        </is>
      </c>
      <c r="D63" s="126" t="inlineStr">
        <is>
          <t>Esquineros</t>
        </is>
      </c>
      <c r="E63" s="126" t="inlineStr">
        <is>
          <t>Rollo</t>
        </is>
      </c>
      <c r="F63" s="129" t="n">
        <v>1</v>
      </c>
      <c r="G63" s="130" t="n">
        <v>12</v>
      </c>
      <c r="H63" s="130" t="n">
        <v>12.6</v>
      </c>
      <c r="I63" s="126" t="inlineStr">
        <is>
          <t>Megametales</t>
        </is>
      </c>
      <c r="J63" s="130" t="n">
        <v>13.32</v>
      </c>
      <c r="K63" s="126" t="inlineStr">
        <is>
          <t>Kywi / Megakywi</t>
        </is>
      </c>
      <c r="L63" s="131">
        <f>F63*G63</f>
        <v/>
      </c>
      <c r="M63" s="159" t="inlineStr">
        <is>
          <t>A-C10-GYM-ESQ-FLX</t>
        </is>
      </c>
      <c r="N63" s="126" t="inlineStr">
        <is>
          <t>Arquitectura</t>
        </is>
      </c>
      <c r="O63" s="126" t="inlineStr">
        <is>
          <t>Estimado DION · criterio de mercado Guayaquil 2026 (no verificado en tienda)</t>
        </is>
      </c>
      <c r="P63" s="126" t="inlineStr">
        <is>
          <t>oct-2026 (est.)</t>
        </is>
      </c>
      <c r="Q63" s="126" t="n">
        <v>5</v>
      </c>
    </row>
    <row r="64">
      <c r="A64" s="123" t="inlineStr">
        <is>
          <t>EQUIPOS ESPECIALIZADOS</t>
        </is>
      </c>
      <c r="B64" s="143" t="n"/>
      <c r="C64" s="143" t="n"/>
      <c r="D64" s="143" t="n"/>
      <c r="E64" s="143" t="n"/>
      <c r="F64" s="143" t="n"/>
      <c r="G64" s="143" t="n"/>
      <c r="H64" s="143" t="n"/>
      <c r="I64" s="143" t="n"/>
      <c r="J64" s="143" t="n"/>
      <c r="K64" s="143" t="n"/>
      <c r="L64" s="143" t="n"/>
      <c r="M64" s="143" t="n"/>
      <c r="N64" s="143" t="n"/>
      <c r="O64" s="143" t="n"/>
      <c r="P64" s="143" t="n"/>
      <c r="Q64" s="144" t="n"/>
    </row>
    <row r="65">
      <c r="A65" s="124" t="inlineStr">
        <is>
          <t xml:space="preserve">  ► CATEGORÍA: PLACAS DE YESO (ESTÁNDAR ST, RH HUMEDAD, RF FUEGO)</t>
        </is>
      </c>
      <c r="B65" s="143" t="n"/>
      <c r="C65" s="143" t="n"/>
      <c r="D65" s="143" t="n"/>
      <c r="E65" s="143" t="n"/>
      <c r="F65" s="143" t="n"/>
      <c r="G65" s="143" t="n"/>
      <c r="H65" s="143" t="n"/>
      <c r="I65" s="143" t="n"/>
      <c r="J65" s="143" t="n"/>
      <c r="K65" s="143" t="n"/>
      <c r="L65" s="143" t="n"/>
      <c r="M65" s="143" t="n"/>
      <c r="N65" s="143" t="n"/>
      <c r="O65" s="143" t="n"/>
      <c r="P65" s="143" t="n"/>
      <c r="Q65" s="144" t="n"/>
    </row>
    <row r="66">
      <c r="A66" s="125" t="inlineStr">
        <is>
          <t xml:space="preserve">      • Subcategoría Especificada: Placas Drywall</t>
        </is>
      </c>
      <c r="B66" s="143" t="n"/>
      <c r="C66" s="143" t="n"/>
      <c r="D66" s="143" t="n"/>
      <c r="E66" s="143" t="n"/>
      <c r="F66" s="143" t="n"/>
      <c r="G66" s="143" t="n"/>
      <c r="H66" s="143" t="n"/>
      <c r="I66" s="143" t="n"/>
      <c r="J66" s="143" t="n"/>
      <c r="K66" s="143" t="n"/>
      <c r="L66" s="143" t="n"/>
      <c r="M66" s="143" t="n"/>
      <c r="N66" s="143" t="n"/>
      <c r="O66" s="143" t="n"/>
      <c r="P66" s="143" t="n"/>
      <c r="Q66" s="144" t="n"/>
    </row>
    <row r="67">
      <c r="A67" s="18" t="n">
        <v>43</v>
      </c>
      <c r="B67" s="19" t="inlineStr">
        <is>
          <t xml:space="preserve">        Placa de Gypsum Estándar ST ½" 1.22x2.44m Gyplac</t>
        </is>
      </c>
      <c r="C67" s="20" t="inlineStr">
        <is>
          <t>Residencial / Comercial</t>
        </is>
      </c>
      <c r="D67" s="18" t="inlineStr">
        <is>
          <t>Placas Estándar ST</t>
        </is>
      </c>
      <c r="E67" s="18" t="inlineStr">
        <is>
          <t>U</t>
        </is>
      </c>
      <c r="F67" s="21" t="n">
        <v>25</v>
      </c>
      <c r="G67" s="22" t="n">
        <v>8.5</v>
      </c>
      <c r="H67" s="22" t="n">
        <v>8.800000000000001</v>
      </c>
      <c r="I67" s="18" t="inlineStr">
        <is>
          <t>Megametales</t>
        </is>
      </c>
      <c r="J67" s="22" t="n">
        <v>9.5</v>
      </c>
      <c r="K67" s="18" t="inlineStr">
        <is>
          <t>Ferrisariato</t>
        </is>
      </c>
      <c r="L67" s="8">
        <f>F67*G67</f>
        <v/>
      </c>
      <c r="M67" s="145" t="inlineStr">
        <is>
          <t>A-C10-GYM-PLA-ST-12P7</t>
        </is>
      </c>
      <c r="N67" s="18" t="inlineStr">
        <is>
          <t>Arquitectura</t>
        </is>
      </c>
      <c r="O67" s="18" t="inlineStr">
        <is>
          <t>Estimado · base original del usuario (sin cotización verificada)</t>
        </is>
      </c>
      <c r="P67" s="18" t="inlineStr">
        <is>
          <t>oct-2026 (est.)</t>
        </is>
      </c>
      <c r="Q67" s="18" t="n">
        <v>10</v>
      </c>
    </row>
    <row r="68">
      <c r="A68" s="126" t="n">
        <v>44</v>
      </c>
      <c r="B68" s="127" t="inlineStr">
        <is>
          <t xml:space="preserve">        Placa de Gypsum Resistente Humedad RH ½" 1.22x2.44m Verde</t>
        </is>
      </c>
      <c r="C68" s="128" t="inlineStr">
        <is>
          <t>Residencial / Baños/Cocina</t>
        </is>
      </c>
      <c r="D68" s="126" t="inlineStr">
        <is>
          <t>Placas Humedad RH</t>
        </is>
      </c>
      <c r="E68" s="126" t="inlineStr">
        <is>
          <t>U</t>
        </is>
      </c>
      <c r="F68" s="129" t="n">
        <v>10</v>
      </c>
      <c r="G68" s="130" t="n">
        <v>11.5</v>
      </c>
      <c r="H68" s="130" t="n">
        <v>11.9</v>
      </c>
      <c r="I68" s="126" t="inlineStr">
        <is>
          <t>Megametales</t>
        </is>
      </c>
      <c r="J68" s="130" t="n">
        <v>12.8</v>
      </c>
      <c r="K68" s="126" t="inlineStr">
        <is>
          <t>Kywi / Megakywi</t>
        </is>
      </c>
      <c r="L68" s="131">
        <f>F68*G68</f>
        <v/>
      </c>
      <c r="M68" s="159" t="inlineStr">
        <is>
          <t>A-C10-GYM-PLA-RH-12P7</t>
        </is>
      </c>
      <c r="N68" s="126" t="inlineStr">
        <is>
          <t>Arquitectura</t>
        </is>
      </c>
      <c r="O68" s="126" t="inlineStr">
        <is>
          <t>Estimado · base original del usuario (sin cotización verificada)</t>
        </is>
      </c>
      <c r="P68" s="126" t="inlineStr">
        <is>
          <t>oct-2026 (est.)</t>
        </is>
      </c>
      <c r="Q68" s="126" t="n">
        <v>10</v>
      </c>
    </row>
    <row r="69">
      <c r="A69" s="18" t="n">
        <v>45</v>
      </c>
      <c r="B69" s="19" t="inlineStr">
        <is>
          <t xml:space="preserve">        Placa de Gypsum Resistente Fuego RF 5/8" 1.22x2.44m Roja</t>
        </is>
      </c>
      <c r="C69" s="20" t="inlineStr">
        <is>
          <t>Comercial / Edificios</t>
        </is>
      </c>
      <c r="D69" s="18" t="inlineStr">
        <is>
          <t>Placas Fuego RF</t>
        </is>
      </c>
      <c r="E69" s="18" t="inlineStr">
        <is>
          <t>U</t>
        </is>
      </c>
      <c r="F69" s="21" t="n">
        <v>8</v>
      </c>
      <c r="G69" s="22" t="n">
        <v>14.5</v>
      </c>
      <c r="H69" s="22" t="n">
        <v>15</v>
      </c>
      <c r="I69" s="18" t="inlineStr">
        <is>
          <t>Megametales</t>
        </is>
      </c>
      <c r="J69" s="22" t="n">
        <v>16.2</v>
      </c>
      <c r="K69" s="18" t="inlineStr">
        <is>
          <t>Ferrisariato</t>
        </is>
      </c>
      <c r="L69" s="8">
        <f>F69*G69</f>
        <v/>
      </c>
      <c r="M69" s="145" t="inlineStr">
        <is>
          <t>A-C10-GYM-PLA-RF-15P9</t>
        </is>
      </c>
      <c r="N69" s="18" t="inlineStr">
        <is>
          <t>Arquitectura</t>
        </is>
      </c>
      <c r="O69" s="18" t="inlineStr">
        <is>
          <t>Estimado · base original del usuario (sin cotización verificada)</t>
        </is>
      </c>
      <c r="P69" s="18" t="inlineStr">
        <is>
          <t>oct-2026 (est.)</t>
        </is>
      </c>
      <c r="Q69" s="18" t="n">
        <v>10</v>
      </c>
    </row>
    <row r="70">
      <c r="A70" s="125" t="inlineStr">
        <is>
          <t xml:space="preserve">      • Subcategoría Especificada: Espesores, Placas Especiales y Cielos Modulares</t>
        </is>
      </c>
      <c r="B70" s="143" t="n"/>
      <c r="C70" s="143" t="n"/>
      <c r="D70" s="143" t="n"/>
      <c r="E70" s="143" t="n"/>
      <c r="F70" s="143" t="n"/>
      <c r="G70" s="143" t="n"/>
      <c r="H70" s="143" t="n"/>
      <c r="I70" s="143" t="n"/>
      <c r="J70" s="143" t="n"/>
      <c r="K70" s="143" t="n"/>
      <c r="L70" s="143" t="n"/>
      <c r="M70" s="143" t="n"/>
      <c r="N70" s="143" t="n"/>
      <c r="O70" s="143" t="n"/>
      <c r="P70" s="143" t="n"/>
      <c r="Q70" s="144" t="n"/>
    </row>
    <row r="71">
      <c r="A71" s="126" t="n">
        <v>46</v>
      </c>
      <c r="B71" s="127" t="inlineStr">
        <is>
          <t xml:space="preserve">        Placa de Gypsum ST ⅜" (9.5 mm) 1.22x2.44 m</t>
        </is>
      </c>
      <c r="C71" s="128" t="inlineStr">
        <is>
          <t>Residencial / Comercial</t>
        </is>
      </c>
      <c r="D71" s="126" t="inlineStr">
        <is>
          <t>Placas Estándar ST</t>
        </is>
      </c>
      <c r="E71" s="126" t="inlineStr">
        <is>
          <t>U</t>
        </is>
      </c>
      <c r="F71" s="129" t="n">
        <v>10</v>
      </c>
      <c r="G71" s="130" t="n">
        <v>7.6</v>
      </c>
      <c r="H71" s="130" t="n">
        <v>7.98</v>
      </c>
      <c r="I71" s="126" t="inlineStr">
        <is>
          <t>Megametales</t>
        </is>
      </c>
      <c r="J71" s="130" t="n">
        <v>8.44</v>
      </c>
      <c r="K71" s="126" t="inlineStr">
        <is>
          <t>Kywi / Megakywi</t>
        </is>
      </c>
      <c r="L71" s="131">
        <f>F71*G71</f>
        <v/>
      </c>
      <c r="M71" s="159" t="inlineStr">
        <is>
          <t>A-C10-GYM-PLA-ST-9P5</t>
        </is>
      </c>
      <c r="N71" s="126" t="inlineStr">
        <is>
          <t>Arquitectura</t>
        </is>
      </c>
      <c r="O71" s="126" t="inlineStr">
        <is>
          <t>Estimado DION · criterio de mercado Guayaquil 2026 (no verificado en tienda)</t>
        </is>
      </c>
      <c r="P71" s="126" t="inlineStr">
        <is>
          <t>oct-2026 (est.)</t>
        </is>
      </c>
      <c r="Q71" s="126" t="n">
        <v>10</v>
      </c>
    </row>
    <row r="72">
      <c r="A72" s="18" t="n">
        <v>47</v>
      </c>
      <c r="B72" s="19" t="inlineStr">
        <is>
          <t xml:space="preserve">        Placa de Gypsum ST ⅝" (15.9 mm) 1.22x2.44 m</t>
        </is>
      </c>
      <c r="C72" s="20" t="inlineStr">
        <is>
          <t>Comercial</t>
        </is>
      </c>
      <c r="D72" s="18" t="inlineStr">
        <is>
          <t>Placas Estándar ST</t>
        </is>
      </c>
      <c r="E72" s="18" t="inlineStr">
        <is>
          <t>U</t>
        </is>
      </c>
      <c r="F72" s="21" t="n">
        <v>10</v>
      </c>
      <c r="G72" s="22" t="n">
        <v>12.5</v>
      </c>
      <c r="H72" s="22" t="n">
        <v>12.88</v>
      </c>
      <c r="I72" s="18" t="inlineStr">
        <is>
          <t>Megametales</t>
        </is>
      </c>
      <c r="J72" s="22" t="n">
        <v>13.38</v>
      </c>
      <c r="K72" s="18" t="inlineStr">
        <is>
          <t>Ferrisariato</t>
        </is>
      </c>
      <c r="L72" s="8">
        <f>F72*G72</f>
        <v/>
      </c>
      <c r="M72" s="145" t="inlineStr">
        <is>
          <t>A-C10-GYM-PLA-ST-15P9</t>
        </is>
      </c>
      <c r="N72" s="18" t="inlineStr">
        <is>
          <t>Arquitectura</t>
        </is>
      </c>
      <c r="O72" s="18" t="inlineStr">
        <is>
          <t>Estimado DION · criterio de mercado Guayaquil 2026 (no verificado en tienda)</t>
        </is>
      </c>
      <c r="P72" s="18" t="inlineStr">
        <is>
          <t>oct-2026 (est.)</t>
        </is>
      </c>
      <c r="Q72" s="18" t="n">
        <v>10</v>
      </c>
    </row>
    <row r="73">
      <c r="A73" s="126" t="n">
        <v>48</v>
      </c>
      <c r="B73" s="127" t="inlineStr">
        <is>
          <t xml:space="preserve">        Placa de Gypsum RH ⅝" (15.9 mm) 1.22x2.44 m</t>
        </is>
      </c>
      <c r="C73" s="128" t="inlineStr">
        <is>
          <t>Comercial / Hospitalario</t>
        </is>
      </c>
      <c r="D73" s="126" t="inlineStr">
        <is>
          <t>Placas Humedad RH</t>
        </is>
      </c>
      <c r="E73" s="126" t="inlineStr">
        <is>
          <t>U</t>
        </is>
      </c>
      <c r="F73" s="129" t="n">
        <v>10</v>
      </c>
      <c r="G73" s="130" t="n">
        <v>16.5</v>
      </c>
      <c r="H73" s="130" t="n">
        <v>16.83</v>
      </c>
      <c r="I73" s="126" t="inlineStr">
        <is>
          <t>Megametales</t>
        </is>
      </c>
      <c r="J73" s="130" t="n">
        <v>18.15</v>
      </c>
      <c r="K73" s="126" t="inlineStr">
        <is>
          <t>Kywi / Megakywi</t>
        </is>
      </c>
      <c r="L73" s="131">
        <f>F73*G73</f>
        <v/>
      </c>
      <c r="M73" s="159" t="inlineStr">
        <is>
          <t>A-C10-GYM-PLA-RH-15P9</t>
        </is>
      </c>
      <c r="N73" s="126" t="inlineStr">
        <is>
          <t>Arquitectura</t>
        </is>
      </c>
      <c r="O73" s="126" t="inlineStr">
        <is>
          <t>Estimado DION · criterio de mercado Guayaquil 2026 (no verificado en tienda)</t>
        </is>
      </c>
      <c r="P73" s="126" t="inlineStr">
        <is>
          <t>oct-2026 (est.)</t>
        </is>
      </c>
      <c r="Q73" s="126" t="n">
        <v>10</v>
      </c>
    </row>
    <row r="74">
      <c r="A74" s="18" t="n">
        <v>49</v>
      </c>
      <c r="B74" s="19" t="inlineStr">
        <is>
          <t xml:space="preserve">        Placa de Gypsum RF ½" (12.7 mm) 1.22x2.44 m</t>
        </is>
      </c>
      <c r="C74" s="20" t="inlineStr">
        <is>
          <t>Comercial / Edificios</t>
        </is>
      </c>
      <c r="D74" s="18" t="inlineStr">
        <is>
          <t>Placas Fuego RF</t>
        </is>
      </c>
      <c r="E74" s="18" t="inlineStr">
        <is>
          <t>U</t>
        </is>
      </c>
      <c r="F74" s="21" t="n">
        <v>10</v>
      </c>
      <c r="G74" s="22" t="n">
        <v>12.9</v>
      </c>
      <c r="H74" s="22" t="n">
        <v>13.42</v>
      </c>
      <c r="I74" s="18" t="inlineStr">
        <is>
          <t>Megametales</t>
        </is>
      </c>
      <c r="J74" s="22" t="n">
        <v>14.06</v>
      </c>
      <c r="K74" s="18" t="inlineStr">
        <is>
          <t>Ferrisariato</t>
        </is>
      </c>
      <c r="L74" s="8">
        <f>F74*G74</f>
        <v/>
      </c>
      <c r="M74" s="145" t="inlineStr">
        <is>
          <t>A-C10-GYM-PLA-RF-12P7</t>
        </is>
      </c>
      <c r="N74" s="18" t="inlineStr">
        <is>
          <t>Arquitectura</t>
        </is>
      </c>
      <c r="O74" s="18" t="inlineStr">
        <is>
          <t>Estimado DION · criterio de mercado Guayaquil 2026 (no verificado en tienda)</t>
        </is>
      </c>
      <c r="P74" s="18" t="inlineStr">
        <is>
          <t>oct-2026 (est.)</t>
        </is>
      </c>
      <c r="Q74" s="18" t="n">
        <v>10</v>
      </c>
    </row>
    <row r="75">
      <c r="A75" s="126" t="n">
        <v>50</v>
      </c>
      <c r="B75" s="127" t="inlineStr">
        <is>
          <t xml:space="preserve">        Placa de Gypsum Acústica Perforada 1.20x2.40 m</t>
        </is>
      </c>
      <c r="C75" s="128" t="inlineStr">
        <is>
          <t>Comercial / Auditorios</t>
        </is>
      </c>
      <c r="D75" s="126" t="inlineStr">
        <is>
          <t>Placas Acústicas</t>
        </is>
      </c>
      <c r="E75" s="126" t="inlineStr">
        <is>
          <t>U</t>
        </is>
      </c>
      <c r="F75" s="129" t="n">
        <v>6</v>
      </c>
      <c r="G75" s="130" t="n">
        <v>38</v>
      </c>
      <c r="H75" s="130" t="n">
        <v>38.76</v>
      </c>
      <c r="I75" s="126" t="inlineStr">
        <is>
          <t>Megametales</t>
        </is>
      </c>
      <c r="J75" s="130" t="n">
        <v>41.04</v>
      </c>
      <c r="K75" s="126" t="inlineStr">
        <is>
          <t>Kywi / Megakywi</t>
        </is>
      </c>
      <c r="L75" s="131">
        <f>F75*G75</f>
        <v/>
      </c>
      <c r="M75" s="159" t="inlineStr">
        <is>
          <t>A-C10-GYM-PLA-ACU</t>
        </is>
      </c>
      <c r="N75" s="126" t="inlineStr">
        <is>
          <t>Arquitectura</t>
        </is>
      </c>
      <c r="O75" s="126" t="inlineStr">
        <is>
          <t>Estimado DION · criterio de mercado Guayaquil 2026 (no verificado en tienda)</t>
        </is>
      </c>
      <c r="P75" s="126" t="inlineStr">
        <is>
          <t>oct-2026 (est.)</t>
        </is>
      </c>
      <c r="Q75" s="126" t="n">
        <v>10</v>
      </c>
    </row>
    <row r="76">
      <c r="A76" s="18" t="n">
        <v>51</v>
      </c>
      <c r="B76" s="19" t="inlineStr">
        <is>
          <t xml:space="preserve">        Placa de Gypsum Plomada (Protección RX) 1.22x2.44 m</t>
        </is>
      </c>
      <c r="C76" s="20" t="inlineStr">
        <is>
          <t>Hospitalario</t>
        </is>
      </c>
      <c r="D76" s="18" t="inlineStr">
        <is>
          <t>Placas Plomadas</t>
        </is>
      </c>
      <c r="E76" s="18" t="inlineStr">
        <is>
          <t>U</t>
        </is>
      </c>
      <c r="F76" s="21" t="n">
        <v>4</v>
      </c>
      <c r="G76" s="22" t="n">
        <v>285</v>
      </c>
      <c r="H76" s="22" t="n">
        <v>296.4</v>
      </c>
      <c r="I76" s="18" t="inlineStr">
        <is>
          <t>Megametales</t>
        </is>
      </c>
      <c r="J76" s="22" t="n">
        <v>307.8</v>
      </c>
      <c r="K76" s="18" t="inlineStr">
        <is>
          <t>Ferrisariato</t>
        </is>
      </c>
      <c r="L76" s="8">
        <f>F76*G76</f>
        <v/>
      </c>
      <c r="M76" s="145" t="inlineStr">
        <is>
          <t>A-C10-GYM-PLA-PB</t>
        </is>
      </c>
      <c r="N76" s="18" t="inlineStr">
        <is>
          <t>Arquitectura</t>
        </is>
      </c>
      <c r="O76" s="18" t="inlineStr">
        <is>
          <t>Estimado DION · criterio de mercado Guayaquil 2026 (no verificado en tienda)</t>
        </is>
      </c>
      <c r="P76" s="18" t="inlineStr">
        <is>
          <t>oct-2026 (est.)</t>
        </is>
      </c>
      <c r="Q76" s="18" t="n">
        <v>5</v>
      </c>
    </row>
    <row r="77">
      <c r="A77" s="126" t="n">
        <v>52</v>
      </c>
      <c r="B77" s="127" t="inlineStr">
        <is>
          <t xml:space="preserve">        Placa de Gypsum Alta Resistencia al Impacto 1.22x2.44 m</t>
        </is>
      </c>
      <c r="C77" s="128" t="inlineStr">
        <is>
          <t>Hospitalario / Educación</t>
        </is>
      </c>
      <c r="D77" s="126" t="inlineStr">
        <is>
          <t>Placas Impacto</t>
        </is>
      </c>
      <c r="E77" s="126" t="inlineStr">
        <is>
          <t>U</t>
        </is>
      </c>
      <c r="F77" s="129" t="n">
        <v>6</v>
      </c>
      <c r="G77" s="130" t="n">
        <v>24</v>
      </c>
      <c r="H77" s="130" t="n">
        <v>24.48</v>
      </c>
      <c r="I77" s="126" t="inlineStr">
        <is>
          <t>Megametales</t>
        </is>
      </c>
      <c r="J77" s="130" t="n">
        <v>26.64</v>
      </c>
      <c r="K77" s="126" t="inlineStr">
        <is>
          <t>Kywi / Megakywi</t>
        </is>
      </c>
      <c r="L77" s="131">
        <f>F77*G77</f>
        <v/>
      </c>
      <c r="M77" s="159" t="inlineStr">
        <is>
          <t>A-C10-GYM-PLA-IMP</t>
        </is>
      </c>
      <c r="N77" s="126" t="inlineStr">
        <is>
          <t>Arquitectura</t>
        </is>
      </c>
      <c r="O77" s="126" t="inlineStr">
        <is>
          <t>Estimado DION · criterio de mercado Guayaquil 2026 (no verificado en tienda)</t>
        </is>
      </c>
      <c r="P77" s="126" t="inlineStr">
        <is>
          <t>oct-2026 (est.)</t>
        </is>
      </c>
      <c r="Q77" s="126" t="n">
        <v>10</v>
      </c>
    </row>
    <row r="78">
      <c r="A78" s="18" t="n">
        <v>53</v>
      </c>
      <c r="B78" s="19" t="inlineStr">
        <is>
          <t xml:space="preserve">        Placa de Cielo Fibra Mineral 60x60 cm (m²)</t>
        </is>
      </c>
      <c r="C78" s="20" t="inlineStr">
        <is>
          <t>Comercial / Oficinas</t>
        </is>
      </c>
      <c r="D78" s="18" t="inlineStr">
        <is>
          <t>Placas Fibra Mineral</t>
        </is>
      </c>
      <c r="E78" s="18" t="inlineStr">
        <is>
          <t>m2</t>
        </is>
      </c>
      <c r="F78" s="21" t="n">
        <v>30</v>
      </c>
      <c r="G78" s="22" t="n">
        <v>7.5</v>
      </c>
      <c r="H78" s="22" t="n">
        <v>7.88</v>
      </c>
      <c r="I78" s="18" t="inlineStr">
        <is>
          <t>Megametales</t>
        </is>
      </c>
      <c r="J78" s="22" t="n">
        <v>8.33</v>
      </c>
      <c r="K78" s="18" t="inlineStr">
        <is>
          <t>Ferrisariato</t>
        </is>
      </c>
      <c r="L78" s="8">
        <f>F78*G78</f>
        <v/>
      </c>
      <c r="M78" s="145" t="inlineStr">
        <is>
          <t>A-C10-GYM-FMN-60X60</t>
        </is>
      </c>
      <c r="N78" s="18" t="inlineStr">
        <is>
          <t>Arquitectura</t>
        </is>
      </c>
      <c r="O78" s="18" t="inlineStr">
        <is>
          <t>Estimado DION · criterio de mercado Guayaquil 2026 (no verificado en tienda)</t>
        </is>
      </c>
      <c r="P78" s="18" t="inlineStr">
        <is>
          <t>oct-2026 (est.)</t>
        </is>
      </c>
      <c r="Q78" s="18" t="n">
        <v>5</v>
      </c>
    </row>
    <row r="79">
      <c r="A79" s="126" t="n">
        <v>54</v>
      </c>
      <c r="B79" s="127" t="inlineStr">
        <is>
          <t xml:space="preserve">        Placa de Cielo PVC Lavable 60x60 (Asepsia) m²</t>
        </is>
      </c>
      <c r="C79" s="128" t="inlineStr">
        <is>
          <t>Hospitalario</t>
        </is>
      </c>
      <c r="D79" s="126" t="inlineStr">
        <is>
          <t>Placas PVC</t>
        </is>
      </c>
      <c r="E79" s="126" t="inlineStr">
        <is>
          <t>m2</t>
        </is>
      </c>
      <c r="F79" s="129" t="n">
        <v>20</v>
      </c>
      <c r="G79" s="130" t="n">
        <v>9.5</v>
      </c>
      <c r="H79" s="130" t="n">
        <v>9.970000000000001</v>
      </c>
      <c r="I79" s="126" t="inlineStr">
        <is>
          <t>Megametales</t>
        </is>
      </c>
      <c r="J79" s="130" t="n">
        <v>10.55</v>
      </c>
      <c r="K79" s="126" t="inlineStr">
        <is>
          <t>Kywi / Megakywi</t>
        </is>
      </c>
      <c r="L79" s="131">
        <f>F79*G79</f>
        <v/>
      </c>
      <c r="M79" s="159" t="inlineStr">
        <is>
          <t>A-C10-GYM-PVC-60X60</t>
        </is>
      </c>
      <c r="N79" s="126" t="inlineStr">
        <is>
          <t>Arquitectura</t>
        </is>
      </c>
      <c r="O79" s="126" t="inlineStr">
        <is>
          <t>Estimado DION · criterio de mercado Guayaquil 2026 (no verificado en tienda)</t>
        </is>
      </c>
      <c r="P79" s="126" t="inlineStr">
        <is>
          <t>oct-2026 (est.)</t>
        </is>
      </c>
      <c r="Q79" s="126" t="n">
        <v>5</v>
      </c>
    </row>
    <row r="80">
      <c r="A80" s="18" t="n">
        <v>55</v>
      </c>
      <c r="B80" s="19" t="inlineStr">
        <is>
          <t xml:space="preserve">        Placa Cielo Yeso Vinil Lavable 60x60 cm (m²)</t>
        </is>
      </c>
      <c r="C80" s="20" t="inlineStr">
        <is>
          <t>Comercial / Hospitalario</t>
        </is>
      </c>
      <c r="D80" s="18" t="inlineStr">
        <is>
          <t>Placas Vinílicas</t>
        </is>
      </c>
      <c r="E80" s="18" t="inlineStr">
        <is>
          <t>m2</t>
        </is>
      </c>
      <c r="F80" s="21" t="n">
        <v>30</v>
      </c>
      <c r="G80" s="22" t="n">
        <v>6.8</v>
      </c>
      <c r="H80" s="22" t="n">
        <v>6.94</v>
      </c>
      <c r="I80" s="18" t="inlineStr">
        <is>
          <t>Megametales</t>
        </is>
      </c>
      <c r="J80" s="22" t="n">
        <v>7.34</v>
      </c>
      <c r="K80" s="18" t="inlineStr">
        <is>
          <t>Ferrisariato</t>
        </is>
      </c>
      <c r="L80" s="8">
        <f>F80*G80</f>
        <v/>
      </c>
      <c r="M80" s="145" t="inlineStr">
        <is>
          <t>A-C10-GYM-VIN-60X60</t>
        </is>
      </c>
      <c r="N80" s="18" t="inlineStr">
        <is>
          <t>Arquitectura</t>
        </is>
      </c>
      <c r="O80" s="18" t="inlineStr">
        <is>
          <t>Estimado DION · criterio de mercado Guayaquil 2026 (no verificado en tienda)</t>
        </is>
      </c>
      <c r="P80" s="18" t="inlineStr">
        <is>
          <t>oct-2026 (est.)</t>
        </is>
      </c>
      <c r="Q80" s="18" t="n">
        <v>5</v>
      </c>
    </row>
    <row r="81">
      <c r="A81" s="10" t="n"/>
      <c r="B81" s="147" t="inlineStr">
        <is>
          <t>TOTAL BASE DE DATOS GYPSUM (ESTIMADO)</t>
        </is>
      </c>
      <c r="C81" s="148" t="n"/>
      <c r="D81" s="148" t="n"/>
      <c r="E81" s="148" t="n"/>
      <c r="F81" s="148" t="n"/>
      <c r="G81" s="148" t="n"/>
      <c r="H81" s="148" t="n"/>
      <c r="I81" s="148" t="n"/>
      <c r="J81" s="148" t="n"/>
      <c r="K81" s="148" t="n"/>
      <c r="L81" s="30">
        <f>SUM(L6:L80)</f>
        <v/>
      </c>
      <c r="M81" s="30" t="n"/>
      <c r="N81" s="30" t="n"/>
      <c r="O81" s="30" t="n"/>
      <c r="P81" s="30" t="n"/>
      <c r="Q81" s="30" t="n"/>
    </row>
  </sheetData>
  <mergeCells count="21">
    <mergeCell ref="A44:Q44"/>
    <mergeCell ref="A39:Q39"/>
    <mergeCell ref="A34:Q34"/>
    <mergeCell ref="A24:Q24"/>
    <mergeCell ref="A64:Q64"/>
    <mergeCell ref="A45:Q45"/>
    <mergeCell ref="A36:Q36"/>
    <mergeCell ref="A6:Q6"/>
    <mergeCell ref="A70:Q70"/>
    <mergeCell ref="A7:Q7"/>
    <mergeCell ref="A65:Q65"/>
    <mergeCell ref="B81:K81"/>
    <mergeCell ref="A66:Q66"/>
    <mergeCell ref="A46:Q46"/>
    <mergeCell ref="A12:Q12"/>
    <mergeCell ref="A50:Q50"/>
    <mergeCell ref="A26:Q26"/>
    <mergeCell ref="A23:Q23"/>
    <mergeCell ref="A8:Q8"/>
    <mergeCell ref="A22:Q22"/>
    <mergeCell ref="A35:Q35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58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8" customWidth="1" min="2" max="2"/>
    <col width="30" customWidth="1" min="3" max="3"/>
    <col width="32" customWidth="1" min="4" max="4"/>
    <col width="8" customWidth="1" min="5" max="5"/>
    <col width="10" customWidth="1" min="6" max="6"/>
    <col width="15" customWidth="1" min="7" max="7"/>
    <col width="16" customWidth="1" min="8" max="8"/>
    <col width="22" customWidth="1" min="9" max="9"/>
    <col width="16" customWidth="1" min="10" max="10"/>
    <col width="20" customWidth="1" min="11" max="11"/>
    <col width="16" customWidth="1" min="12" max="12"/>
    <col width="27" customWidth="1" min="13" max="13"/>
    <col width="30" customWidth="1" min="14" max="14"/>
    <col width="44" customWidth="1" min="15" max="15"/>
    <col width="15" customWidth="1" min="16" max="16"/>
    <col width="14" customWidth="1" min="17" max="17"/>
  </cols>
  <sheetData>
    <row r="1">
      <c r="A1" s="1" t="inlineStr">
        <is>
          <t>BASE DE DATOS COMPLETA DE CATALOGACIÓN: FIBROCEMENTO</t>
        </is>
      </c>
    </row>
    <row r="2">
      <c r="A2" s="2" t="inlineStr">
        <is>
          <t>Estructura Jerárquica Homogénea: Accesorios &gt; Tuberías &gt; Equipos &gt; Conexiones &gt; Equipos Especializados | Degradé por Niveles (Ecuador - USD)</t>
        </is>
      </c>
    </row>
    <row r="3">
      <c r="A3" s="13" t="inlineStr">
        <is>
          <t>« Volver al Índice General</t>
        </is>
      </c>
    </row>
    <row r="5" ht="30" customHeight="1">
      <c r="A5" s="4" t="inlineStr">
        <is>
          <t>Item</t>
        </is>
      </c>
      <c r="B5" s="4" t="inlineStr">
        <is>
          <t>Descripción de Accesorio / Ítem Especificado</t>
        </is>
      </c>
      <c r="C5" s="4" t="inlineStr">
        <is>
          <t>Clasificación / Ámbito de Uso
(Residencial/Comercial/Industrial)</t>
        </is>
      </c>
      <c r="D5" s="4" t="inlineStr">
        <is>
          <t>Tipo / Familia</t>
        </is>
      </c>
      <c r="E5" s="4" t="inlineStr">
        <is>
          <t>Unidad</t>
        </is>
      </c>
      <c r="F5" s="4" t="inlineStr">
        <is>
          <t>Cant.</t>
        </is>
      </c>
      <c r="G5" s="4" t="inlineStr">
        <is>
          <t>P. Ref. Est. ($)</t>
        </is>
      </c>
      <c r="H5" s="4" t="inlineStr">
        <is>
          <t>P. Unit. Local A ($)
(Megametales)</t>
        </is>
      </c>
      <c r="I5" s="4" t="inlineStr">
        <is>
          <t>Local A
Especificado</t>
        </is>
      </c>
      <c r="J5" s="4" t="inlineStr">
        <is>
          <t>P. Unit. Local B ($)
(Kywi/Ferrisariato)</t>
        </is>
      </c>
      <c r="K5" s="4" t="inlineStr">
        <is>
          <t>Local B
Especificado</t>
        </is>
      </c>
      <c r="L5" s="4" t="inlineStr">
        <is>
          <t>Subtotal Est. ($)</t>
        </is>
      </c>
      <c r="M5" s="4" t="inlineStr">
        <is>
          <t>Código DION</t>
        </is>
      </c>
      <c r="N5" s="4" t="inlineStr">
        <is>
          <t>Disciplina</t>
        </is>
      </c>
      <c r="O5" s="4" t="inlineStr">
        <is>
          <t>Fuente del precio</t>
        </is>
      </c>
      <c r="P5" s="4" t="inlineStr">
        <is>
          <t>Fecha precio</t>
        </is>
      </c>
      <c r="Q5" s="4" t="inlineStr">
        <is>
          <t>Rendimiento /
desperdicio %</t>
        </is>
      </c>
    </row>
    <row r="6">
      <c r="A6" s="132" t="inlineStr">
        <is>
          <t>ACCESORIOS</t>
        </is>
      </c>
      <c r="B6" s="143" t="n"/>
      <c r="C6" s="143" t="n"/>
      <c r="D6" s="143" t="n"/>
      <c r="E6" s="143" t="n"/>
      <c r="F6" s="143" t="n"/>
      <c r="G6" s="143" t="n"/>
      <c r="H6" s="143" t="n"/>
      <c r="I6" s="143" t="n"/>
      <c r="J6" s="143" t="n"/>
      <c r="K6" s="143" t="n"/>
      <c r="L6" s="143" t="n"/>
      <c r="M6" s="143" t="n"/>
      <c r="N6" s="143" t="n"/>
      <c r="O6" s="143" t="n"/>
      <c r="P6" s="143" t="n"/>
      <c r="Q6" s="144" t="n"/>
    </row>
    <row r="7">
      <c r="A7" s="133" t="inlineStr">
        <is>
          <t xml:space="preserve">  ► CATEGORÍA: TORNILLOS AUTOPERFORANTES, JUNTAS Y SELLADORES POLYURETHANE</t>
        </is>
      </c>
      <c r="B7" s="143" t="n"/>
      <c r="C7" s="143" t="n"/>
      <c r="D7" s="143" t="n"/>
      <c r="E7" s="143" t="n"/>
      <c r="F7" s="143" t="n"/>
      <c r="G7" s="143" t="n"/>
      <c r="H7" s="143" t="n"/>
      <c r="I7" s="143" t="n"/>
      <c r="J7" s="143" t="n"/>
      <c r="K7" s="143" t="n"/>
      <c r="L7" s="143" t="n"/>
      <c r="M7" s="143" t="n"/>
      <c r="N7" s="143" t="n"/>
      <c r="O7" s="143" t="n"/>
      <c r="P7" s="143" t="n"/>
      <c r="Q7" s="144" t="n"/>
    </row>
    <row r="8">
      <c r="A8" s="134" t="inlineStr">
        <is>
          <t xml:space="preserve">      • Subcategoría Especificada: Fijación y Sellado</t>
        </is>
      </c>
      <c r="B8" s="143" t="n"/>
      <c r="C8" s="143" t="n"/>
      <c r="D8" s="143" t="n"/>
      <c r="E8" s="143" t="n"/>
      <c r="F8" s="143" t="n"/>
      <c r="G8" s="143" t="n"/>
      <c r="H8" s="143" t="n"/>
      <c r="I8" s="143" t="n"/>
      <c r="J8" s="143" t="n"/>
      <c r="K8" s="143" t="n"/>
      <c r="L8" s="143" t="n"/>
      <c r="M8" s="143" t="n"/>
      <c r="N8" s="143" t="n"/>
      <c r="O8" s="143" t="n"/>
      <c r="P8" s="143" t="n"/>
      <c r="Q8" s="144" t="n"/>
    </row>
    <row r="9">
      <c r="A9" s="18" t="n">
        <v>1</v>
      </c>
      <c r="B9" s="19" t="inlineStr">
        <is>
          <t xml:space="preserve">        Tornillo Autoperforante para Fibrocemento 8x1 ¼" (1000u)</t>
        </is>
      </c>
      <c r="C9" s="20" t="inlineStr">
        <is>
          <t>Residencial / Comercial</t>
        </is>
      </c>
      <c r="D9" s="18" t="inlineStr">
        <is>
          <t>Tornillos Fibrocemento</t>
        </is>
      </c>
      <c r="E9" s="18" t="inlineStr">
        <is>
          <t>Caja 1000u</t>
        </is>
      </c>
      <c r="F9" s="21" t="n">
        <v>2</v>
      </c>
      <c r="G9" s="22" t="n">
        <v>12.5</v>
      </c>
      <c r="H9" s="22" t="n">
        <v>13</v>
      </c>
      <c r="I9" s="18" t="inlineStr">
        <is>
          <t>Megametales</t>
        </is>
      </c>
      <c r="J9" s="22" t="n">
        <v>14.2</v>
      </c>
      <c r="K9" s="18" t="inlineStr">
        <is>
          <t>Ferrisariato</t>
        </is>
      </c>
      <c r="L9" s="8">
        <f>F9*G9</f>
        <v/>
      </c>
      <c r="M9" s="145" t="inlineStr">
        <is>
          <t>A-B20-FCB-TOR-8X114</t>
        </is>
      </c>
      <c r="N9" s="18" t="inlineStr">
        <is>
          <t>Arquitectura</t>
        </is>
      </c>
      <c r="O9" s="18" t="inlineStr">
        <is>
          <t>Estimado · base original del usuario (sin cotización verificada)</t>
        </is>
      </c>
      <c r="P9" s="18" t="inlineStr">
        <is>
          <t>oct-2026 (est.)</t>
        </is>
      </c>
      <c r="Q9" s="18" t="n"/>
    </row>
    <row r="10">
      <c r="A10" s="135" t="n">
        <v>2</v>
      </c>
      <c r="B10" s="136" t="inlineStr">
        <is>
          <t xml:space="preserve">        Sellador de Poliuretano Sikaflex 11FC Gris (Cartucho)</t>
        </is>
      </c>
      <c r="C10" s="137" t="inlineStr">
        <is>
          <t>Residencial / Comercial</t>
        </is>
      </c>
      <c r="D10" s="135" t="inlineStr">
        <is>
          <t>Selladores Poliuretano</t>
        </is>
      </c>
      <c r="E10" s="135" t="inlineStr">
        <is>
          <t>U</t>
        </is>
      </c>
      <c r="F10" s="138" t="n">
        <v>6</v>
      </c>
      <c r="G10" s="139" t="n">
        <v>8.5</v>
      </c>
      <c r="H10" s="139" t="n">
        <v>8.800000000000001</v>
      </c>
      <c r="I10" s="135" t="inlineStr">
        <is>
          <t>Megametales</t>
        </is>
      </c>
      <c r="J10" s="139" t="n">
        <v>9.5</v>
      </c>
      <c r="K10" s="135" t="inlineStr">
        <is>
          <t>Kywi / Megakywi</t>
        </is>
      </c>
      <c r="L10" s="140">
        <f>F10*G10</f>
        <v/>
      </c>
      <c r="M10" s="160" t="inlineStr">
        <is>
          <t>A-B20-FCB-SEL-PUR</t>
        </is>
      </c>
      <c r="N10" s="135" t="inlineStr">
        <is>
          <t>Arquitectura</t>
        </is>
      </c>
      <c r="O10" s="135" t="inlineStr">
        <is>
          <t>Estimado · base original del usuario (sin cotización verificada)</t>
        </is>
      </c>
      <c r="P10" s="135" t="inlineStr">
        <is>
          <t>oct-2026 (est.)</t>
        </is>
      </c>
      <c r="Q10" s="135" t="n"/>
    </row>
    <row r="11">
      <c r="A11" s="134" t="inlineStr">
        <is>
          <t xml:space="preserve">      • Subcategoría Especificada: Fijación, Masillas y Cintas para Fibrocemento</t>
        </is>
      </c>
      <c r="B11" s="143" t="n"/>
      <c r="C11" s="143" t="n"/>
      <c r="D11" s="143" t="n"/>
      <c r="E11" s="143" t="n"/>
      <c r="F11" s="143" t="n"/>
      <c r="G11" s="143" t="n"/>
      <c r="H11" s="143" t="n"/>
      <c r="I11" s="143" t="n"/>
      <c r="J11" s="143" t="n"/>
      <c r="K11" s="143" t="n"/>
      <c r="L11" s="143" t="n"/>
      <c r="M11" s="143" t="n"/>
      <c r="N11" s="143" t="n"/>
      <c r="O11" s="143" t="n"/>
      <c r="P11" s="143" t="n"/>
      <c r="Q11" s="144" t="n"/>
    </row>
    <row r="12">
      <c r="A12" s="18" t="n">
        <v>3</v>
      </c>
      <c r="B12" s="19" t="inlineStr">
        <is>
          <t xml:space="preserve">        Tornillo Autoperforante Fibrocemento con Aletas 8x1⅝" (1000u)</t>
        </is>
      </c>
      <c r="C12" s="20" t="inlineStr">
        <is>
          <t>Residencial / Comercial</t>
        </is>
      </c>
      <c r="D12" s="18" t="inlineStr">
        <is>
          <t>Tornillos Fibrocemento</t>
        </is>
      </c>
      <c r="E12" s="18" t="inlineStr">
        <is>
          <t>Caja 1000u</t>
        </is>
      </c>
      <c r="F12" s="21" t="n">
        <v>1</v>
      </c>
      <c r="G12" s="22" t="n">
        <v>16.5</v>
      </c>
      <c r="H12" s="22" t="n">
        <v>16.83</v>
      </c>
      <c r="I12" s="18" t="inlineStr">
        <is>
          <t>Megametales</t>
        </is>
      </c>
      <c r="J12" s="22" t="n">
        <v>18.15</v>
      </c>
      <c r="K12" s="18" t="inlineStr">
        <is>
          <t>Ferrisariato</t>
        </is>
      </c>
      <c r="L12" s="8">
        <f>F12*G12</f>
        <v/>
      </c>
      <c r="M12" s="145" t="inlineStr">
        <is>
          <t>A-B20-FCB-TOR-8X158</t>
        </is>
      </c>
      <c r="N12" s="18" t="inlineStr">
        <is>
          <t>Arquitectura</t>
        </is>
      </c>
      <c r="O12" s="18" t="inlineStr">
        <is>
          <t>Estimado DION · criterio de mercado Guayaquil 2026 (no verificado en tienda)</t>
        </is>
      </c>
      <c r="P12" s="18" t="inlineStr">
        <is>
          <t>oct-2026 (est.)</t>
        </is>
      </c>
      <c r="Q12" s="18" t="n">
        <v>5</v>
      </c>
    </row>
    <row r="13">
      <c r="A13" s="135" t="n">
        <v>4</v>
      </c>
      <c r="B13" s="136" t="inlineStr">
        <is>
          <t xml:space="preserve">        Cinta Malla Fibra de Vidrio Álcali-Resistente 10 cm (45 m)</t>
        </is>
      </c>
      <c r="C13" s="137" t="inlineStr">
        <is>
          <t>Residencial / Comercial</t>
        </is>
      </c>
      <c r="D13" s="135" t="inlineStr">
        <is>
          <t>Cintas</t>
        </is>
      </c>
      <c r="E13" s="135" t="inlineStr">
        <is>
          <t>Rollo</t>
        </is>
      </c>
      <c r="F13" s="138" t="n">
        <v>2</v>
      </c>
      <c r="G13" s="139" t="n">
        <v>9.5</v>
      </c>
      <c r="H13" s="139" t="n">
        <v>9.970000000000001</v>
      </c>
      <c r="I13" s="135" t="inlineStr">
        <is>
          <t>Megametales</t>
        </is>
      </c>
      <c r="J13" s="139" t="n">
        <v>10.36</v>
      </c>
      <c r="K13" s="135" t="inlineStr">
        <is>
          <t>Kywi / Megakywi</t>
        </is>
      </c>
      <c r="L13" s="140">
        <f>F13*G13</f>
        <v/>
      </c>
      <c r="M13" s="160" t="inlineStr">
        <is>
          <t>A-B20-FCB-CIN-MAL</t>
        </is>
      </c>
      <c r="N13" s="135" t="inlineStr">
        <is>
          <t>Arquitectura</t>
        </is>
      </c>
      <c r="O13" s="135" t="inlineStr">
        <is>
          <t>Estimado DION · criterio de mercado Guayaquil 2026 (no verificado en tienda)</t>
        </is>
      </c>
      <c r="P13" s="135" t="inlineStr">
        <is>
          <t>oct-2026 (est.)</t>
        </is>
      </c>
      <c r="Q13" s="135" t="n">
        <v>10</v>
      </c>
    </row>
    <row r="14">
      <c r="A14" s="18" t="n">
        <v>5</v>
      </c>
      <c r="B14" s="19" t="inlineStr">
        <is>
          <t xml:space="preserve">        Masilla Elastomérica para Juntas Fibrocemento (Galón)</t>
        </is>
      </c>
      <c r="C14" s="20" t="inlineStr">
        <is>
          <t>Residencial / Comercial</t>
        </is>
      </c>
      <c r="D14" s="18" t="inlineStr">
        <is>
          <t>Masillas</t>
        </is>
      </c>
      <c r="E14" s="18" t="inlineStr">
        <is>
          <t>Galón</t>
        </is>
      </c>
      <c r="F14" s="21" t="n">
        <v>2</v>
      </c>
      <c r="G14" s="22" t="n">
        <v>18</v>
      </c>
      <c r="H14" s="22" t="n">
        <v>18.36</v>
      </c>
      <c r="I14" s="18" t="inlineStr">
        <is>
          <t>Megametales</t>
        </is>
      </c>
      <c r="J14" s="22" t="n">
        <v>19.62</v>
      </c>
      <c r="K14" s="18" t="inlineStr">
        <is>
          <t>Ferrisariato</t>
        </is>
      </c>
      <c r="L14" s="8">
        <f>F14*G14</f>
        <v/>
      </c>
      <c r="M14" s="145" t="inlineStr">
        <is>
          <t>A-B20-FCB-MAS-ELA</t>
        </is>
      </c>
      <c r="N14" s="18" t="inlineStr">
        <is>
          <t>Arquitectura</t>
        </is>
      </c>
      <c r="O14" s="18" t="inlineStr">
        <is>
          <t>Estimado DION · criterio de mercado Guayaquil 2026 (no verificado en tienda)</t>
        </is>
      </c>
      <c r="P14" s="18" t="inlineStr">
        <is>
          <t>oct-2026 (est.)</t>
        </is>
      </c>
      <c r="Q14" s="18" t="n">
        <v>10</v>
      </c>
    </row>
    <row r="15">
      <c r="A15" s="135" t="n">
        <v>6</v>
      </c>
      <c r="B15" s="136" t="inlineStr">
        <is>
          <t xml:space="preserve">        Sellador Primer Acrílico para Fibrocemento (Galón)</t>
        </is>
      </c>
      <c r="C15" s="137" t="inlineStr">
        <is>
          <t>Residencial / Comercial</t>
        </is>
      </c>
      <c r="D15" s="135" t="inlineStr">
        <is>
          <t>Selladores</t>
        </is>
      </c>
      <c r="E15" s="135" t="inlineStr">
        <is>
          <t>Galón</t>
        </is>
      </c>
      <c r="F15" s="138" t="n">
        <v>2</v>
      </c>
      <c r="G15" s="139" t="n">
        <v>16</v>
      </c>
      <c r="H15" s="139" t="n">
        <v>16.8</v>
      </c>
      <c r="I15" s="135" t="inlineStr">
        <is>
          <t>Megametales</t>
        </is>
      </c>
      <c r="J15" s="139" t="n">
        <v>17.28</v>
      </c>
      <c r="K15" s="135" t="inlineStr">
        <is>
          <t>Kywi / Megakywi</t>
        </is>
      </c>
      <c r="L15" s="140">
        <f>F15*G15</f>
        <v/>
      </c>
      <c r="M15" s="160" t="inlineStr">
        <is>
          <t>A-B20-FCB-PRI</t>
        </is>
      </c>
      <c r="N15" s="135" t="inlineStr">
        <is>
          <t>Arquitectura</t>
        </is>
      </c>
      <c r="O15" s="135" t="inlineStr">
        <is>
          <t>Estimado DION · criterio de mercado Guayaquil 2026 (no verificado en tienda)</t>
        </is>
      </c>
      <c r="P15" s="135" t="inlineStr">
        <is>
          <t>oct-2026 (est.)</t>
        </is>
      </c>
      <c r="Q15" s="135" t="n">
        <v>10</v>
      </c>
    </row>
    <row r="16">
      <c r="A16" s="18" t="n">
        <v>7</v>
      </c>
      <c r="B16" s="19" t="inlineStr">
        <is>
          <t xml:space="preserve">        Barrera de Humedad / Membrana Hidrófuga Respirable (Rollo 50 m²)</t>
        </is>
      </c>
      <c r="C16" s="20" t="inlineStr">
        <is>
          <t>Comercial</t>
        </is>
      </c>
      <c r="D16" s="18" t="inlineStr">
        <is>
          <t>Membranas</t>
        </is>
      </c>
      <c r="E16" s="18" t="inlineStr">
        <is>
          <t>Rollo</t>
        </is>
      </c>
      <c r="F16" s="21" t="n">
        <v>1</v>
      </c>
      <c r="G16" s="22" t="n">
        <v>85</v>
      </c>
      <c r="H16" s="22" t="n">
        <v>86.7</v>
      </c>
      <c r="I16" s="18" t="inlineStr">
        <is>
          <t>Megametales</t>
        </is>
      </c>
      <c r="J16" s="22" t="n">
        <v>93.5</v>
      </c>
      <c r="K16" s="18" t="inlineStr">
        <is>
          <t>Ferrisariato</t>
        </is>
      </c>
      <c r="L16" s="8">
        <f>F16*G16</f>
        <v/>
      </c>
      <c r="M16" s="145" t="inlineStr">
        <is>
          <t>A-B20-FCB-BAR-HUM</t>
        </is>
      </c>
      <c r="N16" s="18" t="inlineStr">
        <is>
          <t>Arquitectura</t>
        </is>
      </c>
      <c r="O16" s="18" t="inlineStr">
        <is>
          <t>Estimado DION · criterio de mercado Guayaquil 2026 (no verificado en tienda)</t>
        </is>
      </c>
      <c r="P16" s="18" t="inlineStr">
        <is>
          <t>oct-2026 (est.)</t>
        </is>
      </c>
      <c r="Q16" s="18" t="n">
        <v>10</v>
      </c>
    </row>
    <row r="17">
      <c r="A17" s="132" t="inlineStr">
        <is>
          <t>TUBERÍAS</t>
        </is>
      </c>
      <c r="B17" s="143" t="n"/>
      <c r="C17" s="143" t="n"/>
      <c r="D17" s="143" t="n"/>
      <c r="E17" s="143" t="n"/>
      <c r="F17" s="143" t="n"/>
      <c r="G17" s="143" t="n"/>
      <c r="H17" s="143" t="n"/>
      <c r="I17" s="143" t="n"/>
      <c r="J17" s="143" t="n"/>
      <c r="K17" s="143" t="n"/>
      <c r="L17" s="143" t="n"/>
      <c r="M17" s="143" t="n"/>
      <c r="N17" s="143" t="n"/>
      <c r="O17" s="143" t="n"/>
      <c r="P17" s="143" t="n"/>
      <c r="Q17" s="144" t="n"/>
    </row>
    <row r="18">
      <c r="A18" s="133" t="inlineStr">
        <is>
          <t xml:space="preserve">  ► CATEGORÍA: PERFILERÍA PESADA SOPORTE FIBROCEMENTO</t>
        </is>
      </c>
      <c r="B18" s="143" t="n"/>
      <c r="C18" s="143" t="n"/>
      <c r="D18" s="143" t="n"/>
      <c r="E18" s="143" t="n"/>
      <c r="F18" s="143" t="n"/>
      <c r="G18" s="143" t="n"/>
      <c r="H18" s="143" t="n"/>
      <c r="I18" s="143" t="n"/>
      <c r="J18" s="143" t="n"/>
      <c r="K18" s="143" t="n"/>
      <c r="L18" s="143" t="n"/>
      <c r="M18" s="143" t="n"/>
      <c r="N18" s="143" t="n"/>
      <c r="O18" s="143" t="n"/>
      <c r="P18" s="143" t="n"/>
      <c r="Q18" s="144" t="n"/>
    </row>
    <row r="19">
      <c r="A19" s="134" t="inlineStr">
        <is>
          <t xml:space="preserve">      • Subcategoría Especificada: Soportes Estructurales Fachada</t>
        </is>
      </c>
      <c r="B19" s="143" t="n"/>
      <c r="C19" s="143" t="n"/>
      <c r="D19" s="143" t="n"/>
      <c r="E19" s="143" t="n"/>
      <c r="F19" s="143" t="n"/>
      <c r="G19" s="143" t="n"/>
      <c r="H19" s="143" t="n"/>
      <c r="I19" s="143" t="n"/>
      <c r="J19" s="143" t="n"/>
      <c r="K19" s="143" t="n"/>
      <c r="L19" s="143" t="n"/>
      <c r="M19" s="143" t="n"/>
      <c r="N19" s="143" t="n"/>
      <c r="O19" s="143" t="n"/>
      <c r="P19" s="143" t="n"/>
      <c r="Q19" s="144" t="n"/>
    </row>
    <row r="20">
      <c r="A20" s="135" t="n">
        <v>8</v>
      </c>
      <c r="B20" s="136" t="inlineStr">
        <is>
          <t xml:space="preserve">        Perfil de Soporte Aluminio T / L para Fachada Ventilada (3m)</t>
        </is>
      </c>
      <c r="C20" s="137" t="inlineStr">
        <is>
          <t>Comercial / Industrial</t>
        </is>
      </c>
      <c r="D20" s="135" t="inlineStr">
        <is>
          <t>Perfiles Fachada</t>
        </is>
      </c>
      <c r="E20" s="135" t="inlineStr">
        <is>
          <t>U</t>
        </is>
      </c>
      <c r="F20" s="138" t="n">
        <v>10</v>
      </c>
      <c r="G20" s="139" t="n">
        <v>8.5</v>
      </c>
      <c r="H20" s="139" t="n">
        <v>8.800000000000001</v>
      </c>
      <c r="I20" s="135" t="inlineStr">
        <is>
          <t>Megametales</t>
        </is>
      </c>
      <c r="J20" s="139" t="n">
        <v>9.5</v>
      </c>
      <c r="K20" s="135" t="inlineStr">
        <is>
          <t>Ferrisariato</t>
        </is>
      </c>
      <c r="L20" s="140">
        <f>F20*G20</f>
        <v/>
      </c>
      <c r="M20" s="160" t="inlineStr">
        <is>
          <t>A-B20-FCB-PER-ALM</t>
        </is>
      </c>
      <c r="N20" s="135" t="inlineStr">
        <is>
          <t>Arquitectura</t>
        </is>
      </c>
      <c r="O20" s="135" t="inlineStr">
        <is>
          <t>Estimado · base original del usuario (sin cotización verificada)</t>
        </is>
      </c>
      <c r="P20" s="135" t="inlineStr">
        <is>
          <t>oct-2026 (est.)</t>
        </is>
      </c>
      <c r="Q20" s="135" t="n"/>
    </row>
    <row r="21">
      <c r="A21" s="134" t="inlineStr">
        <is>
          <t xml:space="preserve">      • Subcategoría Especificada: Steel Framing Estructural</t>
        </is>
      </c>
      <c r="B21" s="143" t="n"/>
      <c r="C21" s="143" t="n"/>
      <c r="D21" s="143" t="n"/>
      <c r="E21" s="143" t="n"/>
      <c r="F21" s="143" t="n"/>
      <c r="G21" s="143" t="n"/>
      <c r="H21" s="143" t="n"/>
      <c r="I21" s="143" t="n"/>
      <c r="J21" s="143" t="n"/>
      <c r="K21" s="143" t="n"/>
      <c r="L21" s="143" t="n"/>
      <c r="M21" s="143" t="n"/>
      <c r="N21" s="143" t="n"/>
      <c r="O21" s="143" t="n"/>
      <c r="P21" s="143" t="n"/>
      <c r="Q21" s="144" t="n"/>
    </row>
    <row r="22">
      <c r="A22" s="18" t="n">
        <v>9</v>
      </c>
      <c r="B22" s="19" t="inlineStr">
        <is>
          <t xml:space="preserve">        Canal Steel Framing 92 mm x 0.90 mm (3 m)</t>
        </is>
      </c>
      <c r="C22" s="20" t="inlineStr">
        <is>
          <t>Comercial / Industrial</t>
        </is>
      </c>
      <c r="D22" s="18" t="inlineStr">
        <is>
          <t>Steel Framing</t>
        </is>
      </c>
      <c r="E22" s="18" t="inlineStr">
        <is>
          <t>U</t>
        </is>
      </c>
      <c r="F22" s="21" t="n">
        <v>10</v>
      </c>
      <c r="G22" s="22" t="n">
        <v>7.2</v>
      </c>
      <c r="H22" s="22" t="n">
        <v>7.49</v>
      </c>
      <c r="I22" s="18" t="inlineStr">
        <is>
          <t>Megametales</t>
        </is>
      </c>
      <c r="J22" s="22" t="n">
        <v>7.7</v>
      </c>
      <c r="K22" s="18" t="inlineStr">
        <is>
          <t>Ferrisariato</t>
        </is>
      </c>
      <c r="L22" s="8">
        <f>F22*G22</f>
        <v/>
      </c>
      <c r="M22" s="145" t="inlineStr">
        <is>
          <t>A-B20-FCB-CAN-092</t>
        </is>
      </c>
      <c r="N22" s="18" t="inlineStr">
        <is>
          <t>Arquitectura</t>
        </is>
      </c>
      <c r="O22" s="18" t="inlineStr">
        <is>
          <t>Estimado DION · criterio de mercado Guayaquil 2026 (no verificado en tienda)</t>
        </is>
      </c>
      <c r="P22" s="18" t="inlineStr">
        <is>
          <t>oct-2026 (est.)</t>
        </is>
      </c>
      <c r="Q22" s="18" t="n">
        <v>5</v>
      </c>
    </row>
    <row r="23">
      <c r="A23" s="135" t="n">
        <v>10</v>
      </c>
      <c r="B23" s="136" t="inlineStr">
        <is>
          <t xml:space="preserve">        Montante Steel Framing 92 mm x 0.90 mm (3 m)</t>
        </is>
      </c>
      <c r="C23" s="137" t="inlineStr">
        <is>
          <t>Comercial / Industrial</t>
        </is>
      </c>
      <c r="D23" s="135" t="inlineStr">
        <is>
          <t>Steel Framing</t>
        </is>
      </c>
      <c r="E23" s="135" t="inlineStr">
        <is>
          <t>U</t>
        </is>
      </c>
      <c r="F23" s="138" t="n">
        <v>20</v>
      </c>
      <c r="G23" s="139" t="n">
        <v>8.4</v>
      </c>
      <c r="H23" s="139" t="n">
        <v>8.57</v>
      </c>
      <c r="I23" s="135" t="inlineStr">
        <is>
          <t>Megametales</t>
        </is>
      </c>
      <c r="J23" s="139" t="n">
        <v>9.32</v>
      </c>
      <c r="K23" s="135" t="inlineStr">
        <is>
          <t>Kywi / Megakywi</t>
        </is>
      </c>
      <c r="L23" s="140">
        <f>F23*G23</f>
        <v/>
      </c>
      <c r="M23" s="160" t="inlineStr">
        <is>
          <t>A-B20-FCB-MON-092</t>
        </is>
      </c>
      <c r="N23" s="135" t="inlineStr">
        <is>
          <t>Arquitectura</t>
        </is>
      </c>
      <c r="O23" s="135" t="inlineStr">
        <is>
          <t>Estimado DION · criterio de mercado Guayaquil 2026 (no verificado en tienda)</t>
        </is>
      </c>
      <c r="P23" s="135" t="inlineStr">
        <is>
          <t>oct-2026 (est.)</t>
        </is>
      </c>
      <c r="Q23" s="135" t="n">
        <v>5</v>
      </c>
    </row>
    <row r="24">
      <c r="A24" s="18" t="n">
        <v>11</v>
      </c>
      <c r="B24" s="19" t="inlineStr">
        <is>
          <t xml:space="preserve">        Montante Steel Framing 152 mm x 1.20 mm (6 m)</t>
        </is>
      </c>
      <c r="C24" s="20" t="inlineStr">
        <is>
          <t>Industrial</t>
        </is>
      </c>
      <c r="D24" s="18" t="inlineStr">
        <is>
          <t>Steel Framing</t>
        </is>
      </c>
      <c r="E24" s="18" t="inlineStr">
        <is>
          <t>U</t>
        </is>
      </c>
      <c r="F24" s="21" t="n">
        <v>10</v>
      </c>
      <c r="G24" s="22" t="n">
        <v>26</v>
      </c>
      <c r="H24" s="22" t="n">
        <v>27.3</v>
      </c>
      <c r="I24" s="18" t="inlineStr">
        <is>
          <t>Megametales</t>
        </is>
      </c>
      <c r="J24" s="22" t="n">
        <v>28.08</v>
      </c>
      <c r="K24" s="18" t="inlineStr">
        <is>
          <t>Ferrisariato</t>
        </is>
      </c>
      <c r="L24" s="8">
        <f>F24*G24</f>
        <v/>
      </c>
      <c r="M24" s="145" t="inlineStr">
        <is>
          <t>A-B20-FCB-MON-152</t>
        </is>
      </c>
      <c r="N24" s="18" t="inlineStr">
        <is>
          <t>Arquitectura</t>
        </is>
      </c>
      <c r="O24" s="18" t="inlineStr">
        <is>
          <t>Estimado DION · criterio de mercado Guayaquil 2026 (no verificado en tienda)</t>
        </is>
      </c>
      <c r="P24" s="18" t="inlineStr">
        <is>
          <t>oct-2026 (est.)</t>
        </is>
      </c>
      <c r="Q24" s="18" t="n">
        <v>5</v>
      </c>
    </row>
    <row r="25">
      <c r="A25" s="135" t="n">
        <v>12</v>
      </c>
      <c r="B25" s="136" t="inlineStr">
        <is>
          <t xml:space="preserve">        Omega Pesada 0.90 mm para Fachada (3 m)</t>
        </is>
      </c>
      <c r="C25" s="137" t="inlineStr">
        <is>
          <t>Comercial / Industrial</t>
        </is>
      </c>
      <c r="D25" s="135" t="inlineStr">
        <is>
          <t>Perfiles Omega</t>
        </is>
      </c>
      <c r="E25" s="135" t="inlineStr">
        <is>
          <t>U</t>
        </is>
      </c>
      <c r="F25" s="138" t="n">
        <v>20</v>
      </c>
      <c r="G25" s="139" t="n">
        <v>4.5</v>
      </c>
      <c r="H25" s="139" t="n">
        <v>4.63</v>
      </c>
      <c r="I25" s="135" t="inlineStr">
        <is>
          <t>Megametales</t>
        </is>
      </c>
      <c r="J25" s="139" t="n">
        <v>4.82</v>
      </c>
      <c r="K25" s="135" t="inlineStr">
        <is>
          <t>Kywi / Megakywi</t>
        </is>
      </c>
      <c r="L25" s="140">
        <f>F25*G25</f>
        <v/>
      </c>
      <c r="M25" s="160" t="inlineStr">
        <is>
          <t>A-B20-FCB-OMG-0P90</t>
        </is>
      </c>
      <c r="N25" s="135" t="inlineStr">
        <is>
          <t>Arquitectura</t>
        </is>
      </c>
      <c r="O25" s="135" t="inlineStr">
        <is>
          <t>Estimado DION · criterio de mercado Guayaquil 2026 (no verificado en tienda)</t>
        </is>
      </c>
      <c r="P25" s="135" t="inlineStr">
        <is>
          <t>oct-2026 (est.)</t>
        </is>
      </c>
      <c r="Q25" s="135" t="n">
        <v>5</v>
      </c>
    </row>
    <row r="26">
      <c r="A26" s="132" t="inlineStr">
        <is>
          <t>EQUIPOS</t>
        </is>
      </c>
      <c r="B26" s="143" t="n"/>
      <c r="C26" s="143" t="n"/>
      <c r="D26" s="143" t="n"/>
      <c r="E26" s="143" t="n"/>
      <c r="F26" s="143" t="n"/>
      <c r="G26" s="143" t="n"/>
      <c r="H26" s="143" t="n"/>
      <c r="I26" s="143" t="n"/>
      <c r="J26" s="143" t="n"/>
      <c r="K26" s="143" t="n"/>
      <c r="L26" s="143" t="n"/>
      <c r="M26" s="143" t="n"/>
      <c r="N26" s="143" t="n"/>
      <c r="O26" s="143" t="n"/>
      <c r="P26" s="143" t="n"/>
      <c r="Q26" s="144" t="n"/>
    </row>
    <row r="27">
      <c r="A27" s="133" t="inlineStr">
        <is>
          <t xml:space="preserve">  ► CATEGORÍA: CORTADORAS DISCO DIAMANTADO Y TALADROS</t>
        </is>
      </c>
      <c r="B27" s="143" t="n"/>
      <c r="C27" s="143" t="n"/>
      <c r="D27" s="143" t="n"/>
      <c r="E27" s="143" t="n"/>
      <c r="F27" s="143" t="n"/>
      <c r="G27" s="143" t="n"/>
      <c r="H27" s="143" t="n"/>
      <c r="I27" s="143" t="n"/>
      <c r="J27" s="143" t="n"/>
      <c r="K27" s="143" t="n"/>
      <c r="L27" s="143" t="n"/>
      <c r="M27" s="143" t="n"/>
      <c r="N27" s="143" t="n"/>
      <c r="O27" s="143" t="n"/>
      <c r="P27" s="143" t="n"/>
      <c r="Q27" s="144" t="n"/>
    </row>
    <row r="28">
      <c r="A28" s="134" t="inlineStr">
        <is>
          <t xml:space="preserve">      • Subcategoría Especificada: Herramientas Fibrocemento</t>
        </is>
      </c>
      <c r="B28" s="143" t="n"/>
      <c r="C28" s="143" t="n"/>
      <c r="D28" s="143" t="n"/>
      <c r="E28" s="143" t="n"/>
      <c r="F28" s="143" t="n"/>
      <c r="G28" s="143" t="n"/>
      <c r="H28" s="143" t="n"/>
      <c r="I28" s="143" t="n"/>
      <c r="J28" s="143" t="n"/>
      <c r="K28" s="143" t="n"/>
      <c r="L28" s="143" t="n"/>
      <c r="M28" s="143" t="n"/>
      <c r="N28" s="143" t="n"/>
      <c r="O28" s="143" t="n"/>
      <c r="P28" s="143" t="n"/>
      <c r="Q28" s="144" t="n"/>
    </row>
    <row r="29">
      <c r="A29" s="18" t="n">
        <v>13</v>
      </c>
      <c r="B29" s="19" t="inlineStr">
        <is>
          <t xml:space="preserve">        Cortadora Disco Diamantado 7" para Fibrocemento</t>
        </is>
      </c>
      <c r="C29" s="20" t="inlineStr">
        <is>
          <t>Comercial / Ind</t>
        </is>
      </c>
      <c r="D29" s="18" t="inlineStr">
        <is>
          <t>Cortadoras Discos</t>
        </is>
      </c>
      <c r="E29" s="18" t="inlineStr">
        <is>
          <t>U</t>
        </is>
      </c>
      <c r="F29" s="21" t="n">
        <v>1</v>
      </c>
      <c r="G29" s="22" t="n">
        <v>145</v>
      </c>
      <c r="H29" s="22" t="n">
        <v>150</v>
      </c>
      <c r="I29" s="18" t="inlineStr">
        <is>
          <t>Megametales</t>
        </is>
      </c>
      <c r="J29" s="22" t="n">
        <v>160</v>
      </c>
      <c r="K29" s="18" t="inlineStr">
        <is>
          <t>Kywi / Megakywi</t>
        </is>
      </c>
      <c r="L29" s="8">
        <f>F29*G29</f>
        <v/>
      </c>
      <c r="M29" s="145" t="inlineStr">
        <is>
          <t>Z-Z10-EQH-COR-DIA</t>
        </is>
      </c>
      <c r="N29" s="18" t="inlineStr">
        <is>
          <t>General / coordinación multidisciplinar</t>
        </is>
      </c>
      <c r="O29" s="18" t="inlineStr">
        <is>
          <t>Estimado · base original del usuario (sin cotización verificada)</t>
        </is>
      </c>
      <c r="P29" s="18" t="inlineStr">
        <is>
          <t>oct-2026 (est.)</t>
        </is>
      </c>
      <c r="Q29" s="18" t="n"/>
    </row>
    <row r="30">
      <c r="A30" s="134" t="inlineStr">
        <is>
          <t xml:space="preserve">      • Subcategoría Especificada: Herramienta de Corte</t>
        </is>
      </c>
      <c r="B30" s="143" t="n"/>
      <c r="C30" s="143" t="n"/>
      <c r="D30" s="143" t="n"/>
      <c r="E30" s="143" t="n"/>
      <c r="F30" s="143" t="n"/>
      <c r="G30" s="143" t="n"/>
      <c r="H30" s="143" t="n"/>
      <c r="I30" s="143" t="n"/>
      <c r="J30" s="143" t="n"/>
      <c r="K30" s="143" t="n"/>
      <c r="L30" s="143" t="n"/>
      <c r="M30" s="143" t="n"/>
      <c r="N30" s="143" t="n"/>
      <c r="O30" s="143" t="n"/>
      <c r="P30" s="143" t="n"/>
      <c r="Q30" s="144" t="n"/>
    </row>
    <row r="31">
      <c r="A31" s="135" t="n">
        <v>14</v>
      </c>
      <c r="B31" s="136" t="inlineStr">
        <is>
          <t xml:space="preserve">        Sierra Circular con Aspiración para Fibrocemento 7¼"</t>
        </is>
      </c>
      <c r="C31" s="137" t="inlineStr">
        <is>
          <t>Comercial / Ind</t>
        </is>
      </c>
      <c r="D31" s="135" t="inlineStr">
        <is>
          <t>Sierras</t>
        </is>
      </c>
      <c r="E31" s="135" t="inlineStr">
        <is>
          <t>U</t>
        </is>
      </c>
      <c r="F31" s="138" t="n">
        <v>1</v>
      </c>
      <c r="G31" s="139" t="n">
        <v>240</v>
      </c>
      <c r="H31" s="139" t="n">
        <v>249.6</v>
      </c>
      <c r="I31" s="135" t="inlineStr">
        <is>
          <t>Megametales</t>
        </is>
      </c>
      <c r="J31" s="139" t="n">
        <v>256.8</v>
      </c>
      <c r="K31" s="135" t="inlineStr">
        <is>
          <t>Kywi / Megakywi</t>
        </is>
      </c>
      <c r="L31" s="140">
        <f>F31*G31</f>
        <v/>
      </c>
      <c r="M31" s="160" t="inlineStr">
        <is>
          <t>Z-Z10-EQH-SIE-FCB</t>
        </is>
      </c>
      <c r="N31" s="135" t="inlineStr">
        <is>
          <t>General / coordinación multidisciplinar</t>
        </is>
      </c>
      <c r="O31" s="135" t="inlineStr">
        <is>
          <t>Estimado DION · criterio de mercado Guayaquil 2026 (no verificado en tienda)</t>
        </is>
      </c>
      <c r="P31" s="135" t="inlineStr">
        <is>
          <t>oct-2026 (est.)</t>
        </is>
      </c>
      <c r="Q31" s="135" t="n"/>
    </row>
    <row r="32">
      <c r="A32" s="18" t="n">
        <v>15</v>
      </c>
      <c r="B32" s="19" t="inlineStr">
        <is>
          <t xml:space="preserve">        Disco Diamantado 7" Segmentado para Fibrocemento</t>
        </is>
      </c>
      <c r="C32" s="20" t="inlineStr">
        <is>
          <t>Residencial / Comercial</t>
        </is>
      </c>
      <c r="D32" s="18" t="inlineStr">
        <is>
          <t>Discos</t>
        </is>
      </c>
      <c r="E32" s="18" t="inlineStr">
        <is>
          <t>U</t>
        </is>
      </c>
      <c r="F32" s="21" t="n">
        <v>2</v>
      </c>
      <c r="G32" s="22" t="n">
        <v>18</v>
      </c>
      <c r="H32" s="22" t="n">
        <v>18.72</v>
      </c>
      <c r="I32" s="18" t="inlineStr">
        <is>
          <t>Megametales</t>
        </is>
      </c>
      <c r="J32" s="22" t="n">
        <v>19.62</v>
      </c>
      <c r="K32" s="18" t="inlineStr">
        <is>
          <t>Ferrisariato</t>
        </is>
      </c>
      <c r="L32" s="8">
        <f>F32*G32</f>
        <v/>
      </c>
      <c r="M32" s="145" t="inlineStr">
        <is>
          <t>Z-Z10-EQH-DIS-DIA</t>
        </is>
      </c>
      <c r="N32" s="18" t="inlineStr">
        <is>
          <t>General / coordinación multidisciplinar</t>
        </is>
      </c>
      <c r="O32" s="18" t="inlineStr">
        <is>
          <t>Estimado DION · criterio de mercado Guayaquil 2026 (no verificado en tienda)</t>
        </is>
      </c>
      <c r="P32" s="18" t="inlineStr">
        <is>
          <t>oct-2026 (est.)</t>
        </is>
      </c>
      <c r="Q32" s="18" t="n"/>
    </row>
    <row r="33">
      <c r="A33" s="135" t="n">
        <v>16</v>
      </c>
      <c r="B33" s="136" t="inlineStr">
        <is>
          <t xml:space="preserve">        Cuchilla de Carburo para Rayar Fibrocemento</t>
        </is>
      </c>
      <c r="C33" s="137" t="inlineStr">
        <is>
          <t>Residencial / Comercial</t>
        </is>
      </c>
      <c r="D33" s="135" t="inlineStr">
        <is>
          <t>Herramienta Manual</t>
        </is>
      </c>
      <c r="E33" s="135" t="inlineStr">
        <is>
          <t>U</t>
        </is>
      </c>
      <c r="F33" s="138" t="n">
        <v>2</v>
      </c>
      <c r="G33" s="139" t="n">
        <v>12</v>
      </c>
      <c r="H33" s="139" t="n">
        <v>12.24</v>
      </c>
      <c r="I33" s="135" t="inlineStr">
        <is>
          <t>Megametales</t>
        </is>
      </c>
      <c r="J33" s="139" t="n">
        <v>12.84</v>
      </c>
      <c r="K33" s="135" t="inlineStr">
        <is>
          <t>Kywi / Megakywi</t>
        </is>
      </c>
      <c r="L33" s="140">
        <f>F33*G33</f>
        <v/>
      </c>
      <c r="M33" s="160" t="inlineStr">
        <is>
          <t>Z-Z10-EQH-CUC-FCB</t>
        </is>
      </c>
      <c r="N33" s="135" t="inlineStr">
        <is>
          <t>General / coordinación multidisciplinar</t>
        </is>
      </c>
      <c r="O33" s="135" t="inlineStr">
        <is>
          <t>Estimado DION · criterio de mercado Guayaquil 2026 (no verificado en tienda)</t>
        </is>
      </c>
      <c r="P33" s="135" t="inlineStr">
        <is>
          <t>oct-2026 (est.)</t>
        </is>
      </c>
      <c r="Q33" s="135" t="n"/>
    </row>
    <row r="34">
      <c r="A34" s="132" t="inlineStr">
        <is>
          <t>CONEXIONES</t>
        </is>
      </c>
      <c r="B34" s="143" t="n"/>
      <c r="C34" s="143" t="n"/>
      <c r="D34" s="143" t="n"/>
      <c r="E34" s="143" t="n"/>
      <c r="F34" s="143" t="n"/>
      <c r="G34" s="143" t="n"/>
      <c r="H34" s="143" t="n"/>
      <c r="I34" s="143" t="n"/>
      <c r="J34" s="143" t="n"/>
      <c r="K34" s="143" t="n"/>
      <c r="L34" s="143" t="n"/>
      <c r="M34" s="143" t="n"/>
      <c r="N34" s="143" t="n"/>
      <c r="O34" s="143" t="n"/>
      <c r="P34" s="143" t="n"/>
      <c r="Q34" s="144" t="n"/>
    </row>
    <row r="35">
      <c r="A35" s="133" t="inlineStr">
        <is>
          <t xml:space="preserve">  ► CATEGORÍA: PERFILES DE JUNTA DE DILATACIÓN Y OMEGA HEAVY DUTY</t>
        </is>
      </c>
      <c r="B35" s="143" t="n"/>
      <c r="C35" s="143" t="n"/>
      <c r="D35" s="143" t="n"/>
      <c r="E35" s="143" t="n"/>
      <c r="F35" s="143" t="n"/>
      <c r="G35" s="143" t="n"/>
      <c r="H35" s="143" t="n"/>
      <c r="I35" s="143" t="n"/>
      <c r="J35" s="143" t="n"/>
      <c r="K35" s="143" t="n"/>
      <c r="L35" s="143" t="n"/>
      <c r="M35" s="143" t="n"/>
      <c r="N35" s="143" t="n"/>
      <c r="O35" s="143" t="n"/>
      <c r="P35" s="143" t="n"/>
      <c r="Q35" s="144" t="n"/>
    </row>
    <row r="36">
      <c r="A36" s="134" t="inlineStr">
        <is>
          <t xml:space="preserve">      • Subcategoría Especificada: Juntas Fachada</t>
        </is>
      </c>
      <c r="B36" s="143" t="n"/>
      <c r="C36" s="143" t="n"/>
      <c r="D36" s="143" t="n"/>
      <c r="E36" s="143" t="n"/>
      <c r="F36" s="143" t="n"/>
      <c r="G36" s="143" t="n"/>
      <c r="H36" s="143" t="n"/>
      <c r="I36" s="143" t="n"/>
      <c r="J36" s="143" t="n"/>
      <c r="K36" s="143" t="n"/>
      <c r="L36" s="143" t="n"/>
      <c r="M36" s="143" t="n"/>
      <c r="N36" s="143" t="n"/>
      <c r="O36" s="143" t="n"/>
      <c r="P36" s="143" t="n"/>
      <c r="Q36" s="144" t="n"/>
    </row>
    <row r="37">
      <c r="A37" s="18" t="n">
        <v>17</v>
      </c>
      <c r="B37" s="19" t="inlineStr">
        <is>
          <t xml:space="preserve">        Perfil Junta de Dilatación de Aluminio para Fibrocemento</t>
        </is>
      </c>
      <c r="C37" s="20" t="inlineStr">
        <is>
          <t>Comercial / Industrial</t>
        </is>
      </c>
      <c r="D37" s="18" t="inlineStr">
        <is>
          <t>Juntas Dilatación</t>
        </is>
      </c>
      <c r="E37" s="18" t="inlineStr">
        <is>
          <t>U</t>
        </is>
      </c>
      <c r="F37" s="21" t="n">
        <v>12</v>
      </c>
      <c r="G37" s="22" t="n">
        <v>4.5</v>
      </c>
      <c r="H37" s="22" t="n">
        <v>4.7</v>
      </c>
      <c r="I37" s="18" t="inlineStr">
        <is>
          <t>Megametales</t>
        </is>
      </c>
      <c r="J37" s="22" t="n">
        <v>5.1</v>
      </c>
      <c r="K37" s="18" t="inlineStr">
        <is>
          <t>Ferrisariato</t>
        </is>
      </c>
      <c r="L37" s="8">
        <f>F37*G37</f>
        <v/>
      </c>
      <c r="M37" s="145" t="inlineStr">
        <is>
          <t>A-B20-FCB-JUN-ALM</t>
        </is>
      </c>
      <c r="N37" s="18" t="inlineStr">
        <is>
          <t>Arquitectura</t>
        </is>
      </c>
      <c r="O37" s="18" t="inlineStr">
        <is>
          <t>Estimado · base original del usuario (sin cotización verificada)</t>
        </is>
      </c>
      <c r="P37" s="18" t="inlineStr">
        <is>
          <t>oct-2026 (est.)</t>
        </is>
      </c>
      <c r="Q37" s="18" t="n"/>
    </row>
    <row r="38">
      <c r="A38" s="134" t="inlineStr">
        <is>
          <t xml:space="preserve">      • Subcategoría Especificada: Remates y Esquineros</t>
        </is>
      </c>
      <c r="B38" s="143" t="n"/>
      <c r="C38" s="143" t="n"/>
      <c r="D38" s="143" t="n"/>
      <c r="E38" s="143" t="n"/>
      <c r="F38" s="143" t="n"/>
      <c r="G38" s="143" t="n"/>
      <c r="H38" s="143" t="n"/>
      <c r="I38" s="143" t="n"/>
      <c r="J38" s="143" t="n"/>
      <c r="K38" s="143" t="n"/>
      <c r="L38" s="143" t="n"/>
      <c r="M38" s="143" t="n"/>
      <c r="N38" s="143" t="n"/>
      <c r="O38" s="143" t="n"/>
      <c r="P38" s="143" t="n"/>
      <c r="Q38" s="144" t="n"/>
    </row>
    <row r="39">
      <c r="A39" s="135" t="n">
        <v>18</v>
      </c>
      <c r="B39" s="136" t="inlineStr">
        <is>
          <t xml:space="preserve">        Esquinero Exterior de Aluminio para Fibrocemento (3 m)</t>
        </is>
      </c>
      <c r="C39" s="137" t="inlineStr">
        <is>
          <t>Residencial / Comercial</t>
        </is>
      </c>
      <c r="D39" s="135" t="inlineStr">
        <is>
          <t>Esquineros</t>
        </is>
      </c>
      <c r="E39" s="135" t="inlineStr">
        <is>
          <t>U</t>
        </is>
      </c>
      <c r="F39" s="138" t="n">
        <v>6</v>
      </c>
      <c r="G39" s="139" t="n">
        <v>5.5</v>
      </c>
      <c r="H39" s="139" t="n">
        <v>5.67</v>
      </c>
      <c r="I39" s="135" t="inlineStr">
        <is>
          <t>Megametales</t>
        </is>
      </c>
      <c r="J39" s="139" t="n">
        <v>5.89</v>
      </c>
      <c r="K39" s="135" t="inlineStr">
        <is>
          <t>Kywi / Megakywi</t>
        </is>
      </c>
      <c r="L39" s="140">
        <f>F39*G39</f>
        <v/>
      </c>
      <c r="M39" s="160" t="inlineStr">
        <is>
          <t>A-B20-FCB-ESQ-ALM</t>
        </is>
      </c>
      <c r="N39" s="135" t="inlineStr">
        <is>
          <t>Arquitectura</t>
        </is>
      </c>
      <c r="O39" s="135" t="inlineStr">
        <is>
          <t>Estimado DION · criterio de mercado Guayaquil 2026 (no verificado en tienda)</t>
        </is>
      </c>
      <c r="P39" s="135" t="inlineStr">
        <is>
          <t>oct-2026 (est.)</t>
        </is>
      </c>
      <c r="Q39" s="135" t="n">
        <v>5</v>
      </c>
    </row>
    <row r="40">
      <c r="A40" s="18" t="n">
        <v>19</v>
      </c>
      <c r="B40" s="19" t="inlineStr">
        <is>
          <t xml:space="preserve">        Perfil Gotero / Botaguas Aluminio (3 m)</t>
        </is>
      </c>
      <c r="C40" s="20" t="inlineStr">
        <is>
          <t>Residencial / Comercial</t>
        </is>
      </c>
      <c r="D40" s="18" t="inlineStr">
        <is>
          <t>Goteros</t>
        </is>
      </c>
      <c r="E40" s="18" t="inlineStr">
        <is>
          <t>U</t>
        </is>
      </c>
      <c r="F40" s="21" t="n">
        <v>6</v>
      </c>
      <c r="G40" s="22" t="n">
        <v>6.2</v>
      </c>
      <c r="H40" s="22" t="n">
        <v>6.45</v>
      </c>
      <c r="I40" s="18" t="inlineStr">
        <is>
          <t>Megametales</t>
        </is>
      </c>
      <c r="J40" s="22" t="n">
        <v>6.82</v>
      </c>
      <c r="K40" s="18" t="inlineStr">
        <is>
          <t>Ferrisariato</t>
        </is>
      </c>
      <c r="L40" s="8">
        <f>F40*G40</f>
        <v/>
      </c>
      <c r="M40" s="145" t="inlineStr">
        <is>
          <t>A-B20-FCB-GOT-ALM</t>
        </is>
      </c>
      <c r="N40" s="18" t="inlineStr">
        <is>
          <t>Arquitectura</t>
        </is>
      </c>
      <c r="O40" s="18" t="inlineStr">
        <is>
          <t>Estimado DION · criterio de mercado Guayaquil 2026 (no verificado en tienda)</t>
        </is>
      </c>
      <c r="P40" s="18" t="inlineStr">
        <is>
          <t>oct-2026 (est.)</t>
        </is>
      </c>
      <c r="Q40" s="18" t="n">
        <v>5</v>
      </c>
    </row>
    <row r="41">
      <c r="A41" s="135" t="n">
        <v>20</v>
      </c>
      <c r="B41" s="136" t="inlineStr">
        <is>
          <t xml:space="preserve">        Perfil de Arranque Perforado (Ventilado) 3 m</t>
        </is>
      </c>
      <c r="C41" s="137" t="inlineStr">
        <is>
          <t>Comercial</t>
        </is>
      </c>
      <c r="D41" s="135" t="inlineStr">
        <is>
          <t>Arranques</t>
        </is>
      </c>
      <c r="E41" s="135" t="inlineStr">
        <is>
          <t>U</t>
        </is>
      </c>
      <c r="F41" s="138" t="n">
        <v>6</v>
      </c>
      <c r="G41" s="139" t="n">
        <v>4.8</v>
      </c>
      <c r="H41" s="139" t="n">
        <v>4.9</v>
      </c>
      <c r="I41" s="135" t="inlineStr">
        <is>
          <t>Megametales</t>
        </is>
      </c>
      <c r="J41" s="139" t="n">
        <v>5.28</v>
      </c>
      <c r="K41" s="135" t="inlineStr">
        <is>
          <t>Kywi / Megakywi</t>
        </is>
      </c>
      <c r="L41" s="140">
        <f>F41*G41</f>
        <v/>
      </c>
      <c r="M41" s="160" t="inlineStr">
        <is>
          <t>A-B20-FCB-ARR</t>
        </is>
      </c>
      <c r="N41" s="135" t="inlineStr">
        <is>
          <t>Arquitectura</t>
        </is>
      </c>
      <c r="O41" s="135" t="inlineStr">
        <is>
          <t>Estimado DION · criterio de mercado Guayaquil 2026 (no verificado en tienda)</t>
        </is>
      </c>
      <c r="P41" s="135" t="inlineStr">
        <is>
          <t>oct-2026 (est.)</t>
        </is>
      </c>
      <c r="Q41" s="135" t="n">
        <v>5</v>
      </c>
    </row>
    <row r="42">
      <c r="A42" s="132" t="inlineStr">
        <is>
          <t>EQUIPOS ESPECIALIZADOS</t>
        </is>
      </c>
      <c r="B42" s="143" t="n"/>
      <c r="C42" s="143" t="n"/>
      <c r="D42" s="143" t="n"/>
      <c r="E42" s="143" t="n"/>
      <c r="F42" s="143" t="n"/>
      <c r="G42" s="143" t="n"/>
      <c r="H42" s="143" t="n"/>
      <c r="I42" s="143" t="n"/>
      <c r="J42" s="143" t="n"/>
      <c r="K42" s="143" t="n"/>
      <c r="L42" s="143" t="n"/>
      <c r="M42" s="143" t="n"/>
      <c r="N42" s="143" t="n"/>
      <c r="O42" s="143" t="n"/>
      <c r="P42" s="143" t="n"/>
      <c r="Q42" s="144" t="n"/>
    </row>
    <row r="43">
      <c r="A43" s="133" t="inlineStr">
        <is>
          <t xml:space="preserve">  ► CATEGORÍA: PLACAS Y PANELES DE FIBROCEMENTO (SUPERBOARD / PLYCEM)</t>
        </is>
      </c>
      <c r="B43" s="143" t="n"/>
      <c r="C43" s="143" t="n"/>
      <c r="D43" s="143" t="n"/>
      <c r="E43" s="143" t="n"/>
      <c r="F43" s="143" t="n"/>
      <c r="G43" s="143" t="n"/>
      <c r="H43" s="143" t="n"/>
      <c r="I43" s="143" t="n"/>
      <c r="J43" s="143" t="n"/>
      <c r="K43" s="143" t="n"/>
      <c r="L43" s="143" t="n"/>
      <c r="M43" s="143" t="n"/>
      <c r="N43" s="143" t="n"/>
      <c r="O43" s="143" t="n"/>
      <c r="P43" s="143" t="n"/>
      <c r="Q43" s="144" t="n"/>
    </row>
    <row r="44">
      <c r="A44" s="134" t="inlineStr">
        <is>
          <t xml:space="preserve">      • Subcategoría Especificada: Placas Exteriores y Entrepisos</t>
        </is>
      </c>
      <c r="B44" s="143" t="n"/>
      <c r="C44" s="143" t="n"/>
      <c r="D44" s="143" t="n"/>
      <c r="E44" s="143" t="n"/>
      <c r="F44" s="143" t="n"/>
      <c r="G44" s="143" t="n"/>
      <c r="H44" s="143" t="n"/>
      <c r="I44" s="143" t="n"/>
      <c r="J44" s="143" t="n"/>
      <c r="K44" s="143" t="n"/>
      <c r="L44" s="143" t="n"/>
      <c r="M44" s="143" t="n"/>
      <c r="N44" s="143" t="n"/>
      <c r="O44" s="143" t="n"/>
      <c r="P44" s="143" t="n"/>
      <c r="Q44" s="144" t="n"/>
    </row>
    <row r="45">
      <c r="A45" s="18" t="n">
        <v>21</v>
      </c>
      <c r="B45" s="19" t="inlineStr">
        <is>
          <t xml:space="preserve">        Placa Fibrocemento Plycem / Superboard 6mm 1.22x2.44m</t>
        </is>
      </c>
      <c r="C45" s="20" t="inlineStr">
        <is>
          <t>Residencial / Comercial</t>
        </is>
      </c>
      <c r="D45" s="18" t="inlineStr">
        <is>
          <t>Placas Pared 6mm</t>
        </is>
      </c>
      <c r="E45" s="18" t="inlineStr">
        <is>
          <t>U</t>
        </is>
      </c>
      <c r="F45" s="21" t="n">
        <v>15</v>
      </c>
      <c r="G45" s="22" t="n">
        <v>12.5</v>
      </c>
      <c r="H45" s="22" t="n">
        <v>12.9</v>
      </c>
      <c r="I45" s="18" t="inlineStr">
        <is>
          <t>Megametales / Plycem</t>
        </is>
      </c>
      <c r="J45" s="22" t="n">
        <v>13.8</v>
      </c>
      <c r="K45" s="18" t="inlineStr">
        <is>
          <t>Ferrisariato</t>
        </is>
      </c>
      <c r="L45" s="8">
        <f>F45*G45</f>
        <v/>
      </c>
      <c r="M45" s="145" t="inlineStr">
        <is>
          <t>A-B20-FCB-PLA-006</t>
        </is>
      </c>
      <c r="N45" s="18" t="inlineStr">
        <is>
          <t>Arquitectura</t>
        </is>
      </c>
      <c r="O45" s="18" t="inlineStr">
        <is>
          <t>Estimado · base original del usuario (sin cotización verificada)</t>
        </is>
      </c>
      <c r="P45" s="18" t="inlineStr">
        <is>
          <t>oct-2026 (est.)</t>
        </is>
      </c>
      <c r="Q45" s="18" t="n">
        <v>10</v>
      </c>
    </row>
    <row r="46">
      <c r="A46" s="135" t="n">
        <v>22</v>
      </c>
      <c r="B46" s="136" t="inlineStr">
        <is>
          <t xml:space="preserve">        Placa Fibrocemento Plycem / Superboard 10mm 1.22x2.44m Exterior</t>
        </is>
      </c>
      <c r="C46" s="137" t="inlineStr">
        <is>
          <t>Comercial / Industrial</t>
        </is>
      </c>
      <c r="D46" s="135" t="inlineStr">
        <is>
          <t>Placas Exterior 10mm</t>
        </is>
      </c>
      <c r="E46" s="135" t="inlineStr">
        <is>
          <t>U</t>
        </is>
      </c>
      <c r="F46" s="138" t="n">
        <v>10</v>
      </c>
      <c r="G46" s="139" t="n">
        <v>18.5</v>
      </c>
      <c r="H46" s="139" t="n">
        <v>19.2</v>
      </c>
      <c r="I46" s="135" t="inlineStr">
        <is>
          <t>Megametales / Plycem</t>
        </is>
      </c>
      <c r="J46" s="139" t="n">
        <v>20.5</v>
      </c>
      <c r="K46" s="135" t="inlineStr">
        <is>
          <t>Kywi / Megakywi</t>
        </is>
      </c>
      <c r="L46" s="140">
        <f>F46*G46</f>
        <v/>
      </c>
      <c r="M46" s="160" t="inlineStr">
        <is>
          <t>A-B20-FCB-PLA-010</t>
        </is>
      </c>
      <c r="N46" s="135" t="inlineStr">
        <is>
          <t>Arquitectura</t>
        </is>
      </c>
      <c r="O46" s="135" t="inlineStr">
        <is>
          <t>Estimado · base original del usuario (sin cotización verificada)</t>
        </is>
      </c>
      <c r="P46" s="135" t="inlineStr">
        <is>
          <t>oct-2026 (est.)</t>
        </is>
      </c>
      <c r="Q46" s="135" t="n">
        <v>10</v>
      </c>
    </row>
    <row r="47">
      <c r="A47" s="18" t="n">
        <v>23</v>
      </c>
      <c r="B47" s="19" t="inlineStr">
        <is>
          <t xml:space="preserve">        Panel Entrepiso Fibrocemento Plycem 20mm Heavy Duty 1.22x2.44m</t>
        </is>
      </c>
      <c r="C47" s="20" t="inlineStr">
        <is>
          <t>Comercial / Industrial</t>
        </is>
      </c>
      <c r="D47" s="18" t="inlineStr">
        <is>
          <t>Paneles Entrepiso 20mm</t>
        </is>
      </c>
      <c r="E47" s="18" t="inlineStr">
        <is>
          <t>U</t>
        </is>
      </c>
      <c r="F47" s="21" t="n">
        <v>5</v>
      </c>
      <c r="G47" s="22" t="n">
        <v>45</v>
      </c>
      <c r="H47" s="22" t="n">
        <v>46.8</v>
      </c>
      <c r="I47" s="18" t="inlineStr">
        <is>
          <t>Megametales / Plycem</t>
        </is>
      </c>
      <c r="J47" s="22" t="n">
        <v>49.5</v>
      </c>
      <c r="K47" s="18" t="inlineStr">
        <is>
          <t>Ferrisariato</t>
        </is>
      </c>
      <c r="L47" s="8">
        <f>F47*G47</f>
        <v/>
      </c>
      <c r="M47" s="145" t="inlineStr">
        <is>
          <t>A-B20-FCB-PLA-020</t>
        </is>
      </c>
      <c r="N47" s="18" t="inlineStr">
        <is>
          <t>Arquitectura</t>
        </is>
      </c>
      <c r="O47" s="18" t="inlineStr">
        <is>
          <t>Estimado · base original del usuario (sin cotización verificada)</t>
        </is>
      </c>
      <c r="P47" s="18" t="inlineStr">
        <is>
          <t>oct-2026 (est.)</t>
        </is>
      </c>
      <c r="Q47" s="18" t="n">
        <v>8</v>
      </c>
    </row>
    <row r="48">
      <c r="A48" s="134" t="inlineStr">
        <is>
          <t xml:space="preserve">      • Subcategoría Especificada: Todos los Espesores y Productos Especiales</t>
        </is>
      </c>
      <c r="B48" s="143" t="n"/>
      <c r="C48" s="143" t="n"/>
      <c r="D48" s="143" t="n"/>
      <c r="E48" s="143" t="n"/>
      <c r="F48" s="143" t="n"/>
      <c r="G48" s="143" t="n"/>
      <c r="H48" s="143" t="n"/>
      <c r="I48" s="143" t="n"/>
      <c r="J48" s="143" t="n"/>
      <c r="K48" s="143" t="n"/>
      <c r="L48" s="143" t="n"/>
      <c r="M48" s="143" t="n"/>
      <c r="N48" s="143" t="n"/>
      <c r="O48" s="143" t="n"/>
      <c r="P48" s="143" t="n"/>
      <c r="Q48" s="144" t="n"/>
    </row>
    <row r="49">
      <c r="A49" s="135" t="n">
        <v>24</v>
      </c>
      <c r="B49" s="136" t="inlineStr">
        <is>
          <t xml:space="preserve">        Placa Fibrocemento 4 mm 1.22x2.44 m</t>
        </is>
      </c>
      <c r="C49" s="137" t="inlineStr">
        <is>
          <t>Residencial / Comercial</t>
        </is>
      </c>
      <c r="D49" s="135" t="inlineStr">
        <is>
          <t>Placas Fibrocemento</t>
        </is>
      </c>
      <c r="E49" s="135" t="inlineStr">
        <is>
          <t>U</t>
        </is>
      </c>
      <c r="F49" s="138" t="n">
        <v>10</v>
      </c>
      <c r="G49" s="139" t="n">
        <v>9.5</v>
      </c>
      <c r="H49" s="139" t="n">
        <v>9.880000000000001</v>
      </c>
      <c r="I49" s="135" t="inlineStr">
        <is>
          <t>Megametales</t>
        </is>
      </c>
      <c r="J49" s="139" t="n">
        <v>10.45</v>
      </c>
      <c r="K49" s="135" t="inlineStr">
        <is>
          <t>Kywi / Megakywi</t>
        </is>
      </c>
      <c r="L49" s="140">
        <f>F49*G49</f>
        <v/>
      </c>
      <c r="M49" s="160" t="inlineStr">
        <is>
          <t>A-B20-FCB-PLA-004</t>
        </is>
      </c>
      <c r="N49" s="135" t="inlineStr">
        <is>
          <t>Arquitectura</t>
        </is>
      </c>
      <c r="O49" s="135" t="inlineStr">
        <is>
          <t>Estimado DION · criterio de mercado Guayaquil 2026 (no verificado en tienda)</t>
        </is>
      </c>
      <c r="P49" s="135" t="inlineStr">
        <is>
          <t>oct-2026 (est.)</t>
        </is>
      </c>
      <c r="Q49" s="135" t="n">
        <v>10</v>
      </c>
    </row>
    <row r="50">
      <c r="A50" s="18" t="n">
        <v>25</v>
      </c>
      <c r="B50" s="19" t="inlineStr">
        <is>
          <t xml:space="preserve">        Placa Fibrocemento 8 mm 1.22x2.44 m</t>
        </is>
      </c>
      <c r="C50" s="20" t="inlineStr">
        <is>
          <t>Residencial / Comercial</t>
        </is>
      </c>
      <c r="D50" s="18" t="inlineStr">
        <is>
          <t>Placas Fibrocemento</t>
        </is>
      </c>
      <c r="E50" s="18" t="inlineStr">
        <is>
          <t>U</t>
        </is>
      </c>
      <c r="F50" s="21" t="n">
        <v>10</v>
      </c>
      <c r="G50" s="22" t="n">
        <v>15.5</v>
      </c>
      <c r="H50" s="22" t="n">
        <v>16.28</v>
      </c>
      <c r="I50" s="18" t="inlineStr">
        <is>
          <t>Megametales</t>
        </is>
      </c>
      <c r="J50" s="22" t="n">
        <v>17.21</v>
      </c>
      <c r="K50" s="18" t="inlineStr">
        <is>
          <t>Ferrisariato</t>
        </is>
      </c>
      <c r="L50" s="8">
        <f>F50*G50</f>
        <v/>
      </c>
      <c r="M50" s="145" t="inlineStr">
        <is>
          <t>A-B20-FCB-PLA-008</t>
        </is>
      </c>
      <c r="N50" s="18" t="inlineStr">
        <is>
          <t>Arquitectura</t>
        </is>
      </c>
      <c r="O50" s="18" t="inlineStr">
        <is>
          <t>Estimado DION · criterio de mercado Guayaquil 2026 (no verificado en tienda)</t>
        </is>
      </c>
      <c r="P50" s="18" t="inlineStr">
        <is>
          <t>oct-2026 (est.)</t>
        </is>
      </c>
      <c r="Q50" s="18" t="n">
        <v>10</v>
      </c>
    </row>
    <row r="51">
      <c r="A51" s="135" t="n">
        <v>26</v>
      </c>
      <c r="B51" s="136" t="inlineStr">
        <is>
          <t xml:space="preserve">        Placa Fibrocemento 12 mm 1.22x2.44 m</t>
        </is>
      </c>
      <c r="C51" s="137" t="inlineStr">
        <is>
          <t>Residencial / Comercial</t>
        </is>
      </c>
      <c r="D51" s="135" t="inlineStr">
        <is>
          <t>Placas Fibrocemento</t>
        </is>
      </c>
      <c r="E51" s="135" t="inlineStr">
        <is>
          <t>U</t>
        </is>
      </c>
      <c r="F51" s="138" t="n">
        <v>10</v>
      </c>
      <c r="G51" s="139" t="n">
        <v>23</v>
      </c>
      <c r="H51" s="139" t="n">
        <v>23.92</v>
      </c>
      <c r="I51" s="135" t="inlineStr">
        <is>
          <t>Megametales</t>
        </is>
      </c>
      <c r="J51" s="139" t="n">
        <v>25.3</v>
      </c>
      <c r="K51" s="135" t="inlineStr">
        <is>
          <t>Kywi / Megakywi</t>
        </is>
      </c>
      <c r="L51" s="140">
        <f>F51*G51</f>
        <v/>
      </c>
      <c r="M51" s="160" t="inlineStr">
        <is>
          <t>A-B20-FCB-PLA-012</t>
        </is>
      </c>
      <c r="N51" s="135" t="inlineStr">
        <is>
          <t>Arquitectura</t>
        </is>
      </c>
      <c r="O51" s="135" t="inlineStr">
        <is>
          <t>Estimado DION · criterio de mercado Guayaquil 2026 (no verificado en tienda)</t>
        </is>
      </c>
      <c r="P51" s="135" t="inlineStr">
        <is>
          <t>oct-2026 (est.)</t>
        </is>
      </c>
      <c r="Q51" s="135" t="n">
        <v>10</v>
      </c>
    </row>
    <row r="52">
      <c r="A52" s="18" t="n">
        <v>27</v>
      </c>
      <c r="B52" s="19" t="inlineStr">
        <is>
          <t xml:space="preserve">        Placa Fibrocemento 14 mm 1.22x2.44 m</t>
        </is>
      </c>
      <c r="C52" s="20" t="inlineStr">
        <is>
          <t>Comercial / Industrial</t>
        </is>
      </c>
      <c r="D52" s="18" t="inlineStr">
        <is>
          <t>Placas Fibrocemento</t>
        </is>
      </c>
      <c r="E52" s="18" t="inlineStr">
        <is>
          <t>U</t>
        </is>
      </c>
      <c r="F52" s="21" t="n">
        <v>10</v>
      </c>
      <c r="G52" s="22" t="n">
        <v>27</v>
      </c>
      <c r="H52" s="22" t="n">
        <v>28.08</v>
      </c>
      <c r="I52" s="18" t="inlineStr">
        <is>
          <t>Megametales</t>
        </is>
      </c>
      <c r="J52" s="22" t="n">
        <v>29.97</v>
      </c>
      <c r="K52" s="18" t="inlineStr">
        <is>
          <t>Ferrisariato</t>
        </is>
      </c>
      <c r="L52" s="8">
        <f>F52*G52</f>
        <v/>
      </c>
      <c r="M52" s="145" t="inlineStr">
        <is>
          <t>A-B20-FCB-PLA-014</t>
        </is>
      </c>
      <c r="N52" s="18" t="inlineStr">
        <is>
          <t>Arquitectura</t>
        </is>
      </c>
      <c r="O52" s="18" t="inlineStr">
        <is>
          <t>Estimado DION · criterio de mercado Guayaquil 2026 (no verificado en tienda)</t>
        </is>
      </c>
      <c r="P52" s="18" t="inlineStr">
        <is>
          <t>oct-2026 (est.)</t>
        </is>
      </c>
      <c r="Q52" s="18" t="n">
        <v>10</v>
      </c>
    </row>
    <row r="53">
      <c r="A53" s="135" t="n">
        <v>28</v>
      </c>
      <c r="B53" s="136" t="inlineStr">
        <is>
          <t xml:space="preserve">        Placa Fibrocemento 17 mm 1.22x2.44 m</t>
        </is>
      </c>
      <c r="C53" s="137" t="inlineStr">
        <is>
          <t>Comercial / Industrial</t>
        </is>
      </c>
      <c r="D53" s="135" t="inlineStr">
        <is>
          <t>Placas Fibrocemento</t>
        </is>
      </c>
      <c r="E53" s="135" t="inlineStr">
        <is>
          <t>U</t>
        </is>
      </c>
      <c r="F53" s="138" t="n">
        <v>10</v>
      </c>
      <c r="G53" s="139" t="n">
        <v>35</v>
      </c>
      <c r="H53" s="139" t="n">
        <v>35.7</v>
      </c>
      <c r="I53" s="135" t="inlineStr">
        <is>
          <t>Megametales</t>
        </is>
      </c>
      <c r="J53" s="139" t="n">
        <v>38.5</v>
      </c>
      <c r="K53" s="135" t="inlineStr">
        <is>
          <t>Kywi / Megakywi</t>
        </is>
      </c>
      <c r="L53" s="140">
        <f>F53*G53</f>
        <v/>
      </c>
      <c r="M53" s="160" t="inlineStr">
        <is>
          <t>A-B20-FCB-PLA-017</t>
        </is>
      </c>
      <c r="N53" s="135" t="inlineStr">
        <is>
          <t>Arquitectura</t>
        </is>
      </c>
      <c r="O53" s="135" t="inlineStr">
        <is>
          <t>Estimado DION · criterio de mercado Guayaquil 2026 (no verificado en tienda)</t>
        </is>
      </c>
      <c r="P53" s="135" t="inlineStr">
        <is>
          <t>oct-2026 (est.)</t>
        </is>
      </c>
      <c r="Q53" s="135" t="n">
        <v>10</v>
      </c>
    </row>
    <row r="54">
      <c r="A54" s="18" t="n">
        <v>29</v>
      </c>
      <c r="B54" s="19" t="inlineStr">
        <is>
          <t xml:space="preserve">        Siding Fibrocemento Textura Madera 20 cm x 3.66 m</t>
        </is>
      </c>
      <c r="C54" s="20" t="inlineStr">
        <is>
          <t>Residencial / Comercial</t>
        </is>
      </c>
      <c r="D54" s="18" t="inlineStr">
        <is>
          <t>Siding</t>
        </is>
      </c>
      <c r="E54" s="18" t="inlineStr">
        <is>
          <t>U</t>
        </is>
      </c>
      <c r="F54" s="21" t="n">
        <v>20</v>
      </c>
      <c r="G54" s="22" t="n">
        <v>7.8</v>
      </c>
      <c r="H54" s="22" t="n">
        <v>8.109999999999999</v>
      </c>
      <c r="I54" s="18" t="inlineStr">
        <is>
          <t>Megametales</t>
        </is>
      </c>
      <c r="J54" s="22" t="n">
        <v>8.66</v>
      </c>
      <c r="K54" s="18" t="inlineStr">
        <is>
          <t>Ferrisariato</t>
        </is>
      </c>
      <c r="L54" s="8">
        <f>F54*G54</f>
        <v/>
      </c>
      <c r="M54" s="145" t="inlineStr">
        <is>
          <t>A-B20-FCB-SID-200</t>
        </is>
      </c>
      <c r="N54" s="18" t="inlineStr">
        <is>
          <t>Arquitectura</t>
        </is>
      </c>
      <c r="O54" s="18" t="inlineStr">
        <is>
          <t>Estimado DION · criterio de mercado Guayaquil 2026 (no verificado en tienda)</t>
        </is>
      </c>
      <c r="P54" s="18" t="inlineStr">
        <is>
          <t>oct-2026 (est.)</t>
        </is>
      </c>
      <c r="Q54" s="18" t="n">
        <v>10</v>
      </c>
    </row>
    <row r="55">
      <c r="A55" s="135" t="n">
        <v>30</v>
      </c>
      <c r="B55" s="136" t="inlineStr">
        <is>
          <t xml:space="preserve">        Panel Fibrocemento Fachada Ventilada Coloreado 10 mm (m²)</t>
        </is>
      </c>
      <c r="C55" s="137" t="inlineStr">
        <is>
          <t>Comercial</t>
        </is>
      </c>
      <c r="D55" s="135" t="inlineStr">
        <is>
          <t>Paneles Fachada</t>
        </is>
      </c>
      <c r="E55" s="135" t="inlineStr">
        <is>
          <t>m2</t>
        </is>
      </c>
      <c r="F55" s="138" t="n">
        <v>30</v>
      </c>
      <c r="G55" s="139" t="n">
        <v>42</v>
      </c>
      <c r="H55" s="139" t="n">
        <v>43.26</v>
      </c>
      <c r="I55" s="135" t="inlineStr">
        <is>
          <t>Megametales</t>
        </is>
      </c>
      <c r="J55" s="139" t="n">
        <v>45.78</v>
      </c>
      <c r="K55" s="135" t="inlineStr">
        <is>
          <t>Kywi / Megakywi</t>
        </is>
      </c>
      <c r="L55" s="140">
        <f>F55*G55</f>
        <v/>
      </c>
      <c r="M55" s="160" t="inlineStr">
        <is>
          <t>A-B20-FCB-PAN-FAC</t>
        </is>
      </c>
      <c r="N55" s="135" t="inlineStr">
        <is>
          <t>Arquitectura</t>
        </is>
      </c>
      <c r="O55" s="135" t="inlineStr">
        <is>
          <t>Estimado DION · criterio de mercado Guayaquil 2026 (no verificado en tienda)</t>
        </is>
      </c>
      <c r="P55" s="135" t="inlineStr">
        <is>
          <t>oct-2026 (est.)</t>
        </is>
      </c>
      <c r="Q55" s="135" t="n">
        <v>8</v>
      </c>
    </row>
    <row r="56">
      <c r="A56" s="18" t="n">
        <v>31</v>
      </c>
      <c r="B56" s="19" t="inlineStr">
        <is>
          <t xml:space="preserve">        Placa Cielo Fibrocemento 60x60 cm 4 mm (m²)</t>
        </is>
      </c>
      <c r="C56" s="20" t="inlineStr">
        <is>
          <t>Residencial / Comercial</t>
        </is>
      </c>
      <c r="D56" s="18" t="inlineStr">
        <is>
          <t>Placas Cielo</t>
        </is>
      </c>
      <c r="E56" s="18" t="inlineStr">
        <is>
          <t>m2</t>
        </is>
      </c>
      <c r="F56" s="21" t="n">
        <v>20</v>
      </c>
      <c r="G56" s="22" t="n">
        <v>6.5</v>
      </c>
      <c r="H56" s="22" t="n">
        <v>6.7</v>
      </c>
      <c r="I56" s="18" t="inlineStr">
        <is>
          <t>Megametales</t>
        </is>
      </c>
      <c r="J56" s="22" t="n">
        <v>7.22</v>
      </c>
      <c r="K56" s="18" t="inlineStr">
        <is>
          <t>Ferrisariato</t>
        </is>
      </c>
      <c r="L56" s="8">
        <f>F56*G56</f>
        <v/>
      </c>
      <c r="M56" s="145" t="inlineStr">
        <is>
          <t>A-B20-FCB-CIE-60X60</t>
        </is>
      </c>
      <c r="N56" s="18" t="inlineStr">
        <is>
          <t>Arquitectura</t>
        </is>
      </c>
      <c r="O56" s="18" t="inlineStr">
        <is>
          <t>Estimado DION · criterio de mercado Guayaquil 2026 (no verificado en tienda)</t>
        </is>
      </c>
      <c r="P56" s="18" t="inlineStr">
        <is>
          <t>oct-2026 (est.)</t>
        </is>
      </c>
      <c r="Q56" s="18" t="n">
        <v>8</v>
      </c>
    </row>
    <row r="57">
      <c r="A57" s="135" t="n">
        <v>32</v>
      </c>
      <c r="B57" s="136" t="inlineStr">
        <is>
          <t xml:space="preserve">        Teja Fibrocemento Ondulada P7 1.10x2.44 m (Eternit)</t>
        </is>
      </c>
      <c r="C57" s="137" t="inlineStr">
        <is>
          <t>Residencial / Comercial</t>
        </is>
      </c>
      <c r="D57" s="135" t="inlineStr">
        <is>
          <t>Tejas Fibrocemento</t>
        </is>
      </c>
      <c r="E57" s="135" t="inlineStr">
        <is>
          <t>U</t>
        </is>
      </c>
      <c r="F57" s="138" t="n">
        <v>20</v>
      </c>
      <c r="G57" s="139" t="n">
        <v>14.5</v>
      </c>
      <c r="H57" s="139" t="n">
        <v>15.23</v>
      </c>
      <c r="I57" s="135" t="inlineStr">
        <is>
          <t>Megametales</t>
        </is>
      </c>
      <c r="J57" s="139" t="n">
        <v>15.95</v>
      </c>
      <c r="K57" s="135" t="inlineStr">
        <is>
          <t>Kywi / Megakywi</t>
        </is>
      </c>
      <c r="L57" s="140">
        <f>F57*G57</f>
        <v/>
      </c>
      <c r="M57" s="160" t="inlineStr">
        <is>
          <t>A-B30-CUB-FCM-004</t>
        </is>
      </c>
      <c r="N57" s="135" t="inlineStr">
        <is>
          <t>Arquitectura</t>
        </is>
      </c>
      <c r="O57" s="135" t="inlineStr">
        <is>
          <t>Estimado DION · criterio de mercado Guayaquil 2026 (no verificado en tienda)</t>
        </is>
      </c>
      <c r="P57" s="135" t="inlineStr">
        <is>
          <t>oct-2026 (est.)</t>
        </is>
      </c>
      <c r="Q57" s="135" t="n">
        <v>8</v>
      </c>
    </row>
    <row r="58">
      <c r="A58" s="10" t="n"/>
      <c r="B58" s="147" t="inlineStr">
        <is>
          <t>TOTAL BASE DE DATOS FIBROCEMENTO (ESTIMADO)</t>
        </is>
      </c>
      <c r="C58" s="148" t="n"/>
      <c r="D58" s="148" t="n"/>
      <c r="E58" s="148" t="n"/>
      <c r="F58" s="148" t="n"/>
      <c r="G58" s="148" t="n"/>
      <c r="H58" s="148" t="n"/>
      <c r="I58" s="148" t="n"/>
      <c r="J58" s="148" t="n"/>
      <c r="K58" s="148" t="n"/>
      <c r="L58" s="30">
        <f>SUM(L6:L57)</f>
        <v/>
      </c>
      <c r="M58" s="30" t="n"/>
      <c r="N58" s="30" t="n"/>
      <c r="O58" s="30" t="n"/>
      <c r="P58" s="30" t="n"/>
      <c r="Q58" s="30" t="n"/>
    </row>
  </sheetData>
  <mergeCells count="21">
    <mergeCell ref="A44:Q44"/>
    <mergeCell ref="A30:Q30"/>
    <mergeCell ref="A34:Q34"/>
    <mergeCell ref="A48:Q48"/>
    <mergeCell ref="A11:Q11"/>
    <mergeCell ref="A36:Q36"/>
    <mergeCell ref="A6:Q6"/>
    <mergeCell ref="A7:Q7"/>
    <mergeCell ref="A18:Q18"/>
    <mergeCell ref="A27:Q27"/>
    <mergeCell ref="A21:Q21"/>
    <mergeCell ref="B58:K58"/>
    <mergeCell ref="A26:Q26"/>
    <mergeCell ref="A42:Q42"/>
    <mergeCell ref="A8:Q8"/>
    <mergeCell ref="A17:Q17"/>
    <mergeCell ref="A35:Q35"/>
    <mergeCell ref="A43:Q43"/>
    <mergeCell ref="A38:Q38"/>
    <mergeCell ref="A28:Q28"/>
    <mergeCell ref="A19:Q19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7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8" customWidth="1" min="2" max="2"/>
    <col width="30" customWidth="1" min="3" max="3"/>
    <col width="32" customWidth="1" min="4" max="4"/>
    <col width="8" customWidth="1" min="5" max="5"/>
    <col width="10" customWidth="1" min="6" max="6"/>
    <col width="15" customWidth="1" min="7" max="7"/>
    <col width="16" customWidth="1" min="8" max="8"/>
    <col width="22" customWidth="1" min="9" max="9"/>
    <col width="16" customWidth="1" min="10" max="10"/>
    <col width="20" customWidth="1" min="11" max="11"/>
    <col width="16" customWidth="1" min="12" max="12"/>
    <col width="27" customWidth="1" min="13" max="13"/>
    <col width="30" customWidth="1" min="14" max="14"/>
    <col width="44" customWidth="1" min="15" max="15"/>
    <col width="15" customWidth="1" min="16" max="16"/>
    <col width="14" customWidth="1" min="17" max="17"/>
  </cols>
  <sheetData>
    <row r="1">
      <c r="A1" s="1" t="inlineStr">
        <is>
          <t>BASE DE DATOS COMPLETA DE CATALOGACIÓN: MAMPOSTERÍA Y ENLUCIDOS</t>
        </is>
      </c>
    </row>
    <row r="2">
      <c r="A2" s="2" t="inlineStr">
        <is>
          <t>Estructura Jerárquica Homogénea: Accesorios &gt; Tuberías &gt; Equipos &gt; Conexiones &gt; Equipos Especializados | Degradé por Niveles (Ecuador - USD)</t>
        </is>
      </c>
    </row>
    <row r="3">
      <c r="A3" s="13" t="inlineStr">
        <is>
          <t>« Volver al Índice General</t>
        </is>
      </c>
    </row>
    <row r="5" ht="30" customHeight="1">
      <c r="A5" s="4" t="inlineStr">
        <is>
          <t>Item</t>
        </is>
      </c>
      <c r="B5" s="4" t="inlineStr">
        <is>
          <t>Descripción de Accesorio / Ítem Especificado</t>
        </is>
      </c>
      <c r="C5" s="4" t="inlineStr">
        <is>
          <t>Clasificación / Ámbito de Uso
(Residencial/Comercial/Industrial)</t>
        </is>
      </c>
      <c r="D5" s="4" t="inlineStr">
        <is>
          <t>Tipo / Familia</t>
        </is>
      </c>
      <c r="E5" s="4" t="inlineStr">
        <is>
          <t>Unidad</t>
        </is>
      </c>
      <c r="F5" s="4" t="inlineStr">
        <is>
          <t>Cant.</t>
        </is>
      </c>
      <c r="G5" s="4" t="inlineStr">
        <is>
          <t>P. Ref. Est. ($)</t>
        </is>
      </c>
      <c r="H5" s="4" t="inlineStr">
        <is>
          <t>P. Unit. Local A ($)
(Disensa)</t>
        </is>
      </c>
      <c r="I5" s="4" t="inlineStr">
        <is>
          <t>Local A
Especificado</t>
        </is>
      </c>
      <c r="J5" s="4" t="inlineStr">
        <is>
          <t>P. Unit. Local B ($)
(Kywi / Megakywi)</t>
        </is>
      </c>
      <c r="K5" s="4" t="inlineStr">
        <is>
          <t>Local B
Especificado</t>
        </is>
      </c>
      <c r="L5" s="4" t="inlineStr">
        <is>
          <t>Subtotal Est. ($)</t>
        </is>
      </c>
      <c r="M5" s="4" t="inlineStr">
        <is>
          <t>Código DION</t>
        </is>
      </c>
      <c r="N5" s="4" t="inlineStr">
        <is>
          <t>Disciplina</t>
        </is>
      </c>
      <c r="O5" s="4" t="inlineStr">
        <is>
          <t>Fuente del precio</t>
        </is>
      </c>
      <c r="P5" s="4" t="inlineStr">
        <is>
          <t>Fecha precio</t>
        </is>
      </c>
      <c r="Q5" s="4" t="inlineStr">
        <is>
          <t>Rendimiento /
desperdicio %</t>
        </is>
      </c>
    </row>
    <row r="6">
      <c r="A6" s="161" t="inlineStr">
        <is>
          <t>ACCESORIOS</t>
        </is>
      </c>
      <c r="B6" s="143" t="n"/>
      <c r="C6" s="143" t="n"/>
      <c r="D6" s="143" t="n"/>
      <c r="E6" s="143" t="n"/>
      <c r="F6" s="143" t="n"/>
      <c r="G6" s="143" t="n"/>
      <c r="H6" s="143" t="n"/>
      <c r="I6" s="143" t="n"/>
      <c r="J6" s="143" t="n"/>
      <c r="K6" s="143" t="n"/>
      <c r="L6" s="143" t="n"/>
      <c r="M6" s="143" t="n"/>
      <c r="N6" s="143" t="n"/>
      <c r="O6" s="143" t="n"/>
      <c r="P6" s="143" t="n"/>
      <c r="Q6" s="144" t="n"/>
    </row>
    <row r="7">
      <c r="A7" s="162" t="inlineStr">
        <is>
          <t xml:space="preserve">  ► CATEGORÍA: CONGLOMERANTES Y AGREGADOS</t>
        </is>
      </c>
      <c r="B7" s="143" t="n"/>
      <c r="C7" s="143" t="n"/>
      <c r="D7" s="143" t="n"/>
      <c r="E7" s="143" t="n"/>
      <c r="F7" s="143" t="n"/>
      <c r="G7" s="143" t="n"/>
      <c r="H7" s="143" t="n"/>
      <c r="I7" s="143" t="n"/>
      <c r="J7" s="143" t="n"/>
      <c r="K7" s="143" t="n"/>
      <c r="L7" s="143" t="n"/>
      <c r="M7" s="143" t="n"/>
      <c r="N7" s="143" t="n"/>
      <c r="O7" s="143" t="n"/>
      <c r="P7" s="143" t="n"/>
      <c r="Q7" s="144" t="n"/>
    </row>
    <row r="8">
      <c r="A8" s="163" t="inlineStr">
        <is>
          <t xml:space="preserve">      • Subcategoría Especificada: Cemento, Cal, Arena, Ripio, Piedra y Agua</t>
        </is>
      </c>
      <c r="B8" s="143" t="n"/>
      <c r="C8" s="143" t="n"/>
      <c r="D8" s="143" t="n"/>
      <c r="E8" s="143" t="n"/>
      <c r="F8" s="143" t="n"/>
      <c r="G8" s="143" t="n"/>
      <c r="H8" s="143" t="n"/>
      <c r="I8" s="143" t="n"/>
      <c r="J8" s="143" t="n"/>
      <c r="K8" s="143" t="n"/>
      <c r="L8" s="143" t="n"/>
      <c r="M8" s="143" t="n"/>
      <c r="N8" s="143" t="n"/>
      <c r="O8" s="143" t="n"/>
      <c r="P8" s="143" t="n"/>
      <c r="Q8" s="144" t="n"/>
    </row>
    <row r="9">
      <c r="A9" s="18" t="n">
        <v>1</v>
      </c>
      <c r="B9" s="19" t="inlineStr">
        <is>
          <t xml:space="preserve">        Cemento Portland Tipo GU Saco 50 kg (Holcim Fuerte / UNACEM / Atenas)</t>
        </is>
      </c>
      <c r="C9" s="20" t="inlineStr">
        <is>
          <t>Residencial / Comercial / Ind</t>
        </is>
      </c>
      <c r="D9" s="18" t="inlineStr">
        <is>
          <t>Cemento GU</t>
        </is>
      </c>
      <c r="E9" s="18" t="inlineStr">
        <is>
          <t>Saco</t>
        </is>
      </c>
      <c r="F9" s="21" t="n">
        <v>100</v>
      </c>
      <c r="G9" s="22" t="n">
        <v>8.449999999999999</v>
      </c>
      <c r="H9" s="22" t="n">
        <v>8.619999999999999</v>
      </c>
      <c r="I9" s="18" t="inlineStr">
        <is>
          <t>Disensa</t>
        </is>
      </c>
      <c r="J9" s="22" t="n">
        <v>9.380000000000001</v>
      </c>
      <c r="K9" s="18" t="inlineStr">
        <is>
          <t>Kywi / Megakywi</t>
        </is>
      </c>
      <c r="L9" s="8">
        <f>F9*G9</f>
        <v/>
      </c>
      <c r="M9" s="145" t="inlineStr">
        <is>
          <t>S-B10-CEM-GU-50KG</t>
        </is>
      </c>
      <c r="N9" s="18" t="inlineStr">
        <is>
          <t>Estructuras</t>
        </is>
      </c>
      <c r="O9" s="18" t="inlineStr">
        <is>
          <t>Estimado DION · criterio de mercado Guayaquil 2026 (no verificado en tienda)</t>
        </is>
      </c>
      <c r="P9" s="18" t="inlineStr">
        <is>
          <t>oct-2026 (est.)</t>
        </is>
      </c>
      <c r="Q9" s="18" t="n">
        <v>5</v>
      </c>
    </row>
    <row r="10">
      <c r="A10" s="164" t="n">
        <v>2</v>
      </c>
      <c r="B10" s="165" t="inlineStr">
        <is>
          <t xml:space="preserve">        Cemento Tipo HE Alta Resistencia Inicial Saco 50 kg</t>
        </is>
      </c>
      <c r="C10" s="166" t="inlineStr">
        <is>
          <t>Comercial / Industrial</t>
        </is>
      </c>
      <c r="D10" s="164" t="inlineStr">
        <is>
          <t>Cemento HE</t>
        </is>
      </c>
      <c r="E10" s="164" t="inlineStr">
        <is>
          <t>Saco</t>
        </is>
      </c>
      <c r="F10" s="167" t="n">
        <v>20</v>
      </c>
      <c r="G10" s="168" t="n">
        <v>9.6</v>
      </c>
      <c r="H10" s="168" t="n">
        <v>9.890000000000001</v>
      </c>
      <c r="I10" s="164" t="inlineStr">
        <is>
          <t>Disensa</t>
        </is>
      </c>
      <c r="J10" s="168" t="n">
        <v>10.27</v>
      </c>
      <c r="K10" s="164" t="inlineStr">
        <is>
          <t>Kywi / Megakywi</t>
        </is>
      </c>
      <c r="L10" s="169">
        <f>F10*G10</f>
        <v/>
      </c>
      <c r="M10" s="170" t="inlineStr">
        <is>
          <t>S-B10-CEM-HE-50KG</t>
        </is>
      </c>
      <c r="N10" s="164" t="inlineStr">
        <is>
          <t>Estructuras</t>
        </is>
      </c>
      <c r="O10" s="164" t="inlineStr">
        <is>
          <t>Estimado DION · criterio de mercado Guayaquil 2026 (no verificado en tienda)</t>
        </is>
      </c>
      <c r="P10" s="164" t="inlineStr">
        <is>
          <t>oct-2026 (est.)</t>
        </is>
      </c>
      <c r="Q10" s="164" t="n">
        <v>5</v>
      </c>
    </row>
    <row r="11">
      <c r="A11" s="18" t="n">
        <v>3</v>
      </c>
      <c r="B11" s="19" t="inlineStr">
        <is>
          <t xml:space="preserve">        Cemento Blanco Saco 25 kg</t>
        </is>
      </c>
      <c r="C11" s="20" t="inlineStr">
        <is>
          <t>Residencial / Comercial</t>
        </is>
      </c>
      <c r="D11" s="18" t="inlineStr">
        <is>
          <t>Cemento Blanco</t>
        </is>
      </c>
      <c r="E11" s="18" t="inlineStr">
        <is>
          <t>Saco</t>
        </is>
      </c>
      <c r="F11" s="21" t="n">
        <v>2</v>
      </c>
      <c r="G11" s="22" t="n">
        <v>14.5</v>
      </c>
      <c r="H11" s="22" t="n">
        <v>14.94</v>
      </c>
      <c r="I11" s="18" t="inlineStr">
        <is>
          <t>Disensa</t>
        </is>
      </c>
      <c r="J11" s="22" t="n">
        <v>16.1</v>
      </c>
      <c r="K11" s="18" t="inlineStr">
        <is>
          <t>Kywi / Megakywi</t>
        </is>
      </c>
      <c r="L11" s="8">
        <f>F11*G11</f>
        <v/>
      </c>
      <c r="M11" s="145" t="inlineStr">
        <is>
          <t>S-B10-CEM-BLA-25KG</t>
        </is>
      </c>
      <c r="N11" s="18" t="inlineStr">
        <is>
          <t>Estructuras</t>
        </is>
      </c>
      <c r="O11" s="18" t="inlineStr">
        <is>
          <t>Estimado DION · criterio de mercado Guayaquil 2026 (no verificado en tienda)</t>
        </is>
      </c>
      <c r="P11" s="18" t="inlineStr">
        <is>
          <t>oct-2026 (est.)</t>
        </is>
      </c>
      <c r="Q11" s="18" t="n">
        <v>5</v>
      </c>
    </row>
    <row r="12">
      <c r="A12" s="164" t="n">
        <v>4</v>
      </c>
      <c r="B12" s="165" t="inlineStr">
        <is>
          <t xml:space="preserve">        Cal Hidratada Saco 25 kg</t>
        </is>
      </c>
      <c r="C12" s="166" t="inlineStr">
        <is>
          <t>Residencial / Comercial</t>
        </is>
      </c>
      <c r="D12" s="164" t="inlineStr">
        <is>
          <t>Cal</t>
        </is>
      </c>
      <c r="E12" s="164" t="inlineStr">
        <is>
          <t>Saco</t>
        </is>
      </c>
      <c r="F12" s="167" t="n">
        <v>10</v>
      </c>
      <c r="G12" s="168" t="n">
        <v>5.5</v>
      </c>
      <c r="H12" s="168" t="n">
        <v>5.67</v>
      </c>
      <c r="I12" s="164" t="inlineStr">
        <is>
          <t>Disensa</t>
        </is>
      </c>
      <c r="J12" s="168" t="n">
        <v>5.94</v>
      </c>
      <c r="K12" s="164" t="inlineStr">
        <is>
          <t>Kywi / Megakywi</t>
        </is>
      </c>
      <c r="L12" s="169">
        <f>F12*G12</f>
        <v/>
      </c>
      <c r="M12" s="170" t="inlineStr">
        <is>
          <t>S-B10-CEM-CAL-25KG</t>
        </is>
      </c>
      <c r="N12" s="164" t="inlineStr">
        <is>
          <t>Estructuras</t>
        </is>
      </c>
      <c r="O12" s="164" t="inlineStr">
        <is>
          <t>Estimado DION · criterio de mercado Guayaquil 2026 (no verificado en tienda)</t>
        </is>
      </c>
      <c r="P12" s="164" t="inlineStr">
        <is>
          <t>oct-2026 (est.)</t>
        </is>
      </c>
      <c r="Q12" s="164" t="n">
        <v>5</v>
      </c>
    </row>
    <row r="13">
      <c r="A13" s="18" t="n">
        <v>5</v>
      </c>
      <c r="B13" s="19" t="inlineStr">
        <is>
          <t xml:space="preserve">        Arena Fina de Río para Enlucido (m³ puesto en obra GYE)</t>
        </is>
      </c>
      <c r="C13" s="20" t="inlineStr">
        <is>
          <t>Residencial / Comercial / Ind</t>
        </is>
      </c>
      <c r="D13" s="18" t="inlineStr">
        <is>
          <t>Arena</t>
        </is>
      </c>
      <c r="E13" s="18" t="inlineStr">
        <is>
          <t>m3</t>
        </is>
      </c>
      <c r="F13" s="21" t="n">
        <v>10</v>
      </c>
      <c r="G13" s="22" t="n">
        <v>19</v>
      </c>
      <c r="H13" s="22" t="n">
        <v>19.95</v>
      </c>
      <c r="I13" s="18" t="inlineStr">
        <is>
          <t>Disensa</t>
        </is>
      </c>
      <c r="J13" s="22" t="n">
        <v>20.52</v>
      </c>
      <c r="K13" s="18" t="inlineStr">
        <is>
          <t>Kywi / Megakywi</t>
        </is>
      </c>
      <c r="L13" s="8">
        <f>F13*G13</f>
        <v/>
      </c>
      <c r="M13" s="145" t="inlineStr">
        <is>
          <t>S-B10-CEM-ARE-FIN</t>
        </is>
      </c>
      <c r="N13" s="18" t="inlineStr">
        <is>
          <t>Estructuras</t>
        </is>
      </c>
      <c r="O13" s="18" t="inlineStr">
        <is>
          <t>Estimado DION · criterio de mercado Guayaquil 2026 (no verificado en tienda)</t>
        </is>
      </c>
      <c r="P13" s="18" t="inlineStr">
        <is>
          <t>oct-2026 (est.)</t>
        </is>
      </c>
      <c r="Q13" s="18" t="n">
        <v>10</v>
      </c>
    </row>
    <row r="14">
      <c r="A14" s="164" t="n">
        <v>6</v>
      </c>
      <c r="B14" s="165" t="inlineStr">
        <is>
          <t xml:space="preserve">        Arena Gruesa / Homogenizada para Hormigón (m³)</t>
        </is>
      </c>
      <c r="C14" s="166" t="inlineStr">
        <is>
          <t>Residencial / Comercial / Ind</t>
        </is>
      </c>
      <c r="D14" s="164" t="inlineStr">
        <is>
          <t>Arena</t>
        </is>
      </c>
      <c r="E14" s="164" t="inlineStr">
        <is>
          <t>m3</t>
        </is>
      </c>
      <c r="F14" s="167" t="n">
        <v>10</v>
      </c>
      <c r="G14" s="168" t="n">
        <v>18</v>
      </c>
      <c r="H14" s="168" t="n">
        <v>18.36</v>
      </c>
      <c r="I14" s="164" t="inlineStr">
        <is>
          <t>Disensa</t>
        </is>
      </c>
      <c r="J14" s="168" t="n">
        <v>19.8</v>
      </c>
      <c r="K14" s="164" t="inlineStr">
        <is>
          <t>Kywi / Megakywi</t>
        </is>
      </c>
      <c r="L14" s="169">
        <f>F14*G14</f>
        <v/>
      </c>
      <c r="M14" s="170" t="inlineStr">
        <is>
          <t>S-B10-CEM-ARE-GRU</t>
        </is>
      </c>
      <c r="N14" s="164" t="inlineStr">
        <is>
          <t>Estructuras</t>
        </is>
      </c>
      <c r="O14" s="164" t="inlineStr">
        <is>
          <t>Estimado DION · criterio de mercado Guayaquil 2026 (no verificado en tienda)</t>
        </is>
      </c>
      <c r="P14" s="164" t="inlineStr">
        <is>
          <t>oct-2026 (est.)</t>
        </is>
      </c>
      <c r="Q14" s="164" t="n">
        <v>10</v>
      </c>
    </row>
    <row r="15">
      <c r="A15" s="18" t="n">
        <v>7</v>
      </c>
      <c r="B15" s="19" t="inlineStr">
        <is>
          <t xml:space="preserve">        Ripio Triturado ¾" (Piedra #57) (m³)</t>
        </is>
      </c>
      <c r="C15" s="20" t="inlineStr">
        <is>
          <t>Residencial / Comercial / Ind</t>
        </is>
      </c>
      <c r="D15" s="18" t="inlineStr">
        <is>
          <t>Ripio</t>
        </is>
      </c>
      <c r="E15" s="18" t="inlineStr">
        <is>
          <t>m3</t>
        </is>
      </c>
      <c r="F15" s="21" t="n">
        <v>10</v>
      </c>
      <c r="G15" s="22" t="n">
        <v>22</v>
      </c>
      <c r="H15" s="22" t="n">
        <v>23.1</v>
      </c>
      <c r="I15" s="18" t="inlineStr">
        <is>
          <t>Disensa</t>
        </is>
      </c>
      <c r="J15" s="22" t="n">
        <v>24.2</v>
      </c>
      <c r="K15" s="18" t="inlineStr">
        <is>
          <t>Kywi / Megakywi</t>
        </is>
      </c>
      <c r="L15" s="8">
        <f>F15*G15</f>
        <v/>
      </c>
      <c r="M15" s="145" t="inlineStr">
        <is>
          <t>S-B10-CEM-RIP-034</t>
        </is>
      </c>
      <c r="N15" s="18" t="inlineStr">
        <is>
          <t>Estructuras</t>
        </is>
      </c>
      <c r="O15" s="18" t="inlineStr">
        <is>
          <t>Estimado DION · criterio de mercado Guayaquil 2026 (no verificado en tienda)</t>
        </is>
      </c>
      <c r="P15" s="18" t="inlineStr">
        <is>
          <t>oct-2026 (est.)</t>
        </is>
      </c>
      <c r="Q15" s="18" t="n">
        <v>10</v>
      </c>
    </row>
    <row r="16">
      <c r="A16" s="164" t="n">
        <v>8</v>
      </c>
      <c r="B16" s="165" t="inlineStr">
        <is>
          <t xml:space="preserve">        Piedra Base / Bola para Ciclópeo (m³)</t>
        </is>
      </c>
      <c r="C16" s="166" t="inlineStr">
        <is>
          <t>Residencial / Comercial / Ind</t>
        </is>
      </c>
      <c r="D16" s="164" t="inlineStr">
        <is>
          <t>Piedra</t>
        </is>
      </c>
      <c r="E16" s="164" t="inlineStr">
        <is>
          <t>m3</t>
        </is>
      </c>
      <c r="F16" s="167" t="n">
        <v>5</v>
      </c>
      <c r="G16" s="168" t="n">
        <v>17</v>
      </c>
      <c r="H16" s="168" t="n">
        <v>17.68</v>
      </c>
      <c r="I16" s="164" t="inlineStr">
        <is>
          <t>Disensa</t>
        </is>
      </c>
      <c r="J16" s="168" t="n">
        <v>18.87</v>
      </c>
      <c r="K16" s="164" t="inlineStr">
        <is>
          <t>Kywi / Megakywi</t>
        </is>
      </c>
      <c r="L16" s="169">
        <f>F16*G16</f>
        <v/>
      </c>
      <c r="M16" s="170" t="inlineStr">
        <is>
          <t>S-B10-CEM-PIE-BOL</t>
        </is>
      </c>
      <c r="N16" s="164" t="inlineStr">
        <is>
          <t>Estructuras</t>
        </is>
      </c>
      <c r="O16" s="164" t="inlineStr">
        <is>
          <t>Estimado DION · criterio de mercado Guayaquil 2026 (no verificado en tienda)</t>
        </is>
      </c>
      <c r="P16" s="164" t="inlineStr">
        <is>
          <t>oct-2026 (est.)</t>
        </is>
      </c>
      <c r="Q16" s="164" t="n">
        <v>10</v>
      </c>
    </row>
    <row r="17">
      <c r="A17" s="18" t="n">
        <v>9</v>
      </c>
      <c r="B17" s="19" t="inlineStr">
        <is>
          <t xml:space="preserve">        Polvo de Piedra / Chispa (m³)</t>
        </is>
      </c>
      <c r="C17" s="20" t="inlineStr">
        <is>
          <t>Residencial / Comercial</t>
        </is>
      </c>
      <c r="D17" s="18" t="inlineStr">
        <is>
          <t>Chispa</t>
        </is>
      </c>
      <c r="E17" s="18" t="inlineStr">
        <is>
          <t>m3</t>
        </is>
      </c>
      <c r="F17" s="21" t="n">
        <v>5</v>
      </c>
      <c r="G17" s="22" t="n">
        <v>16</v>
      </c>
      <c r="H17" s="22" t="n">
        <v>16.48</v>
      </c>
      <c r="I17" s="18" t="inlineStr">
        <is>
          <t>Disensa</t>
        </is>
      </c>
      <c r="J17" s="22" t="n">
        <v>17.28</v>
      </c>
      <c r="K17" s="18" t="inlineStr">
        <is>
          <t>Kywi / Megakywi</t>
        </is>
      </c>
      <c r="L17" s="8">
        <f>F17*G17</f>
        <v/>
      </c>
      <c r="M17" s="145" t="inlineStr">
        <is>
          <t>S-B10-CEM-CHI</t>
        </is>
      </c>
      <c r="N17" s="18" t="inlineStr">
        <is>
          <t>Estructuras</t>
        </is>
      </c>
      <c r="O17" s="18" t="inlineStr">
        <is>
          <t>Estimado DION · criterio de mercado Guayaquil 2026 (no verificado en tienda)</t>
        </is>
      </c>
      <c r="P17" s="18" t="inlineStr">
        <is>
          <t>oct-2026 (est.)</t>
        </is>
      </c>
      <c r="Q17" s="18" t="n">
        <v>10</v>
      </c>
    </row>
    <row r="18">
      <c r="A18" s="164" t="n">
        <v>10</v>
      </c>
      <c r="B18" s="165" t="inlineStr">
        <is>
          <t xml:space="preserve">        Agua para Construcción (m³, tanquero)</t>
        </is>
      </c>
      <c r="C18" s="166" t="inlineStr">
        <is>
          <t>Residencial / Comercial / Ind</t>
        </is>
      </c>
      <c r="D18" s="164" t="inlineStr">
        <is>
          <t>Agua</t>
        </is>
      </c>
      <c r="E18" s="164" t="inlineStr">
        <is>
          <t>m3</t>
        </is>
      </c>
      <c r="F18" s="167" t="n">
        <v>10</v>
      </c>
      <c r="G18" s="168" t="n">
        <v>4.5</v>
      </c>
      <c r="H18" s="168" t="n">
        <v>4.73</v>
      </c>
      <c r="I18" s="164" t="inlineStr">
        <is>
          <t>Disensa</t>
        </is>
      </c>
      <c r="J18" s="168" t="n">
        <v>4.95</v>
      </c>
      <c r="K18" s="164" t="inlineStr">
        <is>
          <t>Kywi / Megakywi</t>
        </is>
      </c>
      <c r="L18" s="169">
        <f>F18*G18</f>
        <v/>
      </c>
      <c r="M18" s="170" t="inlineStr">
        <is>
          <t>S-B10-CEM-AGU</t>
        </is>
      </c>
      <c r="N18" s="164" t="inlineStr">
        <is>
          <t>Estructuras</t>
        </is>
      </c>
      <c r="O18" s="164" t="inlineStr">
        <is>
          <t>Estimado DION · criterio de mercado Guayaquil 2026 (no verificado en tienda)</t>
        </is>
      </c>
      <c r="P18" s="164" t="inlineStr">
        <is>
          <t>oct-2026 (est.)</t>
        </is>
      </c>
      <c r="Q18" s="164" t="n">
        <v>5</v>
      </c>
    </row>
    <row r="19">
      <c r="A19" s="161" t="inlineStr">
        <is>
          <t>TUBERÍAS</t>
        </is>
      </c>
      <c r="B19" s="143" t="n"/>
      <c r="C19" s="143" t="n"/>
      <c r="D19" s="143" t="n"/>
      <c r="E19" s="143" t="n"/>
      <c r="F19" s="143" t="n"/>
      <c r="G19" s="143" t="n"/>
      <c r="H19" s="143" t="n"/>
      <c r="I19" s="143" t="n"/>
      <c r="J19" s="143" t="n"/>
      <c r="K19" s="143" t="n"/>
      <c r="L19" s="143" t="n"/>
      <c r="M19" s="143" t="n"/>
      <c r="N19" s="143" t="n"/>
      <c r="O19" s="143" t="n"/>
      <c r="P19" s="143" t="n"/>
      <c r="Q19" s="144" t="n"/>
    </row>
    <row r="20">
      <c r="A20" s="162" t="inlineStr">
        <is>
          <t xml:space="preserve">  ► CATEGORÍA: UNIDADES DE MAMPOSTERÍA</t>
        </is>
      </c>
      <c r="B20" s="143" t="n"/>
      <c r="C20" s="143" t="n"/>
      <c r="D20" s="143" t="n"/>
      <c r="E20" s="143" t="n"/>
      <c r="F20" s="143" t="n"/>
      <c r="G20" s="143" t="n"/>
      <c r="H20" s="143" t="n"/>
      <c r="I20" s="143" t="n"/>
      <c r="J20" s="143" t="n"/>
      <c r="K20" s="143" t="n"/>
      <c r="L20" s="143" t="n"/>
      <c r="M20" s="143" t="n"/>
      <c r="N20" s="143" t="n"/>
      <c r="O20" s="143" t="n"/>
      <c r="P20" s="143" t="n"/>
      <c r="Q20" s="144" t="n"/>
    </row>
    <row r="21">
      <c r="A21" s="163" t="inlineStr">
        <is>
          <t xml:space="preserve">      • Subcategoría Especificada: Bloques de Hormigón por Espesor (INEN 3066)</t>
        </is>
      </c>
      <c r="B21" s="143" t="n"/>
      <c r="C21" s="143" t="n"/>
      <c r="D21" s="143" t="n"/>
      <c r="E21" s="143" t="n"/>
      <c r="F21" s="143" t="n"/>
      <c r="G21" s="143" t="n"/>
      <c r="H21" s="143" t="n"/>
      <c r="I21" s="143" t="n"/>
      <c r="J21" s="143" t="n"/>
      <c r="K21" s="143" t="n"/>
      <c r="L21" s="143" t="n"/>
      <c r="M21" s="143" t="n"/>
      <c r="N21" s="143" t="n"/>
      <c r="O21" s="143" t="n"/>
      <c r="P21" s="143" t="n"/>
      <c r="Q21" s="144" t="n"/>
    </row>
    <row r="22">
      <c r="A22" s="18" t="n">
        <v>11</v>
      </c>
      <c r="B22" s="19" t="inlineStr">
        <is>
          <t xml:space="preserve">        Bloque de Hormigón Alivianado 7x20x40 cm</t>
        </is>
      </c>
      <c r="C22" s="20" t="inlineStr">
        <is>
          <t>Residencial / Comercial</t>
        </is>
      </c>
      <c r="D22" s="18" t="inlineStr">
        <is>
          <t>Bloques Alivianados</t>
        </is>
      </c>
      <c r="E22" s="18" t="inlineStr">
        <is>
          <t>U</t>
        </is>
      </c>
      <c r="F22" s="21" t="n">
        <v>500</v>
      </c>
      <c r="G22" s="22" t="n">
        <v>0.36</v>
      </c>
      <c r="H22" s="22" t="n">
        <v>0.38</v>
      </c>
      <c r="I22" s="18" t="inlineStr">
        <is>
          <t>Disensa</t>
        </is>
      </c>
      <c r="J22" s="22" t="n">
        <v>0.39</v>
      </c>
      <c r="K22" s="18" t="inlineStr">
        <is>
          <t>Kywi / Megakywi</t>
        </is>
      </c>
      <c r="L22" s="8">
        <f>F22*G22</f>
        <v/>
      </c>
      <c r="M22" s="145" t="inlineStr">
        <is>
          <t>A-B20-MAM-BLA-070</t>
        </is>
      </c>
      <c r="N22" s="18" t="inlineStr">
        <is>
          <t>Arquitectura</t>
        </is>
      </c>
      <c r="O22" s="18" t="inlineStr">
        <is>
          <t>Estimado DION · criterio de mercado Guayaquil 2026 (no verificado en tienda)</t>
        </is>
      </c>
      <c r="P22" s="18" t="inlineStr">
        <is>
          <t>oct-2026 (est.)</t>
        </is>
      </c>
      <c r="Q22" s="18" t="n">
        <v>5</v>
      </c>
    </row>
    <row r="23">
      <c r="A23" s="164" t="n">
        <v>12</v>
      </c>
      <c r="B23" s="165" t="inlineStr">
        <is>
          <t xml:space="preserve">        Bloque de Hormigón Alivianado 9x20x40 cm</t>
        </is>
      </c>
      <c r="C23" s="166" t="inlineStr">
        <is>
          <t>Residencial / Comercial</t>
        </is>
      </c>
      <c r="D23" s="164" t="inlineStr">
        <is>
          <t>Bloques Alivianados</t>
        </is>
      </c>
      <c r="E23" s="164" t="inlineStr">
        <is>
          <t>U</t>
        </is>
      </c>
      <c r="F23" s="167" t="n">
        <v>500</v>
      </c>
      <c r="G23" s="168" t="n">
        <v>0.39</v>
      </c>
      <c r="H23" s="168" t="n">
        <v>0.4</v>
      </c>
      <c r="I23" s="164" t="inlineStr">
        <is>
          <t>Disensa</t>
        </is>
      </c>
      <c r="J23" s="168" t="n">
        <v>0.43</v>
      </c>
      <c r="K23" s="164" t="inlineStr">
        <is>
          <t>Kywi / Megakywi</t>
        </is>
      </c>
      <c r="L23" s="169">
        <f>F23*G23</f>
        <v/>
      </c>
      <c r="M23" s="170" t="inlineStr">
        <is>
          <t>A-B20-MAM-BLA-090</t>
        </is>
      </c>
      <c r="N23" s="164" t="inlineStr">
        <is>
          <t>Arquitectura</t>
        </is>
      </c>
      <c r="O23" s="164" t="inlineStr">
        <is>
          <t>Estimado DION · criterio de mercado Guayaquil 2026 (no verificado en tienda)</t>
        </is>
      </c>
      <c r="P23" s="164" t="inlineStr">
        <is>
          <t>oct-2026 (est.)</t>
        </is>
      </c>
      <c r="Q23" s="164" t="n">
        <v>5</v>
      </c>
    </row>
    <row r="24">
      <c r="A24" s="18" t="n">
        <v>13</v>
      </c>
      <c r="B24" s="19" t="inlineStr">
        <is>
          <t xml:space="preserve">        Bloque de Hormigón Alivianado 10x20x40 cm</t>
        </is>
      </c>
      <c r="C24" s="20" t="inlineStr">
        <is>
          <t>Residencial / Comercial</t>
        </is>
      </c>
      <c r="D24" s="18" t="inlineStr">
        <is>
          <t>Bloques Alivianados</t>
        </is>
      </c>
      <c r="E24" s="18" t="inlineStr">
        <is>
          <t>U</t>
        </is>
      </c>
      <c r="F24" s="21" t="n">
        <v>500</v>
      </c>
      <c r="G24" s="22" t="n">
        <v>0.41</v>
      </c>
      <c r="H24" s="22" t="n">
        <v>0.43</v>
      </c>
      <c r="I24" s="18" t="inlineStr">
        <is>
          <t>Disensa</t>
        </is>
      </c>
      <c r="J24" s="22" t="n">
        <v>0.44</v>
      </c>
      <c r="K24" s="18" t="inlineStr">
        <is>
          <t>Kywi / Megakywi</t>
        </is>
      </c>
      <c r="L24" s="8">
        <f>F24*G24</f>
        <v/>
      </c>
      <c r="M24" s="145" t="inlineStr">
        <is>
          <t>A-B20-MAM-BLA-100</t>
        </is>
      </c>
      <c r="N24" s="18" t="inlineStr">
        <is>
          <t>Arquitectura</t>
        </is>
      </c>
      <c r="O24" s="18" t="inlineStr">
        <is>
          <t>Estimado DION · criterio de mercado Guayaquil 2026 (no verificado en tienda)</t>
        </is>
      </c>
      <c r="P24" s="18" t="inlineStr">
        <is>
          <t>oct-2026 (est.)</t>
        </is>
      </c>
      <c r="Q24" s="18" t="n">
        <v>5</v>
      </c>
    </row>
    <row r="25">
      <c r="A25" s="164" t="n">
        <v>14</v>
      </c>
      <c r="B25" s="165" t="inlineStr">
        <is>
          <t xml:space="preserve">        Bloque de Hormigón Alivianado 15x20x40 cm</t>
        </is>
      </c>
      <c r="C25" s="166" t="inlineStr">
        <is>
          <t>Residencial / Comercial</t>
        </is>
      </c>
      <c r="D25" s="164" t="inlineStr">
        <is>
          <t>Bloques Alivianados</t>
        </is>
      </c>
      <c r="E25" s="164" t="inlineStr">
        <is>
          <t>U</t>
        </is>
      </c>
      <c r="F25" s="167" t="n">
        <v>200</v>
      </c>
      <c r="G25" s="168" t="n">
        <v>0.5</v>
      </c>
      <c r="H25" s="168" t="n">
        <v>0.52</v>
      </c>
      <c r="I25" s="164" t="inlineStr">
        <is>
          <t>Disensa</t>
        </is>
      </c>
      <c r="J25" s="168" t="n">
        <v>0.5600000000000001</v>
      </c>
      <c r="K25" s="164" t="inlineStr">
        <is>
          <t>Kywi / Megakywi</t>
        </is>
      </c>
      <c r="L25" s="169">
        <f>F25*G25</f>
        <v/>
      </c>
      <c r="M25" s="170" t="inlineStr">
        <is>
          <t>A-B20-MAM-BLA-150</t>
        </is>
      </c>
      <c r="N25" s="164" t="inlineStr">
        <is>
          <t>Arquitectura</t>
        </is>
      </c>
      <c r="O25" s="164" t="inlineStr">
        <is>
          <t>Estimado DION · criterio de mercado Guayaquil 2026 (no verificado en tienda)</t>
        </is>
      </c>
      <c r="P25" s="164" t="inlineStr">
        <is>
          <t>oct-2026 (est.)</t>
        </is>
      </c>
      <c r="Q25" s="164" t="n">
        <v>5</v>
      </c>
    </row>
    <row r="26">
      <c r="A26" s="18" t="n">
        <v>15</v>
      </c>
      <c r="B26" s="19" t="inlineStr">
        <is>
          <t xml:space="preserve">        Bloque de Hormigón Alivianado 20x20x40 cm</t>
        </is>
      </c>
      <c r="C26" s="20" t="inlineStr">
        <is>
          <t>Residencial / Comercial</t>
        </is>
      </c>
      <c r="D26" s="18" t="inlineStr">
        <is>
          <t>Bloques Alivianados</t>
        </is>
      </c>
      <c r="E26" s="18" t="inlineStr">
        <is>
          <t>U</t>
        </is>
      </c>
      <c r="F26" s="21" t="n">
        <v>200</v>
      </c>
      <c r="G26" s="22" t="n">
        <v>0.64</v>
      </c>
      <c r="H26" s="22" t="n">
        <v>0.67</v>
      </c>
      <c r="I26" s="18" t="inlineStr">
        <is>
          <t>Disensa</t>
        </is>
      </c>
      <c r="J26" s="22" t="n">
        <v>0.71</v>
      </c>
      <c r="K26" s="18" t="inlineStr">
        <is>
          <t>Kywi / Megakywi</t>
        </is>
      </c>
      <c r="L26" s="8">
        <f>F26*G26</f>
        <v/>
      </c>
      <c r="M26" s="145" t="inlineStr">
        <is>
          <t>A-B20-MAM-BLA-200</t>
        </is>
      </c>
      <c r="N26" s="18" t="inlineStr">
        <is>
          <t>Arquitectura</t>
        </is>
      </c>
      <c r="O26" s="18" t="inlineStr">
        <is>
          <t>Estimado DION · criterio de mercado Guayaquil 2026 (no verificado en tienda)</t>
        </is>
      </c>
      <c r="P26" s="18" t="inlineStr">
        <is>
          <t>oct-2026 (est.)</t>
        </is>
      </c>
      <c r="Q26" s="18" t="n">
        <v>5</v>
      </c>
    </row>
    <row r="27">
      <c r="A27" s="164" t="n">
        <v>16</v>
      </c>
      <c r="B27" s="165" t="inlineStr">
        <is>
          <t xml:space="preserve">        Bloque de Hormigón Estructural Pesado 10x20x40 cm</t>
        </is>
      </c>
      <c r="C27" s="166" t="inlineStr">
        <is>
          <t>Comercial / Industrial</t>
        </is>
      </c>
      <c r="D27" s="164" t="inlineStr">
        <is>
          <t>Bloques Estructurales</t>
        </is>
      </c>
      <c r="E27" s="164" t="inlineStr">
        <is>
          <t>U</t>
        </is>
      </c>
      <c r="F27" s="167" t="n">
        <v>200</v>
      </c>
      <c r="G27" s="168" t="n">
        <v>0.52</v>
      </c>
      <c r="H27" s="168" t="n">
        <v>0.54</v>
      </c>
      <c r="I27" s="164" t="inlineStr">
        <is>
          <t>Disensa</t>
        </is>
      </c>
      <c r="J27" s="168" t="n">
        <v>0.58</v>
      </c>
      <c r="K27" s="164" t="inlineStr">
        <is>
          <t>Kywi / Megakywi</t>
        </is>
      </c>
      <c r="L27" s="169">
        <f>F27*G27</f>
        <v/>
      </c>
      <c r="M27" s="170" t="inlineStr">
        <is>
          <t>A-B20-MAM-BLO-100</t>
        </is>
      </c>
      <c r="N27" s="164" t="inlineStr">
        <is>
          <t>Arquitectura</t>
        </is>
      </c>
      <c r="O27" s="164" t="inlineStr">
        <is>
          <t>Estimado DION · criterio de mercado Guayaquil 2026 (no verificado en tienda)</t>
        </is>
      </c>
      <c r="P27" s="164" t="inlineStr">
        <is>
          <t>oct-2026 (est.)</t>
        </is>
      </c>
      <c r="Q27" s="164" t="n">
        <v>5</v>
      </c>
    </row>
    <row r="28">
      <c r="A28" s="18" t="n">
        <v>17</v>
      </c>
      <c r="B28" s="19" t="inlineStr">
        <is>
          <t xml:space="preserve">        Bloque de Hormigón Estructural Pesado 20x20x40 cm</t>
        </is>
      </c>
      <c r="C28" s="20" t="inlineStr">
        <is>
          <t>Comercial / Industrial</t>
        </is>
      </c>
      <c r="D28" s="18" t="inlineStr">
        <is>
          <t>Bloques Estructurales</t>
        </is>
      </c>
      <c r="E28" s="18" t="inlineStr">
        <is>
          <t>U</t>
        </is>
      </c>
      <c r="F28" s="21" t="n">
        <v>200</v>
      </c>
      <c r="G28" s="22" t="n">
        <v>0.78</v>
      </c>
      <c r="H28" s="22" t="n">
        <v>0.82</v>
      </c>
      <c r="I28" s="18" t="inlineStr">
        <is>
          <t>Disensa</t>
        </is>
      </c>
      <c r="J28" s="22" t="n">
        <v>0.87</v>
      </c>
      <c r="K28" s="18" t="inlineStr">
        <is>
          <t>Kywi / Megakywi</t>
        </is>
      </c>
      <c r="L28" s="8">
        <f>F28*G28</f>
        <v/>
      </c>
      <c r="M28" s="145" t="inlineStr">
        <is>
          <t>A-B20-MAM-BLO-200</t>
        </is>
      </c>
      <c r="N28" s="18" t="inlineStr">
        <is>
          <t>Arquitectura</t>
        </is>
      </c>
      <c r="O28" s="18" t="inlineStr">
        <is>
          <t>Estimado DION · criterio de mercado Guayaquil 2026 (no verificado en tienda)</t>
        </is>
      </c>
      <c r="P28" s="18" t="inlineStr">
        <is>
          <t>oct-2026 (est.)</t>
        </is>
      </c>
      <c r="Q28" s="18" t="n">
        <v>5</v>
      </c>
    </row>
    <row r="29">
      <c r="A29" s="164" t="n">
        <v>18</v>
      </c>
      <c r="B29" s="165" t="inlineStr">
        <is>
          <t xml:space="preserve">        Bloque Visto / Cara Lisa Hidrofugado 15x20x40 cm</t>
        </is>
      </c>
      <c r="C29" s="166" t="inlineStr">
        <is>
          <t>Residencial / Comercial</t>
        </is>
      </c>
      <c r="D29" s="164" t="inlineStr">
        <is>
          <t>Bloques Vistos</t>
        </is>
      </c>
      <c r="E29" s="164" t="inlineStr">
        <is>
          <t>U</t>
        </is>
      </c>
      <c r="F29" s="167" t="n">
        <v>200</v>
      </c>
      <c r="G29" s="168" t="n">
        <v>0.95</v>
      </c>
      <c r="H29" s="168" t="n">
        <v>0.97</v>
      </c>
      <c r="I29" s="164" t="inlineStr">
        <is>
          <t>Disensa</t>
        </is>
      </c>
      <c r="J29" s="168" t="n">
        <v>1.04</v>
      </c>
      <c r="K29" s="164" t="inlineStr">
        <is>
          <t>Kywi / Megakywi</t>
        </is>
      </c>
      <c r="L29" s="169">
        <f>F29*G29</f>
        <v/>
      </c>
      <c r="M29" s="170" t="inlineStr">
        <is>
          <t>A-B20-MAM-BLV-150</t>
        </is>
      </c>
      <c r="N29" s="164" t="inlineStr">
        <is>
          <t>Arquitectura</t>
        </is>
      </c>
      <c r="O29" s="164" t="inlineStr">
        <is>
          <t>Estimado DION · criterio de mercado Guayaquil 2026 (no verificado en tienda)</t>
        </is>
      </c>
      <c r="P29" s="164" t="inlineStr">
        <is>
          <t>oct-2026 (est.)</t>
        </is>
      </c>
      <c r="Q29" s="164" t="n">
        <v>5</v>
      </c>
    </row>
    <row r="30">
      <c r="A30" s="18" t="n">
        <v>19</v>
      </c>
      <c r="B30" s="19" t="inlineStr">
        <is>
          <t xml:space="preserve">        Bloque de Vidrio 19x19x8 cm</t>
        </is>
      </c>
      <c r="C30" s="20" t="inlineStr">
        <is>
          <t>Residencial / Comercial</t>
        </is>
      </c>
      <c r="D30" s="18" t="inlineStr">
        <is>
          <t>Bloques Vidrio</t>
        </is>
      </c>
      <c r="E30" s="18" t="inlineStr">
        <is>
          <t>U</t>
        </is>
      </c>
      <c r="F30" s="21" t="n">
        <v>20</v>
      </c>
      <c r="G30" s="22" t="n">
        <v>4.8</v>
      </c>
      <c r="H30" s="22" t="n">
        <v>4.9</v>
      </c>
      <c r="I30" s="18" t="inlineStr">
        <is>
          <t>Disensa</t>
        </is>
      </c>
      <c r="J30" s="22" t="n">
        <v>5.14</v>
      </c>
      <c r="K30" s="18" t="inlineStr">
        <is>
          <t>Kywi / Megakywi</t>
        </is>
      </c>
      <c r="L30" s="8">
        <f>F30*G30</f>
        <v/>
      </c>
      <c r="M30" s="145" t="inlineStr">
        <is>
          <t>A-B20-MAM-BVI-190</t>
        </is>
      </c>
      <c r="N30" s="18" t="inlineStr">
        <is>
          <t>Arquitectura</t>
        </is>
      </c>
      <c r="O30" s="18" t="inlineStr">
        <is>
          <t>Estimado DION · criterio de mercado Guayaquil 2026 (no verificado en tienda)</t>
        </is>
      </c>
      <c r="P30" s="18" t="inlineStr">
        <is>
          <t>oct-2026 (est.)</t>
        </is>
      </c>
      <c r="Q30" s="18" t="n">
        <v>3</v>
      </c>
    </row>
    <row r="31">
      <c r="A31" s="164" t="n">
        <v>20</v>
      </c>
      <c r="B31" s="165" t="inlineStr">
        <is>
          <t xml:space="preserve">        Bloque Calado / Celosía Decorativa 40x40x10 cm</t>
        </is>
      </c>
      <c r="C31" s="166" t="inlineStr">
        <is>
          <t>Residencial / Comercial</t>
        </is>
      </c>
      <c r="D31" s="164" t="inlineStr">
        <is>
          <t>Bloques Calados</t>
        </is>
      </c>
      <c r="E31" s="164" t="inlineStr">
        <is>
          <t>U</t>
        </is>
      </c>
      <c r="F31" s="167" t="n">
        <v>30</v>
      </c>
      <c r="G31" s="168" t="n">
        <v>2.6</v>
      </c>
      <c r="H31" s="168" t="n">
        <v>2.7</v>
      </c>
      <c r="I31" s="164" t="inlineStr">
        <is>
          <t>Disensa</t>
        </is>
      </c>
      <c r="J31" s="168" t="n">
        <v>2.86</v>
      </c>
      <c r="K31" s="164" t="inlineStr">
        <is>
          <t>Kywi / Megakywi</t>
        </is>
      </c>
      <c r="L31" s="169">
        <f>F31*G31</f>
        <v/>
      </c>
      <c r="M31" s="170" t="inlineStr">
        <is>
          <t>A-B20-MAM-CEL-100</t>
        </is>
      </c>
      <c r="N31" s="164" t="inlineStr">
        <is>
          <t>Arquitectura</t>
        </is>
      </c>
      <c r="O31" s="164" t="inlineStr">
        <is>
          <t>Estimado DION · criterio de mercado Guayaquil 2026 (no verificado en tienda)</t>
        </is>
      </c>
      <c r="P31" s="164" t="inlineStr">
        <is>
          <t>oct-2026 (est.)</t>
        </is>
      </c>
      <c r="Q31" s="164" t="n">
        <v>5</v>
      </c>
    </row>
    <row r="32">
      <c r="A32" s="162" t="inlineStr">
        <is>
          <t xml:space="preserve">  ► CATEGORÍA: LADRILLOS</t>
        </is>
      </c>
      <c r="B32" s="143" t="n"/>
      <c r="C32" s="143" t="n"/>
      <c r="D32" s="143" t="n"/>
      <c r="E32" s="143" t="n"/>
      <c r="F32" s="143" t="n"/>
      <c r="G32" s="143" t="n"/>
      <c r="H32" s="143" t="n"/>
      <c r="I32" s="143" t="n"/>
      <c r="J32" s="143" t="n"/>
      <c r="K32" s="143" t="n"/>
      <c r="L32" s="143" t="n"/>
      <c r="M32" s="143" t="n"/>
      <c r="N32" s="143" t="n"/>
      <c r="O32" s="143" t="n"/>
      <c r="P32" s="143" t="n"/>
      <c r="Q32" s="144" t="n"/>
    </row>
    <row r="33">
      <c r="A33" s="163" t="inlineStr">
        <is>
          <t xml:space="preserve">      • Subcategoría Especificada: Ladrillo Macizo, Panelón y Visto</t>
        </is>
      </c>
      <c r="B33" s="143" t="n"/>
      <c r="C33" s="143" t="n"/>
      <c r="D33" s="143" t="n"/>
      <c r="E33" s="143" t="n"/>
      <c r="F33" s="143" t="n"/>
      <c r="G33" s="143" t="n"/>
      <c r="H33" s="143" t="n"/>
      <c r="I33" s="143" t="n"/>
      <c r="J33" s="143" t="n"/>
      <c r="K33" s="143" t="n"/>
      <c r="L33" s="143" t="n"/>
      <c r="M33" s="143" t="n"/>
      <c r="N33" s="143" t="n"/>
      <c r="O33" s="143" t="n"/>
      <c r="P33" s="143" t="n"/>
      <c r="Q33" s="144" t="n"/>
    </row>
    <row r="34">
      <c r="A34" s="18" t="n">
        <v>21</v>
      </c>
      <c r="B34" s="19" t="inlineStr">
        <is>
          <t xml:space="preserve">        Ladrillo Macizo Artesanal 7x14x28 cm</t>
        </is>
      </c>
      <c r="C34" s="20" t="inlineStr">
        <is>
          <t>Residencial / Comercial</t>
        </is>
      </c>
      <c r="D34" s="18" t="inlineStr">
        <is>
          <t>Ladrillos Macizos</t>
        </is>
      </c>
      <c r="E34" s="18" t="inlineStr">
        <is>
          <t>U</t>
        </is>
      </c>
      <c r="F34" s="21" t="n">
        <v>500</v>
      </c>
      <c r="G34" s="22" t="n">
        <v>0.22</v>
      </c>
      <c r="H34" s="22" t="n">
        <v>0.23</v>
      </c>
      <c r="I34" s="18" t="inlineStr">
        <is>
          <t>Disensa</t>
        </is>
      </c>
      <c r="J34" s="22" t="n">
        <v>0.24</v>
      </c>
      <c r="K34" s="18" t="inlineStr">
        <is>
          <t>Kywi / Megakywi</t>
        </is>
      </c>
      <c r="L34" s="8">
        <f>F34*G34</f>
        <v/>
      </c>
      <c r="M34" s="145" t="inlineStr">
        <is>
          <t>A-B20-MAM-LAD-MAC</t>
        </is>
      </c>
      <c r="N34" s="18" t="inlineStr">
        <is>
          <t>Arquitectura</t>
        </is>
      </c>
      <c r="O34" s="18" t="inlineStr">
        <is>
          <t>Estimado DION · criterio de mercado Guayaquil 2026 (no verificado en tienda)</t>
        </is>
      </c>
      <c r="P34" s="18" t="inlineStr">
        <is>
          <t>oct-2026 (est.)</t>
        </is>
      </c>
      <c r="Q34" s="18" t="n">
        <v>8</v>
      </c>
    </row>
    <row r="35">
      <c r="A35" s="164" t="n">
        <v>22</v>
      </c>
      <c r="B35" s="165" t="inlineStr">
        <is>
          <t xml:space="preserve">        Ladrillo Panelón / Hueco 9x14x29 cm</t>
        </is>
      </c>
      <c r="C35" s="166" t="inlineStr">
        <is>
          <t>Residencial / Comercial</t>
        </is>
      </c>
      <c r="D35" s="164" t="inlineStr">
        <is>
          <t>Ladrillos Huecos</t>
        </is>
      </c>
      <c r="E35" s="164" t="inlineStr">
        <is>
          <t>U</t>
        </is>
      </c>
      <c r="F35" s="167" t="n">
        <v>500</v>
      </c>
      <c r="G35" s="168" t="n">
        <v>0.38</v>
      </c>
      <c r="H35" s="168" t="n">
        <v>0.4</v>
      </c>
      <c r="I35" s="164" t="inlineStr">
        <is>
          <t>Disensa</t>
        </is>
      </c>
      <c r="J35" s="168" t="n">
        <v>0.41</v>
      </c>
      <c r="K35" s="164" t="inlineStr">
        <is>
          <t>Kywi / Megakywi</t>
        </is>
      </c>
      <c r="L35" s="169">
        <f>F35*G35</f>
        <v/>
      </c>
      <c r="M35" s="170" t="inlineStr">
        <is>
          <t>A-B20-MAM-LAD-PAN</t>
        </is>
      </c>
      <c r="N35" s="164" t="inlineStr">
        <is>
          <t>Arquitectura</t>
        </is>
      </c>
      <c r="O35" s="164" t="inlineStr">
        <is>
          <t>Estimado DION · criterio de mercado Guayaquil 2026 (no verificado en tienda)</t>
        </is>
      </c>
      <c r="P35" s="164" t="inlineStr">
        <is>
          <t>oct-2026 (est.)</t>
        </is>
      </c>
      <c r="Q35" s="164" t="n">
        <v>6</v>
      </c>
    </row>
    <row r="36">
      <c r="A36" s="18" t="n">
        <v>23</v>
      </c>
      <c r="B36" s="19" t="inlineStr">
        <is>
          <t xml:space="preserve">        Ladrillo Visto Prensado (Fachada) 6x12x24 cm</t>
        </is>
      </c>
      <c r="C36" s="20" t="inlineStr">
        <is>
          <t>Residencial / Comercial</t>
        </is>
      </c>
      <c r="D36" s="18" t="inlineStr">
        <is>
          <t>Ladrillos Vistos</t>
        </is>
      </c>
      <c r="E36" s="18" t="inlineStr">
        <is>
          <t>U</t>
        </is>
      </c>
      <c r="F36" s="21" t="n">
        <v>300</v>
      </c>
      <c r="G36" s="22" t="n">
        <v>0.65</v>
      </c>
      <c r="H36" s="22" t="n">
        <v>0.68</v>
      </c>
      <c r="I36" s="18" t="inlineStr">
        <is>
          <t>Disensa</t>
        </is>
      </c>
      <c r="J36" s="22" t="n">
        <v>0.71</v>
      </c>
      <c r="K36" s="18" t="inlineStr">
        <is>
          <t>Kywi / Megakywi</t>
        </is>
      </c>
      <c r="L36" s="8">
        <f>F36*G36</f>
        <v/>
      </c>
      <c r="M36" s="145" t="inlineStr">
        <is>
          <t>A-B20-MAM-LAD-VIS</t>
        </is>
      </c>
      <c r="N36" s="18" t="inlineStr">
        <is>
          <t>Arquitectura</t>
        </is>
      </c>
      <c r="O36" s="18" t="inlineStr">
        <is>
          <t>Estimado DION · criterio de mercado Guayaquil 2026 (no verificado en tienda)</t>
        </is>
      </c>
      <c r="P36" s="18" t="inlineStr">
        <is>
          <t>oct-2026 (est.)</t>
        </is>
      </c>
      <c r="Q36" s="18" t="n">
        <v>5</v>
      </c>
    </row>
    <row r="37">
      <c r="A37" s="164" t="n">
        <v>24</v>
      </c>
      <c r="B37" s="165" t="inlineStr">
        <is>
          <t xml:space="preserve">        Ladrillo Refractario 23x11.4x6.4 cm</t>
        </is>
      </c>
      <c r="C37" s="166" t="inlineStr">
        <is>
          <t>Residencial / Comercial</t>
        </is>
      </c>
      <c r="D37" s="164" t="inlineStr">
        <is>
          <t>Ladrillos Refractarios</t>
        </is>
      </c>
      <c r="E37" s="164" t="inlineStr">
        <is>
          <t>U</t>
        </is>
      </c>
      <c r="F37" s="167" t="n">
        <v>50</v>
      </c>
      <c r="G37" s="168" t="n">
        <v>1.6</v>
      </c>
      <c r="H37" s="168" t="n">
        <v>1.66</v>
      </c>
      <c r="I37" s="164" t="inlineStr">
        <is>
          <t>Disensa</t>
        </is>
      </c>
      <c r="J37" s="168" t="n">
        <v>1.71</v>
      </c>
      <c r="K37" s="164" t="inlineStr">
        <is>
          <t>Kywi / Megakywi</t>
        </is>
      </c>
      <c r="L37" s="169">
        <f>F37*G37</f>
        <v/>
      </c>
      <c r="M37" s="170" t="inlineStr">
        <is>
          <t>A-B20-MAM-LAD-REF</t>
        </is>
      </c>
      <c r="N37" s="164" t="inlineStr">
        <is>
          <t>Arquitectura</t>
        </is>
      </c>
      <c r="O37" s="164" t="inlineStr">
        <is>
          <t>Estimado DION · criterio de mercado Guayaquil 2026 (no verificado en tienda)</t>
        </is>
      </c>
      <c r="P37" s="164" t="inlineStr">
        <is>
          <t>oct-2026 (est.)</t>
        </is>
      </c>
      <c r="Q37" s="164" t="n">
        <v>5</v>
      </c>
    </row>
    <row r="38">
      <c r="A38" s="161" t="inlineStr">
        <is>
          <t>EQUIPOS</t>
        </is>
      </c>
      <c r="B38" s="143" t="n"/>
      <c r="C38" s="143" t="n"/>
      <c r="D38" s="143" t="n"/>
      <c r="E38" s="143" t="n"/>
      <c r="F38" s="143" t="n"/>
      <c r="G38" s="143" t="n"/>
      <c r="H38" s="143" t="n"/>
      <c r="I38" s="143" t="n"/>
      <c r="J38" s="143" t="n"/>
      <c r="K38" s="143" t="n"/>
      <c r="L38" s="143" t="n"/>
      <c r="M38" s="143" t="n"/>
      <c r="N38" s="143" t="n"/>
      <c r="O38" s="143" t="n"/>
      <c r="P38" s="143" t="n"/>
      <c r="Q38" s="144" t="n"/>
    </row>
    <row r="39">
      <c r="A39" s="162" t="inlineStr">
        <is>
          <t xml:space="preserve">  ► CATEGORÍA: HERRAMIENTA DE ALBAÑILERÍA</t>
        </is>
      </c>
      <c r="B39" s="143" t="n"/>
      <c r="C39" s="143" t="n"/>
      <c r="D39" s="143" t="n"/>
      <c r="E39" s="143" t="n"/>
      <c r="F39" s="143" t="n"/>
      <c r="G39" s="143" t="n"/>
      <c r="H39" s="143" t="n"/>
      <c r="I39" s="143" t="n"/>
      <c r="J39" s="143" t="n"/>
      <c r="K39" s="143" t="n"/>
      <c r="L39" s="143" t="n"/>
      <c r="M39" s="143" t="n"/>
      <c r="N39" s="143" t="n"/>
      <c r="O39" s="143" t="n"/>
      <c r="P39" s="143" t="n"/>
      <c r="Q39" s="144" t="n"/>
    </row>
    <row r="40">
      <c r="A40" s="163" t="inlineStr">
        <is>
          <t xml:space="preserve">      • Subcategoría Especificada: Herramienta Menor y Equipos de Mezcla</t>
        </is>
      </c>
      <c r="B40" s="143" t="n"/>
      <c r="C40" s="143" t="n"/>
      <c r="D40" s="143" t="n"/>
      <c r="E40" s="143" t="n"/>
      <c r="F40" s="143" t="n"/>
      <c r="G40" s="143" t="n"/>
      <c r="H40" s="143" t="n"/>
      <c r="I40" s="143" t="n"/>
      <c r="J40" s="143" t="n"/>
      <c r="K40" s="143" t="n"/>
      <c r="L40" s="143" t="n"/>
      <c r="M40" s="143" t="n"/>
      <c r="N40" s="143" t="n"/>
      <c r="O40" s="143" t="n"/>
      <c r="P40" s="143" t="n"/>
      <c r="Q40" s="144" t="n"/>
    </row>
    <row r="41">
      <c r="A41" s="18" t="n">
        <v>25</v>
      </c>
      <c r="B41" s="19" t="inlineStr">
        <is>
          <t xml:space="preserve">        Concretera Eléctrica 1/2 Saco 2 HP</t>
        </is>
      </c>
      <c r="C41" s="20" t="inlineStr">
        <is>
          <t>Residencial / Comercial</t>
        </is>
      </c>
      <c r="D41" s="18" t="inlineStr">
        <is>
          <t>Concreteras</t>
        </is>
      </c>
      <c r="E41" s="18" t="inlineStr">
        <is>
          <t>U</t>
        </is>
      </c>
      <c r="F41" s="21" t="n">
        <v>0</v>
      </c>
      <c r="G41" s="22" t="n">
        <v>850</v>
      </c>
      <c r="H41" s="22" t="n">
        <v>884</v>
      </c>
      <c r="I41" s="18" t="inlineStr">
        <is>
          <t>Disensa</t>
        </is>
      </c>
      <c r="J41" s="22" t="n">
        <v>935</v>
      </c>
      <c r="K41" s="18" t="inlineStr">
        <is>
          <t>Kywi / Megakywi</t>
        </is>
      </c>
      <c r="L41" s="8">
        <f>F41*G41</f>
        <v/>
      </c>
      <c r="M41" s="145" t="inlineStr">
        <is>
          <t>Z-Z10-EQH-CON-MED</t>
        </is>
      </c>
      <c r="N41" s="18" t="inlineStr">
        <is>
          <t>General / coordinación multidisciplinar</t>
        </is>
      </c>
      <c r="O41" s="18" t="inlineStr">
        <is>
          <t>Estimado DION · criterio de mercado Guayaquil 2026 (no verificado en tienda)</t>
        </is>
      </c>
      <c r="P41" s="18" t="inlineStr">
        <is>
          <t>oct-2026 (est.)</t>
        </is>
      </c>
      <c r="Q41" s="18" t="n"/>
    </row>
    <row r="42">
      <c r="A42" s="164" t="n">
        <v>26</v>
      </c>
      <c r="B42" s="165" t="inlineStr">
        <is>
          <t xml:space="preserve">        Carretilla Metálica Llanta Neumática 5 ft³</t>
        </is>
      </c>
      <c r="C42" s="166" t="inlineStr">
        <is>
          <t>Residencial / Comercial</t>
        </is>
      </c>
      <c r="D42" s="164" t="inlineStr">
        <is>
          <t>Carretillas</t>
        </is>
      </c>
      <c r="E42" s="164" t="inlineStr">
        <is>
          <t>U</t>
        </is>
      </c>
      <c r="F42" s="167" t="n">
        <v>2</v>
      </c>
      <c r="G42" s="168" t="n">
        <v>62</v>
      </c>
      <c r="H42" s="168" t="n">
        <v>63.86</v>
      </c>
      <c r="I42" s="164" t="inlineStr">
        <is>
          <t>Disensa</t>
        </is>
      </c>
      <c r="J42" s="168" t="n">
        <v>68.2</v>
      </c>
      <c r="K42" s="164" t="inlineStr">
        <is>
          <t>Kywi / Megakywi</t>
        </is>
      </c>
      <c r="L42" s="169">
        <f>F42*G42</f>
        <v/>
      </c>
      <c r="M42" s="170" t="inlineStr">
        <is>
          <t>Z-Z10-EQH-CAR-5FT</t>
        </is>
      </c>
      <c r="N42" s="164" t="inlineStr">
        <is>
          <t>General / coordinación multidisciplinar</t>
        </is>
      </c>
      <c r="O42" s="164" t="inlineStr">
        <is>
          <t>Estimado DION · criterio de mercado Guayaquil 2026 (no verificado en tienda)</t>
        </is>
      </c>
      <c r="P42" s="164" t="inlineStr">
        <is>
          <t>oct-2026 (est.)</t>
        </is>
      </c>
      <c r="Q42" s="164" t="n"/>
    </row>
    <row r="43">
      <c r="A43" s="18" t="n">
        <v>27</v>
      </c>
      <c r="B43" s="19" t="inlineStr">
        <is>
          <t xml:space="preserve">        Kit de Albañilería (Bailejo, Plana, Codal, Nivel, Plomada, Escuadra)</t>
        </is>
      </c>
      <c r="C43" s="20" t="inlineStr">
        <is>
          <t>Residencial / Comercial</t>
        </is>
      </c>
      <c r="D43" s="18" t="inlineStr">
        <is>
          <t>Herramienta Menor</t>
        </is>
      </c>
      <c r="E43" s="18" t="inlineStr">
        <is>
          <t>Juego</t>
        </is>
      </c>
      <c r="F43" s="21" t="n">
        <v>2</v>
      </c>
      <c r="G43" s="22" t="n">
        <v>65</v>
      </c>
      <c r="H43" s="22" t="n">
        <v>68.25</v>
      </c>
      <c r="I43" s="18" t="inlineStr">
        <is>
          <t>Disensa</t>
        </is>
      </c>
      <c r="J43" s="22" t="n">
        <v>72.15000000000001</v>
      </c>
      <c r="K43" s="18" t="inlineStr">
        <is>
          <t>Kywi / Megakywi</t>
        </is>
      </c>
      <c r="L43" s="8">
        <f>F43*G43</f>
        <v/>
      </c>
      <c r="M43" s="145" t="inlineStr">
        <is>
          <t>Z-Z10-EQH-KIT-ALB</t>
        </is>
      </c>
      <c r="N43" s="18" t="inlineStr">
        <is>
          <t>General / coordinación multidisciplinar</t>
        </is>
      </c>
      <c r="O43" s="18" t="inlineStr">
        <is>
          <t>Estimado DION · criterio de mercado Guayaquil 2026 (no verificado en tienda)</t>
        </is>
      </c>
      <c r="P43" s="18" t="inlineStr">
        <is>
          <t>oct-2026 (est.)</t>
        </is>
      </c>
      <c r="Q43" s="18" t="n"/>
    </row>
    <row r="44">
      <c r="A44" s="164" t="n">
        <v>28</v>
      </c>
      <c r="B44" s="165" t="inlineStr">
        <is>
          <t xml:space="preserve">        Andamio Tubular Cuerpo 1.5x2 m con Crucetas</t>
        </is>
      </c>
      <c r="C44" s="166" t="inlineStr">
        <is>
          <t>Residencial / Comercial</t>
        </is>
      </c>
      <c r="D44" s="164" t="inlineStr">
        <is>
          <t>Andamios</t>
        </is>
      </c>
      <c r="E44" s="164" t="inlineStr">
        <is>
          <t>U</t>
        </is>
      </c>
      <c r="F44" s="167" t="n">
        <v>4</v>
      </c>
      <c r="G44" s="168" t="n">
        <v>120</v>
      </c>
      <c r="H44" s="168" t="n">
        <v>123.6</v>
      </c>
      <c r="I44" s="164" t="inlineStr">
        <is>
          <t>Disensa</t>
        </is>
      </c>
      <c r="J44" s="168" t="n">
        <v>133.2</v>
      </c>
      <c r="K44" s="164" t="inlineStr">
        <is>
          <t>Kywi / Megakywi</t>
        </is>
      </c>
      <c r="L44" s="169">
        <f>F44*G44</f>
        <v/>
      </c>
      <c r="M44" s="170" t="inlineStr">
        <is>
          <t>Z-Z10-EQH-AND-TUB</t>
        </is>
      </c>
      <c r="N44" s="164" t="inlineStr">
        <is>
          <t>General / coordinación multidisciplinar</t>
        </is>
      </c>
      <c r="O44" s="164" t="inlineStr">
        <is>
          <t>Estimado DION · criterio de mercado Guayaquil 2026 (no verificado en tienda)</t>
        </is>
      </c>
      <c r="P44" s="164" t="inlineStr">
        <is>
          <t>oct-2026 (est.)</t>
        </is>
      </c>
      <c r="Q44" s="164" t="n"/>
    </row>
    <row r="45">
      <c r="A45" s="18" t="n">
        <v>29</v>
      </c>
      <c r="B45" s="19" t="inlineStr">
        <is>
          <t xml:space="preserve">        Cortadora de Bloque/Ladrillo de Mesa 14"</t>
        </is>
      </c>
      <c r="C45" s="20" t="inlineStr">
        <is>
          <t>Residencial / Comercial</t>
        </is>
      </c>
      <c r="D45" s="18" t="inlineStr">
        <is>
          <t>Cortadoras</t>
        </is>
      </c>
      <c r="E45" s="18" t="inlineStr">
        <is>
          <t>U</t>
        </is>
      </c>
      <c r="F45" s="21" t="n">
        <v>0</v>
      </c>
      <c r="G45" s="22" t="n">
        <v>980</v>
      </c>
      <c r="H45" s="22" t="n">
        <v>1029</v>
      </c>
      <c r="I45" s="18" t="inlineStr">
        <is>
          <t>Disensa</t>
        </is>
      </c>
      <c r="J45" s="22" t="n">
        <v>1058.4</v>
      </c>
      <c r="K45" s="18" t="inlineStr">
        <is>
          <t>Kywi / Megakywi</t>
        </is>
      </c>
      <c r="L45" s="8">
        <f>F45*G45</f>
        <v/>
      </c>
      <c r="M45" s="145" t="inlineStr">
        <is>
          <t>Z-Z10-EQH-COR-BLO</t>
        </is>
      </c>
      <c r="N45" s="18" t="inlineStr">
        <is>
          <t>General / coordinación multidisciplinar</t>
        </is>
      </c>
      <c r="O45" s="18" t="inlineStr">
        <is>
          <t>Estimado DION · criterio de mercado Guayaquil 2026 (no verificado en tienda)</t>
        </is>
      </c>
      <c r="P45" s="18" t="inlineStr">
        <is>
          <t>oct-2026 (est.)</t>
        </is>
      </c>
      <c r="Q45" s="18" t="n"/>
    </row>
    <row r="46">
      <c r="A46" s="161" t="inlineStr">
        <is>
          <t>CONEXIONES</t>
        </is>
      </c>
      <c r="B46" s="143" t="n"/>
      <c r="C46" s="143" t="n"/>
      <c r="D46" s="143" t="n"/>
      <c r="E46" s="143" t="n"/>
      <c r="F46" s="143" t="n"/>
      <c r="G46" s="143" t="n"/>
      <c r="H46" s="143" t="n"/>
      <c r="I46" s="143" t="n"/>
      <c r="J46" s="143" t="n"/>
      <c r="K46" s="143" t="n"/>
      <c r="L46" s="143" t="n"/>
      <c r="M46" s="143" t="n"/>
      <c r="N46" s="143" t="n"/>
      <c r="O46" s="143" t="n"/>
      <c r="P46" s="143" t="n"/>
      <c r="Q46" s="144" t="n"/>
    </row>
    <row r="47">
      <c r="A47" s="162" t="inlineStr">
        <is>
          <t xml:space="preserve">  ► CATEGORÍA: MORTEROS, REFUERZOS Y MALLAS</t>
        </is>
      </c>
      <c r="B47" s="143" t="n"/>
      <c r="C47" s="143" t="n"/>
      <c r="D47" s="143" t="n"/>
      <c r="E47" s="143" t="n"/>
      <c r="F47" s="143" t="n"/>
      <c r="G47" s="143" t="n"/>
      <c r="H47" s="143" t="n"/>
      <c r="I47" s="143" t="n"/>
      <c r="J47" s="143" t="n"/>
      <c r="K47" s="143" t="n"/>
      <c r="L47" s="143" t="n"/>
      <c r="M47" s="143" t="n"/>
      <c r="N47" s="143" t="n"/>
      <c r="O47" s="143" t="n"/>
      <c r="P47" s="143" t="n"/>
      <c r="Q47" s="144" t="n"/>
    </row>
    <row r="48">
      <c r="A48" s="163" t="inlineStr">
        <is>
          <t xml:space="preserve">      • Subcategoría Especificada: Morteros Premezclados, Mallas y Anclajes de Mampostería</t>
        </is>
      </c>
      <c r="B48" s="143" t="n"/>
      <c r="C48" s="143" t="n"/>
      <c r="D48" s="143" t="n"/>
      <c r="E48" s="143" t="n"/>
      <c r="F48" s="143" t="n"/>
      <c r="G48" s="143" t="n"/>
      <c r="H48" s="143" t="n"/>
      <c r="I48" s="143" t="n"/>
      <c r="J48" s="143" t="n"/>
      <c r="K48" s="143" t="n"/>
      <c r="L48" s="143" t="n"/>
      <c r="M48" s="143" t="n"/>
      <c r="N48" s="143" t="n"/>
      <c r="O48" s="143" t="n"/>
      <c r="P48" s="143" t="n"/>
      <c r="Q48" s="144" t="n"/>
    </row>
    <row r="49">
      <c r="A49" s="164" t="n">
        <v>30</v>
      </c>
      <c r="B49" s="165" t="inlineStr">
        <is>
          <t xml:space="preserve">        Mortero Seco Premezclado para Pegado de Bloque (Saco 40 kg)</t>
        </is>
      </c>
      <c r="C49" s="166" t="inlineStr">
        <is>
          <t>Residencial / Comercial</t>
        </is>
      </c>
      <c r="D49" s="164" t="inlineStr">
        <is>
          <t>Morteros Pegado</t>
        </is>
      </c>
      <c r="E49" s="164" t="inlineStr">
        <is>
          <t>Saco</t>
        </is>
      </c>
      <c r="F49" s="167" t="n">
        <v>20</v>
      </c>
      <c r="G49" s="168" t="n">
        <v>5.2</v>
      </c>
      <c r="H49" s="168" t="n">
        <v>5.36</v>
      </c>
      <c r="I49" s="164" t="inlineStr">
        <is>
          <t>Disensa</t>
        </is>
      </c>
      <c r="J49" s="168" t="n">
        <v>5.62</v>
      </c>
      <c r="K49" s="164" t="inlineStr">
        <is>
          <t>Kywi / Megakywi</t>
        </is>
      </c>
      <c r="L49" s="169">
        <f>F49*G49</f>
        <v/>
      </c>
      <c r="M49" s="170" t="inlineStr">
        <is>
          <t>A-C30-MRT-PEG-40KG</t>
        </is>
      </c>
      <c r="N49" s="164" t="inlineStr">
        <is>
          <t>Arquitectura</t>
        </is>
      </c>
      <c r="O49" s="164" t="inlineStr">
        <is>
          <t>Estimado DION · criterio de mercado Guayaquil 2026 (no verificado en tienda)</t>
        </is>
      </c>
      <c r="P49" s="164" t="inlineStr">
        <is>
          <t>oct-2026 (est.)</t>
        </is>
      </c>
      <c r="Q49" s="164" t="n">
        <v>5</v>
      </c>
    </row>
    <row r="50">
      <c r="A50" s="18" t="n">
        <v>31</v>
      </c>
      <c r="B50" s="19" t="inlineStr">
        <is>
          <t xml:space="preserve">        Mortero Seco para Enlucido Interior/Exterior (Saco 40 kg)</t>
        </is>
      </c>
      <c r="C50" s="20" t="inlineStr">
        <is>
          <t>Residencial / Comercial</t>
        </is>
      </c>
      <c r="D50" s="18" t="inlineStr">
        <is>
          <t>Morteros Enlucido</t>
        </is>
      </c>
      <c r="E50" s="18" t="inlineStr">
        <is>
          <t>Saco</t>
        </is>
      </c>
      <c r="F50" s="21" t="n">
        <v>20</v>
      </c>
      <c r="G50" s="22" t="n">
        <v>5.6</v>
      </c>
      <c r="H50" s="22" t="n">
        <v>5.71</v>
      </c>
      <c r="I50" s="18" t="inlineStr">
        <is>
          <t>Disensa</t>
        </is>
      </c>
      <c r="J50" s="22" t="n">
        <v>6.16</v>
      </c>
      <c r="K50" s="18" t="inlineStr">
        <is>
          <t>Kywi / Megakywi</t>
        </is>
      </c>
      <c r="L50" s="8">
        <f>F50*G50</f>
        <v/>
      </c>
      <c r="M50" s="145" t="inlineStr">
        <is>
          <t>A-C30-MRT-ENL-40KG</t>
        </is>
      </c>
      <c r="N50" s="18" t="inlineStr">
        <is>
          <t>Arquitectura</t>
        </is>
      </c>
      <c r="O50" s="18" t="inlineStr">
        <is>
          <t>Estimado DION · criterio de mercado Guayaquil 2026 (no verificado en tienda)</t>
        </is>
      </c>
      <c r="P50" s="18" t="inlineStr">
        <is>
          <t>oct-2026 (est.)</t>
        </is>
      </c>
      <c r="Q50" s="18" t="n">
        <v>5</v>
      </c>
    </row>
    <row r="51">
      <c r="A51" s="164" t="n">
        <v>32</v>
      </c>
      <c r="B51" s="165" t="inlineStr">
        <is>
          <t xml:space="preserve">        Mortero Impermeable Hidrófugo (Saco 25 kg)</t>
        </is>
      </c>
      <c r="C51" s="166" t="inlineStr">
        <is>
          <t>Residencial / Comercial</t>
        </is>
      </c>
      <c r="D51" s="164" t="inlineStr">
        <is>
          <t>Morteros Impermeables</t>
        </is>
      </c>
      <c r="E51" s="164" t="inlineStr">
        <is>
          <t>Saco</t>
        </is>
      </c>
      <c r="F51" s="167" t="n">
        <v>10</v>
      </c>
      <c r="G51" s="168" t="n">
        <v>9.5</v>
      </c>
      <c r="H51" s="168" t="n">
        <v>9.970000000000001</v>
      </c>
      <c r="I51" s="164" t="inlineStr">
        <is>
          <t>Disensa</t>
        </is>
      </c>
      <c r="J51" s="168" t="n">
        <v>10.55</v>
      </c>
      <c r="K51" s="164" t="inlineStr">
        <is>
          <t>Kywi / Megakywi</t>
        </is>
      </c>
      <c r="L51" s="169">
        <f>F51*G51</f>
        <v/>
      </c>
      <c r="M51" s="170" t="inlineStr">
        <is>
          <t>A-C30-MRT-IMP-25KG</t>
        </is>
      </c>
      <c r="N51" s="164" t="inlineStr">
        <is>
          <t>Arquitectura</t>
        </is>
      </c>
      <c r="O51" s="164" t="inlineStr">
        <is>
          <t>Estimado DION · criterio de mercado Guayaquil 2026 (no verificado en tienda)</t>
        </is>
      </c>
      <c r="P51" s="164" t="inlineStr">
        <is>
          <t>oct-2026 (est.)</t>
        </is>
      </c>
      <c r="Q51" s="164" t="n">
        <v>5</v>
      </c>
    </row>
    <row r="52">
      <c r="A52" s="18" t="n">
        <v>33</v>
      </c>
      <c r="B52" s="19" t="inlineStr">
        <is>
          <t xml:space="preserve">        Empaste / Estuco Interior (Saco 25 kg)</t>
        </is>
      </c>
      <c r="C52" s="20" t="inlineStr">
        <is>
          <t>Residencial / Comercial</t>
        </is>
      </c>
      <c r="D52" s="18" t="inlineStr">
        <is>
          <t>Empastes</t>
        </is>
      </c>
      <c r="E52" s="18" t="inlineStr">
        <is>
          <t>Saco</t>
        </is>
      </c>
      <c r="F52" s="21" t="n">
        <v>10</v>
      </c>
      <c r="G52" s="22" t="n">
        <v>8.5</v>
      </c>
      <c r="H52" s="22" t="n">
        <v>8.76</v>
      </c>
      <c r="I52" s="18" t="inlineStr">
        <is>
          <t>Disensa</t>
        </is>
      </c>
      <c r="J52" s="22" t="n">
        <v>9.1</v>
      </c>
      <c r="K52" s="18" t="inlineStr">
        <is>
          <t>Kywi / Megakywi</t>
        </is>
      </c>
      <c r="L52" s="8">
        <f>F52*G52</f>
        <v/>
      </c>
      <c r="M52" s="145" t="inlineStr">
        <is>
          <t>A-C30-MRT-EMP-25KG</t>
        </is>
      </c>
      <c r="N52" s="18" t="inlineStr">
        <is>
          <t>Arquitectura</t>
        </is>
      </c>
      <c r="O52" s="18" t="inlineStr">
        <is>
          <t>Estimado DION · criterio de mercado Guayaquil 2026 (no verificado en tienda)</t>
        </is>
      </c>
      <c r="P52" s="18" t="inlineStr">
        <is>
          <t>oct-2026 (est.)</t>
        </is>
      </c>
      <c r="Q52" s="18" t="n">
        <v>8</v>
      </c>
    </row>
    <row r="53">
      <c r="A53" s="164" t="n">
        <v>34</v>
      </c>
      <c r="B53" s="165" t="inlineStr">
        <is>
          <t xml:space="preserve">        Empaste Exterior Impermeable (Saco 25 kg)</t>
        </is>
      </c>
      <c r="C53" s="166" t="inlineStr">
        <is>
          <t>Residencial / Comercial</t>
        </is>
      </c>
      <c r="D53" s="164" t="inlineStr">
        <is>
          <t>Empastes</t>
        </is>
      </c>
      <c r="E53" s="164" t="inlineStr">
        <is>
          <t>Saco</t>
        </is>
      </c>
      <c r="F53" s="167" t="n">
        <v>10</v>
      </c>
      <c r="G53" s="168" t="n">
        <v>11.5</v>
      </c>
      <c r="H53" s="168" t="n">
        <v>12.08</v>
      </c>
      <c r="I53" s="164" t="inlineStr">
        <is>
          <t>Disensa</t>
        </is>
      </c>
      <c r="J53" s="168" t="n">
        <v>12.31</v>
      </c>
      <c r="K53" s="164" t="inlineStr">
        <is>
          <t>Kywi / Megakywi</t>
        </is>
      </c>
      <c r="L53" s="169">
        <f>F53*G53</f>
        <v/>
      </c>
      <c r="M53" s="170" t="inlineStr">
        <is>
          <t>A-C30-MRT-EMP-EXT</t>
        </is>
      </c>
      <c r="N53" s="164" t="inlineStr">
        <is>
          <t>Arquitectura</t>
        </is>
      </c>
      <c r="O53" s="164" t="inlineStr">
        <is>
          <t>Estimado DION · criterio de mercado Guayaquil 2026 (no verificado en tienda)</t>
        </is>
      </c>
      <c r="P53" s="164" t="inlineStr">
        <is>
          <t>oct-2026 (est.)</t>
        </is>
      </c>
      <c r="Q53" s="164" t="n">
        <v>8</v>
      </c>
    </row>
    <row r="54">
      <c r="A54" s="18" t="n">
        <v>35</v>
      </c>
      <c r="B54" s="19" t="inlineStr">
        <is>
          <t xml:space="preserve">        Malla Electrosoldada para Enlucido (Junta Viga-Bloque) 20 cm (Rollo 50 m)</t>
        </is>
      </c>
      <c r="C54" s="20" t="inlineStr">
        <is>
          <t>Residencial / Comercial</t>
        </is>
      </c>
      <c r="D54" s="18" t="inlineStr">
        <is>
          <t>Mallas de Enlucido</t>
        </is>
      </c>
      <c r="E54" s="18" t="inlineStr">
        <is>
          <t>Rollo</t>
        </is>
      </c>
      <c r="F54" s="21" t="n">
        <v>2</v>
      </c>
      <c r="G54" s="22" t="n">
        <v>14</v>
      </c>
      <c r="H54" s="22" t="n">
        <v>14.7</v>
      </c>
      <c r="I54" s="18" t="inlineStr">
        <is>
          <t>Disensa</t>
        </is>
      </c>
      <c r="J54" s="22" t="n">
        <v>15.4</v>
      </c>
      <c r="K54" s="18" t="inlineStr">
        <is>
          <t>Kywi / Megakywi</t>
        </is>
      </c>
      <c r="L54" s="8">
        <f>F54*G54</f>
        <v/>
      </c>
      <c r="M54" s="145" t="inlineStr">
        <is>
          <t>A-C30-MRT-MAL-200</t>
        </is>
      </c>
      <c r="N54" s="18" t="inlineStr">
        <is>
          <t>Arquitectura</t>
        </is>
      </c>
      <c r="O54" s="18" t="inlineStr">
        <is>
          <t>Estimado DION · criterio de mercado Guayaquil 2026 (no verificado en tienda)</t>
        </is>
      </c>
      <c r="P54" s="18" t="inlineStr">
        <is>
          <t>oct-2026 (est.)</t>
        </is>
      </c>
      <c r="Q54" s="18" t="n">
        <v>5</v>
      </c>
    </row>
    <row r="55">
      <c r="A55" s="164" t="n">
        <v>36</v>
      </c>
      <c r="B55" s="165" t="inlineStr">
        <is>
          <t xml:space="preserve">        Malla Hexagonal de Refuerzo para Enlucido (m²)</t>
        </is>
      </c>
      <c r="C55" s="166" t="inlineStr">
        <is>
          <t>Residencial / Comercial</t>
        </is>
      </c>
      <c r="D55" s="164" t="inlineStr">
        <is>
          <t>Mallas de Enlucido</t>
        </is>
      </c>
      <c r="E55" s="164" t="inlineStr">
        <is>
          <t>m2</t>
        </is>
      </c>
      <c r="F55" s="167" t="n">
        <v>20</v>
      </c>
      <c r="G55" s="168" t="n">
        <v>1.1</v>
      </c>
      <c r="H55" s="168" t="n">
        <v>1.14</v>
      </c>
      <c r="I55" s="164" t="inlineStr">
        <is>
          <t>Disensa</t>
        </is>
      </c>
      <c r="J55" s="168" t="n">
        <v>1.22</v>
      </c>
      <c r="K55" s="164" t="inlineStr">
        <is>
          <t>Kywi / Megakywi</t>
        </is>
      </c>
      <c r="L55" s="169">
        <f>F55*G55</f>
        <v/>
      </c>
      <c r="M55" s="170" t="inlineStr">
        <is>
          <t>A-C30-MRT-MAL-HEX</t>
        </is>
      </c>
      <c r="N55" s="164" t="inlineStr">
        <is>
          <t>Arquitectura</t>
        </is>
      </c>
      <c r="O55" s="164" t="inlineStr">
        <is>
          <t>Estimado DION · criterio de mercado Guayaquil 2026 (no verificado en tienda)</t>
        </is>
      </c>
      <c r="P55" s="164" t="inlineStr">
        <is>
          <t>oct-2026 (est.)</t>
        </is>
      </c>
      <c r="Q55" s="164" t="n">
        <v>10</v>
      </c>
    </row>
    <row r="56">
      <c r="A56" s="18" t="n">
        <v>37</v>
      </c>
      <c r="B56" s="19" t="inlineStr">
        <is>
          <t xml:space="preserve">        Escalerilla de Refuerzo Horizontal (Murfor) 3 m</t>
        </is>
      </c>
      <c r="C56" s="20" t="inlineStr">
        <is>
          <t>Comercial / Industrial</t>
        </is>
      </c>
      <c r="D56" s="18" t="inlineStr">
        <is>
          <t>Refuerzo Horizontal</t>
        </is>
      </c>
      <c r="E56" s="18" t="inlineStr">
        <is>
          <t>U</t>
        </is>
      </c>
      <c r="F56" s="21" t="n">
        <v>40</v>
      </c>
      <c r="G56" s="22" t="n">
        <v>3.2</v>
      </c>
      <c r="H56" s="22" t="n">
        <v>3.33</v>
      </c>
      <c r="I56" s="18" t="inlineStr">
        <is>
          <t>Disensa</t>
        </is>
      </c>
      <c r="J56" s="22" t="n">
        <v>3.42</v>
      </c>
      <c r="K56" s="18" t="inlineStr">
        <is>
          <t>Kywi / Megakywi</t>
        </is>
      </c>
      <c r="L56" s="8">
        <f>F56*G56</f>
        <v/>
      </c>
      <c r="M56" s="145" t="inlineStr">
        <is>
          <t>A-C30-MRT-ESC-HOR</t>
        </is>
      </c>
      <c r="N56" s="18" t="inlineStr">
        <is>
          <t>Arquitectura</t>
        </is>
      </c>
      <c r="O56" s="18" t="inlineStr">
        <is>
          <t>Estimado DION · criterio de mercado Guayaquil 2026 (no verificado en tienda)</t>
        </is>
      </c>
      <c r="P56" s="18" t="inlineStr">
        <is>
          <t>oct-2026 (est.)</t>
        </is>
      </c>
      <c r="Q56" s="18" t="n">
        <v>3</v>
      </c>
    </row>
    <row r="57">
      <c r="A57" s="164" t="n">
        <v>38</v>
      </c>
      <c r="B57" s="165" t="inlineStr">
        <is>
          <t xml:space="preserve">        Esquinero de Enlucido Galvanizado (2.5 m)</t>
        </is>
      </c>
      <c r="C57" s="166" t="inlineStr">
        <is>
          <t>Residencial / Comercial</t>
        </is>
      </c>
      <c r="D57" s="164" t="inlineStr">
        <is>
          <t>Esquineros</t>
        </is>
      </c>
      <c r="E57" s="164" t="inlineStr">
        <is>
          <t>U</t>
        </is>
      </c>
      <c r="F57" s="167" t="n">
        <v>20</v>
      </c>
      <c r="G57" s="168" t="n">
        <v>1.15</v>
      </c>
      <c r="H57" s="168" t="n">
        <v>1.21</v>
      </c>
      <c r="I57" s="164" t="inlineStr">
        <is>
          <t>Disensa</t>
        </is>
      </c>
      <c r="J57" s="168" t="n">
        <v>1.23</v>
      </c>
      <c r="K57" s="164" t="inlineStr">
        <is>
          <t>Kywi / Megakywi</t>
        </is>
      </c>
      <c r="L57" s="169">
        <f>F57*G57</f>
        <v/>
      </c>
      <c r="M57" s="170" t="inlineStr">
        <is>
          <t>A-C30-MRT-ESQ</t>
        </is>
      </c>
      <c r="N57" s="164" t="inlineStr">
        <is>
          <t>Arquitectura</t>
        </is>
      </c>
      <c r="O57" s="164" t="inlineStr">
        <is>
          <t>Estimado DION · criterio de mercado Guayaquil 2026 (no verificado en tienda)</t>
        </is>
      </c>
      <c r="P57" s="164" t="inlineStr">
        <is>
          <t>oct-2026 (est.)</t>
        </is>
      </c>
      <c r="Q57" s="164" t="n">
        <v>5</v>
      </c>
    </row>
    <row r="58">
      <c r="A58" s="18" t="n">
        <v>39</v>
      </c>
      <c r="B58" s="19" t="inlineStr">
        <is>
          <t xml:space="preserve">        Guardavivo / Junta de Dilatación PVC para Enlucido (3 m)</t>
        </is>
      </c>
      <c r="C58" s="20" t="inlineStr">
        <is>
          <t>Residencial / Comercial</t>
        </is>
      </c>
      <c r="D58" s="18" t="inlineStr">
        <is>
          <t>Juntas</t>
        </is>
      </c>
      <c r="E58" s="18" t="inlineStr">
        <is>
          <t>U</t>
        </is>
      </c>
      <c r="F58" s="21" t="n">
        <v>10</v>
      </c>
      <c r="G58" s="22" t="n">
        <v>1.8</v>
      </c>
      <c r="H58" s="22" t="n">
        <v>1.87</v>
      </c>
      <c r="I58" s="18" t="inlineStr">
        <is>
          <t>Disensa</t>
        </is>
      </c>
      <c r="J58" s="22" t="n">
        <v>1.96</v>
      </c>
      <c r="K58" s="18" t="inlineStr">
        <is>
          <t>Kywi / Megakywi</t>
        </is>
      </c>
      <c r="L58" s="8">
        <f>F58*G58</f>
        <v/>
      </c>
      <c r="M58" s="145" t="inlineStr">
        <is>
          <t>A-C30-MRT-JUN</t>
        </is>
      </c>
      <c r="N58" s="18" t="inlineStr">
        <is>
          <t>Arquitectura</t>
        </is>
      </c>
      <c r="O58" s="18" t="inlineStr">
        <is>
          <t>Estimado DION · criterio de mercado Guayaquil 2026 (no verificado en tienda)</t>
        </is>
      </c>
      <c r="P58" s="18" t="inlineStr">
        <is>
          <t>oct-2026 (est.)</t>
        </is>
      </c>
      <c r="Q58" s="18" t="n">
        <v>5</v>
      </c>
    </row>
    <row r="59">
      <c r="A59" s="164" t="n">
        <v>40</v>
      </c>
      <c r="B59" s="165" t="inlineStr">
        <is>
          <t xml:space="preserve">        Aditivo Adherente Látex para Mortero (Galón)</t>
        </is>
      </c>
      <c r="C59" s="166" t="inlineStr">
        <is>
          <t>Residencial / Comercial</t>
        </is>
      </c>
      <c r="D59" s="164" t="inlineStr">
        <is>
          <t>Aditivos</t>
        </is>
      </c>
      <c r="E59" s="164" t="inlineStr">
        <is>
          <t>Galón</t>
        </is>
      </c>
      <c r="F59" s="167" t="n">
        <v>2</v>
      </c>
      <c r="G59" s="168" t="n">
        <v>9.5</v>
      </c>
      <c r="H59" s="168" t="n">
        <v>9.789999999999999</v>
      </c>
      <c r="I59" s="164" t="inlineStr">
        <is>
          <t>Disensa</t>
        </is>
      </c>
      <c r="J59" s="168" t="n">
        <v>10.45</v>
      </c>
      <c r="K59" s="164" t="inlineStr">
        <is>
          <t>Kywi / Megakywi</t>
        </is>
      </c>
      <c r="L59" s="169">
        <f>F59*G59</f>
        <v/>
      </c>
      <c r="M59" s="170" t="inlineStr">
        <is>
          <t>A-C30-MRT-ADH-LAT</t>
        </is>
      </c>
      <c r="N59" s="164" t="inlineStr">
        <is>
          <t>Arquitectura</t>
        </is>
      </c>
      <c r="O59" s="164" t="inlineStr">
        <is>
          <t>Estimado DION · criterio de mercado Guayaquil 2026 (no verificado en tienda)</t>
        </is>
      </c>
      <c r="P59" s="164" t="inlineStr">
        <is>
          <t>oct-2026 (est.)</t>
        </is>
      </c>
      <c r="Q59" s="164" t="n">
        <v>5</v>
      </c>
    </row>
    <row r="60">
      <c r="A60" s="161" t="inlineStr">
        <is>
          <t>EQUIPOS ESPECIALIZADOS</t>
        </is>
      </c>
      <c r="B60" s="143" t="n"/>
      <c r="C60" s="143" t="n"/>
      <c r="D60" s="143" t="n"/>
      <c r="E60" s="143" t="n"/>
      <c r="F60" s="143" t="n"/>
      <c r="G60" s="143" t="n"/>
      <c r="H60" s="143" t="n"/>
      <c r="I60" s="143" t="n"/>
      <c r="J60" s="143" t="n"/>
      <c r="K60" s="143" t="n"/>
      <c r="L60" s="143" t="n"/>
      <c r="M60" s="143" t="n"/>
      <c r="N60" s="143" t="n"/>
      <c r="O60" s="143" t="n"/>
      <c r="P60" s="143" t="n"/>
      <c r="Q60" s="144" t="n"/>
    </row>
    <row r="61">
      <c r="A61" s="162" t="inlineStr">
        <is>
          <t xml:space="preserve">  ► CATEGORÍA: SISTEMAS DE MURO Y ENLUCIDO (RUBRO COMPLETO REFERENCIAL)</t>
        </is>
      </c>
      <c r="B61" s="143" t="n"/>
      <c r="C61" s="143" t="n"/>
      <c r="D61" s="143" t="n"/>
      <c r="E61" s="143" t="n"/>
      <c r="F61" s="143" t="n"/>
      <c r="G61" s="143" t="n"/>
      <c r="H61" s="143" t="n"/>
      <c r="I61" s="143" t="n"/>
      <c r="J61" s="143" t="n"/>
      <c r="K61" s="143" t="n"/>
      <c r="L61" s="143" t="n"/>
      <c r="M61" s="143" t="n"/>
      <c r="N61" s="143" t="n"/>
      <c r="O61" s="143" t="n"/>
      <c r="P61" s="143" t="n"/>
      <c r="Q61" s="144" t="n"/>
    </row>
    <row r="62">
      <c r="A62" s="163" t="inlineStr">
        <is>
          <t xml:space="preserve">      • Subcategoría Especificada: Precio Unitario por m² Incluye Material y Mano de Obra</t>
        </is>
      </c>
      <c r="B62" s="143" t="n"/>
      <c r="C62" s="143" t="n"/>
      <c r="D62" s="143" t="n"/>
      <c r="E62" s="143" t="n"/>
      <c r="F62" s="143" t="n"/>
      <c r="G62" s="143" t="n"/>
      <c r="H62" s="143" t="n"/>
      <c r="I62" s="143" t="n"/>
      <c r="J62" s="143" t="n"/>
      <c r="K62" s="143" t="n"/>
      <c r="L62" s="143" t="n"/>
      <c r="M62" s="143" t="n"/>
      <c r="N62" s="143" t="n"/>
      <c r="O62" s="143" t="n"/>
      <c r="P62" s="143" t="n"/>
      <c r="Q62" s="144" t="n"/>
    </row>
    <row r="63">
      <c r="A63" s="18" t="n">
        <v>41</v>
      </c>
      <c r="B63" s="19" t="inlineStr">
        <is>
          <t xml:space="preserve">        Mampostería de Bloque 10 cm (m², rubro completo)</t>
        </is>
      </c>
      <c r="C63" s="20" t="inlineStr">
        <is>
          <t>Residencial / Comercial</t>
        </is>
      </c>
      <c r="D63" s="18" t="inlineStr">
        <is>
          <t>Rubros Mampostería</t>
        </is>
      </c>
      <c r="E63" s="18" t="inlineStr">
        <is>
          <t>m2</t>
        </is>
      </c>
      <c r="F63" s="21" t="n">
        <v>100</v>
      </c>
      <c r="G63" s="22" t="n">
        <v>13.5</v>
      </c>
      <c r="H63" s="22" t="n">
        <v>14.04</v>
      </c>
      <c r="I63" s="18" t="inlineStr">
        <is>
          <t>Disensa</t>
        </is>
      </c>
      <c r="J63" s="22" t="n">
        <v>14.99</v>
      </c>
      <c r="K63" s="18" t="inlineStr">
        <is>
          <t>Kywi / Megakywi</t>
        </is>
      </c>
      <c r="L63" s="8">
        <f>F63*G63</f>
        <v/>
      </c>
      <c r="M63" s="145" t="inlineStr">
        <is>
          <t>A-B20-MEX-BLO-100E</t>
        </is>
      </c>
      <c r="N63" s="18" t="inlineStr">
        <is>
          <t>Arquitectura</t>
        </is>
      </c>
      <c r="O63" s="18" t="inlineStr">
        <is>
          <t>Estimado DION · criterio de mercado Guayaquil 2026 (no verificado en tienda)</t>
        </is>
      </c>
      <c r="P63" s="18" t="inlineStr">
        <is>
          <t>oct-2026 (est.)</t>
        </is>
      </c>
      <c r="Q63" s="18" t="n"/>
    </row>
    <row r="64">
      <c r="A64" s="164" t="n">
        <v>42</v>
      </c>
      <c r="B64" s="165" t="inlineStr">
        <is>
          <t xml:space="preserve">        Mampostería de Bloque 15 cm (m², rubro completo)</t>
        </is>
      </c>
      <c r="C64" s="166" t="inlineStr">
        <is>
          <t>Residencial / Comercial</t>
        </is>
      </c>
      <c r="D64" s="164" t="inlineStr">
        <is>
          <t>Rubros Mampostería</t>
        </is>
      </c>
      <c r="E64" s="164" t="inlineStr">
        <is>
          <t>m2</t>
        </is>
      </c>
      <c r="F64" s="167" t="n">
        <v>100</v>
      </c>
      <c r="G64" s="168" t="n">
        <v>16.5</v>
      </c>
      <c r="H64" s="168" t="n">
        <v>17.32</v>
      </c>
      <c r="I64" s="164" t="inlineStr">
        <is>
          <t>Disensa</t>
        </is>
      </c>
      <c r="J64" s="168" t="n">
        <v>17.99</v>
      </c>
      <c r="K64" s="164" t="inlineStr">
        <is>
          <t>Kywi / Megakywi</t>
        </is>
      </c>
      <c r="L64" s="169">
        <f>F64*G64</f>
        <v/>
      </c>
      <c r="M64" s="170" t="inlineStr">
        <is>
          <t>A-B20-MEX-BLO-150E</t>
        </is>
      </c>
      <c r="N64" s="164" t="inlineStr">
        <is>
          <t>Arquitectura</t>
        </is>
      </c>
      <c r="O64" s="164" t="inlineStr">
        <is>
          <t>Estimado DION · criterio de mercado Guayaquil 2026 (no verificado en tienda)</t>
        </is>
      </c>
      <c r="P64" s="164" t="inlineStr">
        <is>
          <t>oct-2026 (est.)</t>
        </is>
      </c>
      <c r="Q64" s="164" t="n"/>
    </row>
    <row r="65">
      <c r="A65" s="18" t="n">
        <v>43</v>
      </c>
      <c r="B65" s="19" t="inlineStr">
        <is>
          <t xml:space="preserve">        Mampostería de Bloque 20 cm (m², rubro completo)</t>
        </is>
      </c>
      <c r="C65" s="20" t="inlineStr">
        <is>
          <t>Comercial / Industrial</t>
        </is>
      </c>
      <c r="D65" s="18" t="inlineStr">
        <is>
          <t>Rubros Mampostería</t>
        </is>
      </c>
      <c r="E65" s="18" t="inlineStr">
        <is>
          <t>m2</t>
        </is>
      </c>
      <c r="F65" s="21" t="n">
        <v>50</v>
      </c>
      <c r="G65" s="22" t="n">
        <v>19.5</v>
      </c>
      <c r="H65" s="22" t="n">
        <v>20.48</v>
      </c>
      <c r="I65" s="18" t="inlineStr">
        <is>
          <t>Disensa</t>
        </is>
      </c>
      <c r="J65" s="22" t="n">
        <v>21.65</v>
      </c>
      <c r="K65" s="18" t="inlineStr">
        <is>
          <t>Kywi / Megakywi</t>
        </is>
      </c>
      <c r="L65" s="8">
        <f>F65*G65</f>
        <v/>
      </c>
      <c r="M65" s="145" t="inlineStr">
        <is>
          <t>A-B20-MEX-BLO-200E</t>
        </is>
      </c>
      <c r="N65" s="18" t="inlineStr">
        <is>
          <t>Arquitectura</t>
        </is>
      </c>
      <c r="O65" s="18" t="inlineStr">
        <is>
          <t>Estimado DION · criterio de mercado Guayaquil 2026 (no verificado en tienda)</t>
        </is>
      </c>
      <c r="P65" s="18" t="inlineStr">
        <is>
          <t>oct-2026 (est.)</t>
        </is>
      </c>
      <c r="Q65" s="18" t="n"/>
    </row>
    <row r="66">
      <c r="A66" s="164" t="n">
        <v>44</v>
      </c>
      <c r="B66" s="165" t="inlineStr">
        <is>
          <t xml:space="preserve">        Mampostería de Ladrillo Panelón 15 cm (m²)</t>
        </is>
      </c>
      <c r="C66" s="166" t="inlineStr">
        <is>
          <t>Residencial / Comercial</t>
        </is>
      </c>
      <c r="D66" s="164" t="inlineStr">
        <is>
          <t>Rubros Mampostería</t>
        </is>
      </c>
      <c r="E66" s="164" t="inlineStr">
        <is>
          <t>m2</t>
        </is>
      </c>
      <c r="F66" s="167" t="n">
        <v>50</v>
      </c>
      <c r="G66" s="168" t="n">
        <v>18.5</v>
      </c>
      <c r="H66" s="168" t="n">
        <v>18.87</v>
      </c>
      <c r="I66" s="164" t="inlineStr">
        <is>
          <t>Disensa</t>
        </is>
      </c>
      <c r="J66" s="168" t="n">
        <v>20.54</v>
      </c>
      <c r="K66" s="164" t="inlineStr">
        <is>
          <t>Kywi / Megakywi</t>
        </is>
      </c>
      <c r="L66" s="169">
        <f>F66*G66</f>
        <v/>
      </c>
      <c r="M66" s="170" t="inlineStr">
        <is>
          <t>A-B20-MEX-LAD-150E</t>
        </is>
      </c>
      <c r="N66" s="164" t="inlineStr">
        <is>
          <t>Arquitectura</t>
        </is>
      </c>
      <c r="O66" s="164" t="inlineStr">
        <is>
          <t>Estimado DION · criterio de mercado Guayaquil 2026 (no verificado en tienda)</t>
        </is>
      </c>
      <c r="P66" s="164" t="inlineStr">
        <is>
          <t>oct-2026 (est.)</t>
        </is>
      </c>
      <c r="Q66" s="164" t="n"/>
    </row>
    <row r="67">
      <c r="A67" s="18" t="n">
        <v>45</v>
      </c>
      <c r="B67" s="19" t="inlineStr">
        <is>
          <t xml:space="preserve">        Enlucido Vertical Interior e=1.5 cm (m²)</t>
        </is>
      </c>
      <c r="C67" s="20" t="inlineStr">
        <is>
          <t>Residencial / Comercial</t>
        </is>
      </c>
      <c r="D67" s="18" t="inlineStr">
        <is>
          <t>Rubros Enlucido</t>
        </is>
      </c>
      <c r="E67" s="18" t="inlineStr">
        <is>
          <t>m2</t>
        </is>
      </c>
      <c r="F67" s="21" t="n">
        <v>200</v>
      </c>
      <c r="G67" s="22" t="n">
        <v>7.8</v>
      </c>
      <c r="H67" s="22" t="n">
        <v>8.029999999999999</v>
      </c>
      <c r="I67" s="18" t="inlineStr">
        <is>
          <t>Disensa</t>
        </is>
      </c>
      <c r="J67" s="22" t="n">
        <v>8.58</v>
      </c>
      <c r="K67" s="18" t="inlineStr">
        <is>
          <t>Kywi / Megakywi</t>
        </is>
      </c>
      <c r="L67" s="8">
        <f>F67*G67</f>
        <v/>
      </c>
      <c r="M67" s="145" t="inlineStr">
        <is>
          <t>A-C30-RPA-ENL-015</t>
        </is>
      </c>
      <c r="N67" s="18" t="inlineStr">
        <is>
          <t>Arquitectura</t>
        </is>
      </c>
      <c r="O67" s="18" t="inlineStr">
        <is>
          <t>Estimado DION · criterio de mercado Guayaquil 2026 (no verificado en tienda)</t>
        </is>
      </c>
      <c r="P67" s="18" t="inlineStr">
        <is>
          <t>oct-2026 (est.)</t>
        </is>
      </c>
      <c r="Q67" s="18" t="n"/>
    </row>
    <row r="68">
      <c r="A68" s="164" t="n">
        <v>46</v>
      </c>
      <c r="B68" s="165" t="inlineStr">
        <is>
          <t xml:space="preserve">        Enlucido Exterior con Impermeabilizante e=2 cm (m²)</t>
        </is>
      </c>
      <c r="C68" s="166" t="inlineStr">
        <is>
          <t>Residencial / Comercial</t>
        </is>
      </c>
      <c r="D68" s="164" t="inlineStr">
        <is>
          <t>Rubros Enlucido</t>
        </is>
      </c>
      <c r="E68" s="164" t="inlineStr">
        <is>
          <t>m2</t>
        </is>
      </c>
      <c r="F68" s="167" t="n">
        <v>100</v>
      </c>
      <c r="G68" s="168" t="n">
        <v>9.5</v>
      </c>
      <c r="H68" s="168" t="n">
        <v>9.789999999999999</v>
      </c>
      <c r="I68" s="164" t="inlineStr">
        <is>
          <t>Disensa</t>
        </is>
      </c>
      <c r="J68" s="168" t="n">
        <v>10.55</v>
      </c>
      <c r="K68" s="164" t="inlineStr">
        <is>
          <t>Kywi / Megakywi</t>
        </is>
      </c>
      <c r="L68" s="169">
        <f>F68*G68</f>
        <v/>
      </c>
      <c r="M68" s="170" t="inlineStr">
        <is>
          <t>A-C30-RPA-ENL-020</t>
        </is>
      </c>
      <c r="N68" s="164" t="inlineStr">
        <is>
          <t>Arquitectura</t>
        </is>
      </c>
      <c r="O68" s="164" t="inlineStr">
        <is>
          <t>Estimado DION · criterio de mercado Guayaquil 2026 (no verificado en tienda)</t>
        </is>
      </c>
      <c r="P68" s="164" t="inlineStr">
        <is>
          <t>oct-2026 (est.)</t>
        </is>
      </c>
      <c r="Q68" s="164" t="n"/>
    </row>
    <row r="69">
      <c r="A69" s="18" t="n">
        <v>47</v>
      </c>
      <c r="B69" s="19" t="inlineStr">
        <is>
          <t xml:space="preserve">        Enlucido Rayado para Recibir Cerámica (m²)</t>
        </is>
      </c>
      <c r="C69" s="20" t="inlineStr">
        <is>
          <t>Residencial / Comercial</t>
        </is>
      </c>
      <c r="D69" s="18" t="inlineStr">
        <is>
          <t>Rubros Enlucido</t>
        </is>
      </c>
      <c r="E69" s="18" t="inlineStr">
        <is>
          <t>m2</t>
        </is>
      </c>
      <c r="F69" s="21" t="n">
        <v>50</v>
      </c>
      <c r="G69" s="22" t="n">
        <v>6.5</v>
      </c>
      <c r="H69" s="22" t="n">
        <v>6.63</v>
      </c>
      <c r="I69" s="18" t="inlineStr">
        <is>
          <t>Disensa</t>
        </is>
      </c>
      <c r="J69" s="22" t="n">
        <v>7.02</v>
      </c>
      <c r="K69" s="18" t="inlineStr">
        <is>
          <t>Kywi / Megakywi</t>
        </is>
      </c>
      <c r="L69" s="8">
        <f>F69*G69</f>
        <v/>
      </c>
      <c r="M69" s="145" t="inlineStr">
        <is>
          <t>A-C30-RPA-ENL-RAY</t>
        </is>
      </c>
      <c r="N69" s="18" t="inlineStr">
        <is>
          <t>Arquitectura</t>
        </is>
      </c>
      <c r="O69" s="18" t="inlineStr">
        <is>
          <t>Estimado DION · criterio de mercado Guayaquil 2026 (no verificado en tienda)</t>
        </is>
      </c>
      <c r="P69" s="18" t="inlineStr">
        <is>
          <t>oct-2026 (est.)</t>
        </is>
      </c>
      <c r="Q69" s="18" t="n"/>
    </row>
    <row r="70">
      <c r="A70" s="164" t="n">
        <v>48</v>
      </c>
      <c r="B70" s="165" t="inlineStr">
        <is>
          <t xml:space="preserve">        Enlucido de Filos / Fajas (m)</t>
        </is>
      </c>
      <c r="C70" s="166" t="inlineStr">
        <is>
          <t>Residencial / Comercial</t>
        </is>
      </c>
      <c r="D70" s="164" t="inlineStr">
        <is>
          <t>Rubros Enlucido</t>
        </is>
      </c>
      <c r="E70" s="164" t="inlineStr">
        <is>
          <t>m</t>
        </is>
      </c>
      <c r="F70" s="167" t="n">
        <v>100</v>
      </c>
      <c r="G70" s="168" t="n">
        <v>2.8</v>
      </c>
      <c r="H70" s="168" t="n">
        <v>2.91</v>
      </c>
      <c r="I70" s="164" t="inlineStr">
        <is>
          <t>Disensa</t>
        </is>
      </c>
      <c r="J70" s="168" t="n">
        <v>3.11</v>
      </c>
      <c r="K70" s="164" t="inlineStr">
        <is>
          <t>Kywi / Megakywi</t>
        </is>
      </c>
      <c r="L70" s="169">
        <f>F70*G70</f>
        <v/>
      </c>
      <c r="M70" s="170" t="inlineStr">
        <is>
          <t>A-C30-RPA-ENL-FIL</t>
        </is>
      </c>
      <c r="N70" s="164" t="inlineStr">
        <is>
          <t>Arquitectura</t>
        </is>
      </c>
      <c r="O70" s="164" t="inlineStr">
        <is>
          <t>Estimado DION · criterio de mercado Guayaquil 2026 (no verificado en tienda)</t>
        </is>
      </c>
      <c r="P70" s="164" t="inlineStr">
        <is>
          <t>oct-2026 (est.)</t>
        </is>
      </c>
      <c r="Q70" s="164" t="n"/>
    </row>
    <row r="71">
      <c r="A71" s="18" t="n">
        <v>49</v>
      </c>
      <c r="B71" s="19" t="inlineStr">
        <is>
          <t xml:space="preserve">        Dintel de Hormigón Armado 15x20 cm (m)</t>
        </is>
      </c>
      <c r="C71" s="20" t="inlineStr">
        <is>
          <t>Residencial / Comercial</t>
        </is>
      </c>
      <c r="D71" s="18" t="inlineStr">
        <is>
          <t>Dinteles</t>
        </is>
      </c>
      <c r="E71" s="18" t="inlineStr">
        <is>
          <t>m</t>
        </is>
      </c>
      <c r="F71" s="21" t="n">
        <v>20</v>
      </c>
      <c r="G71" s="22" t="n">
        <v>14.5</v>
      </c>
      <c r="H71" s="22" t="n">
        <v>15.23</v>
      </c>
      <c r="I71" s="18" t="inlineStr">
        <is>
          <t>Disensa</t>
        </is>
      </c>
      <c r="J71" s="22" t="n">
        <v>15.66</v>
      </c>
      <c r="K71" s="18" t="inlineStr">
        <is>
          <t>Kywi / Megakywi</t>
        </is>
      </c>
      <c r="L71" s="8">
        <f>F71*G71</f>
        <v/>
      </c>
      <c r="M71" s="145" t="inlineStr">
        <is>
          <t>S-B10-VIG-DIN-15X20</t>
        </is>
      </c>
      <c r="N71" s="18" t="inlineStr">
        <is>
          <t>Estructuras</t>
        </is>
      </c>
      <c r="O71" s="18" t="inlineStr">
        <is>
          <t>Estimado DION · criterio de mercado Guayaquil 2026 (no verificado en tienda)</t>
        </is>
      </c>
      <c r="P71" s="18" t="inlineStr">
        <is>
          <t>oct-2026 (est.)</t>
        </is>
      </c>
      <c r="Q71" s="18" t="n"/>
    </row>
    <row r="72">
      <c r="A72" s="164" t="n">
        <v>50</v>
      </c>
      <c r="B72" s="165" t="inlineStr">
        <is>
          <t xml:space="preserve">        Columneta / Riostra de Confinamiento 15x15 cm (m)</t>
        </is>
      </c>
      <c r="C72" s="166" t="inlineStr">
        <is>
          <t>Residencial / Comercial</t>
        </is>
      </c>
      <c r="D72" s="164" t="inlineStr">
        <is>
          <t>Confinamiento</t>
        </is>
      </c>
      <c r="E72" s="164" t="inlineStr">
        <is>
          <t>m</t>
        </is>
      </c>
      <c r="F72" s="167" t="n">
        <v>40</v>
      </c>
      <c r="G72" s="168" t="n">
        <v>12.5</v>
      </c>
      <c r="H72" s="168" t="n">
        <v>13.12</v>
      </c>
      <c r="I72" s="164" t="inlineStr">
        <is>
          <t>Disensa</t>
        </is>
      </c>
      <c r="J72" s="168" t="n">
        <v>13.38</v>
      </c>
      <c r="K72" s="164" t="inlineStr">
        <is>
          <t>Kywi / Megakywi</t>
        </is>
      </c>
      <c r="L72" s="169">
        <f>F72*G72</f>
        <v/>
      </c>
      <c r="M72" s="170" t="inlineStr">
        <is>
          <t>S-B10-COL-CNF-15X15</t>
        </is>
      </c>
      <c r="N72" s="164" t="inlineStr">
        <is>
          <t>Estructuras</t>
        </is>
      </c>
      <c r="O72" s="164" t="inlineStr">
        <is>
          <t>Estimado DION · criterio de mercado Guayaquil 2026 (no verificado en tienda)</t>
        </is>
      </c>
      <c r="P72" s="164" t="inlineStr">
        <is>
          <t>oct-2026 (est.)</t>
        </is>
      </c>
      <c r="Q72" s="164" t="n"/>
    </row>
    <row r="73">
      <c r="A73" s="10" t="n"/>
      <c r="B73" s="147" t="inlineStr">
        <is>
          <t>TOTAL BASE DE DATOS MAMPOSTERÍA Y ENLUCIDOS (ESTIMADO)</t>
        </is>
      </c>
      <c r="C73" s="148" t="n"/>
      <c r="D73" s="148" t="n"/>
      <c r="E73" s="148" t="n"/>
      <c r="F73" s="148" t="n"/>
      <c r="G73" s="148" t="n"/>
      <c r="H73" s="148" t="n"/>
      <c r="I73" s="148" t="n"/>
      <c r="J73" s="148" t="n"/>
      <c r="K73" s="148" t="n"/>
      <c r="L73" s="30">
        <f>SUM(L6:L72)</f>
        <v/>
      </c>
      <c r="M73" s="30" t="n"/>
      <c r="N73" s="30" t="n"/>
      <c r="O73" s="30" t="n"/>
      <c r="P73" s="30" t="n"/>
      <c r="Q73" s="30" t="n"/>
    </row>
  </sheetData>
  <mergeCells count="18">
    <mergeCell ref="A8:Q8"/>
    <mergeCell ref="A61:Q61"/>
    <mergeCell ref="A6:Q6"/>
    <mergeCell ref="A40:Q40"/>
    <mergeCell ref="A21:Q21"/>
    <mergeCell ref="A39:Q39"/>
    <mergeCell ref="A7:Q7"/>
    <mergeCell ref="A48:Q48"/>
    <mergeCell ref="A20:Q20"/>
    <mergeCell ref="A38:Q38"/>
    <mergeCell ref="A62:Q62"/>
    <mergeCell ref="B73:K73"/>
    <mergeCell ref="A33:Q33"/>
    <mergeCell ref="A60:Q60"/>
    <mergeCell ref="A19:Q19"/>
    <mergeCell ref="A47:Q47"/>
    <mergeCell ref="A46:Q46"/>
    <mergeCell ref="A32:Q32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8" customWidth="1" min="2" max="2"/>
    <col width="30" customWidth="1" min="3" max="3"/>
    <col width="32" customWidth="1" min="4" max="4"/>
    <col width="8" customWidth="1" min="5" max="5"/>
    <col width="10" customWidth="1" min="6" max="6"/>
    <col width="15" customWidth="1" min="7" max="7"/>
    <col width="16" customWidth="1" min="8" max="8"/>
    <col width="22" customWidth="1" min="9" max="9"/>
    <col width="16" customWidth="1" min="10" max="10"/>
    <col width="20" customWidth="1" min="11" max="11"/>
    <col width="16" customWidth="1" min="12" max="12"/>
    <col width="27" customWidth="1" min="13" max="13"/>
    <col width="30" customWidth="1" min="14" max="14"/>
    <col width="44" customWidth="1" min="15" max="15"/>
    <col width="15" customWidth="1" min="16" max="16"/>
    <col width="14" customWidth="1" min="17" max="17"/>
  </cols>
  <sheetData>
    <row r="1">
      <c r="A1" s="1" t="inlineStr">
        <is>
          <t>BASE DE DATOS COMPLETA DE CATALOGACIÓN: PISOS Y REVESTIMIENTOS</t>
        </is>
      </c>
    </row>
    <row r="2">
      <c r="A2" s="2" t="inlineStr">
        <is>
          <t>Estructura Jerárquica Homogénea: Accesorios &gt; Tuberías &gt; Equipos &gt; Conexiones &gt; Equipos Especializados | Degradé por Niveles (Ecuador - USD)</t>
        </is>
      </c>
    </row>
    <row r="3">
      <c r="A3" s="13" t="inlineStr">
        <is>
          <t>« Volver al Índice General</t>
        </is>
      </c>
    </row>
    <row r="5" ht="30" customHeight="1">
      <c r="A5" s="4" t="inlineStr">
        <is>
          <t>Item</t>
        </is>
      </c>
      <c r="B5" s="4" t="inlineStr">
        <is>
          <t>Descripción de Accesorio / Ítem Especificado</t>
        </is>
      </c>
      <c r="C5" s="4" t="inlineStr">
        <is>
          <t>Clasificación / Ámbito de Uso
(Residencial/Comercial/Industrial)</t>
        </is>
      </c>
      <c r="D5" s="4" t="inlineStr">
        <is>
          <t>Tipo / Familia</t>
        </is>
      </c>
      <c r="E5" s="4" t="inlineStr">
        <is>
          <t>Unidad</t>
        </is>
      </c>
      <c r="F5" s="4" t="inlineStr">
        <is>
          <t>Cant.</t>
        </is>
      </c>
      <c r="G5" s="4" t="inlineStr">
        <is>
          <t>P. Ref. Est. ($)</t>
        </is>
      </c>
      <c r="H5" s="4" t="inlineStr">
        <is>
          <t>P. Unit. Local A ($)
(Kywi / Megakywi)</t>
        </is>
      </c>
      <c r="I5" s="4" t="inlineStr">
        <is>
          <t>Local A
Especificado</t>
        </is>
      </c>
      <c r="J5" s="4" t="inlineStr">
        <is>
          <t>P. Unit. Local B ($)
(Graiman / Rialto)</t>
        </is>
      </c>
      <c r="K5" s="4" t="inlineStr">
        <is>
          <t>Local B
Especificado</t>
        </is>
      </c>
      <c r="L5" s="4" t="inlineStr">
        <is>
          <t>Subtotal Est. ($)</t>
        </is>
      </c>
      <c r="M5" s="4" t="inlineStr">
        <is>
          <t>Código DION</t>
        </is>
      </c>
      <c r="N5" s="4" t="inlineStr">
        <is>
          <t>Disciplina</t>
        </is>
      </c>
      <c r="O5" s="4" t="inlineStr">
        <is>
          <t>Fuente del precio</t>
        </is>
      </c>
      <c r="P5" s="4" t="inlineStr">
        <is>
          <t>Fecha precio</t>
        </is>
      </c>
      <c r="Q5" s="4" t="inlineStr">
        <is>
          <t>Rendimiento /
desperdicio %</t>
        </is>
      </c>
    </row>
    <row r="6">
      <c r="A6" s="171" t="inlineStr">
        <is>
          <t>ACCESORIOS</t>
        </is>
      </c>
      <c r="B6" s="143" t="n"/>
      <c r="C6" s="143" t="n"/>
      <c r="D6" s="143" t="n"/>
      <c r="E6" s="143" t="n"/>
      <c r="F6" s="143" t="n"/>
      <c r="G6" s="143" t="n"/>
      <c r="H6" s="143" t="n"/>
      <c r="I6" s="143" t="n"/>
      <c r="J6" s="143" t="n"/>
      <c r="K6" s="143" t="n"/>
      <c r="L6" s="143" t="n"/>
      <c r="M6" s="143" t="n"/>
      <c r="N6" s="143" t="n"/>
      <c r="O6" s="143" t="n"/>
      <c r="P6" s="143" t="n"/>
      <c r="Q6" s="144" t="n"/>
    </row>
    <row r="7">
      <c r="A7" s="172" t="inlineStr">
        <is>
          <t xml:space="preserve">  ► CATEGORÍA: ADHESIVOS, FRAGUAS Y ACCESORIOS DE COLOCACIÓN</t>
        </is>
      </c>
      <c r="B7" s="143" t="n"/>
      <c r="C7" s="143" t="n"/>
      <c r="D7" s="143" t="n"/>
      <c r="E7" s="143" t="n"/>
      <c r="F7" s="143" t="n"/>
      <c r="G7" s="143" t="n"/>
      <c r="H7" s="143" t="n"/>
      <c r="I7" s="143" t="n"/>
      <c r="J7" s="143" t="n"/>
      <c r="K7" s="143" t="n"/>
      <c r="L7" s="143" t="n"/>
      <c r="M7" s="143" t="n"/>
      <c r="N7" s="143" t="n"/>
      <c r="O7" s="143" t="n"/>
      <c r="P7" s="143" t="n"/>
      <c r="Q7" s="144" t="n"/>
    </row>
    <row r="8">
      <c r="A8" s="173" t="inlineStr">
        <is>
          <t xml:space="preserve">      • Subcategoría Especificada: Pegamentos, Boquillas, Crucetas, Niveladores y Perfiles</t>
        </is>
      </c>
      <c r="B8" s="143" t="n"/>
      <c r="C8" s="143" t="n"/>
      <c r="D8" s="143" t="n"/>
      <c r="E8" s="143" t="n"/>
      <c r="F8" s="143" t="n"/>
      <c r="G8" s="143" t="n"/>
      <c r="H8" s="143" t="n"/>
      <c r="I8" s="143" t="n"/>
      <c r="J8" s="143" t="n"/>
      <c r="K8" s="143" t="n"/>
      <c r="L8" s="143" t="n"/>
      <c r="M8" s="143" t="n"/>
      <c r="N8" s="143" t="n"/>
      <c r="O8" s="143" t="n"/>
      <c r="P8" s="143" t="n"/>
      <c r="Q8" s="144" t="n"/>
    </row>
    <row r="9">
      <c r="A9" s="18" t="n">
        <v>1</v>
      </c>
      <c r="B9" s="19" t="inlineStr">
        <is>
          <t xml:space="preserve">        Adhesivo Cerámico Gris Interior (Saco 25 kg) Bondex/Intaco</t>
        </is>
      </c>
      <c r="C9" s="20" t="inlineStr">
        <is>
          <t>Residencial / Comercial</t>
        </is>
      </c>
      <c r="D9" s="18" t="inlineStr">
        <is>
          <t>Adhesivos Cerámica</t>
        </is>
      </c>
      <c r="E9" s="18" t="inlineStr">
        <is>
          <t>Saco</t>
        </is>
      </c>
      <c r="F9" s="21" t="n">
        <v>20</v>
      </c>
      <c r="G9" s="22" t="n">
        <v>6.8</v>
      </c>
      <c r="H9" s="22" t="n">
        <v>7.07</v>
      </c>
      <c r="I9" s="18" t="inlineStr">
        <is>
          <t>Kywi / Megakywi</t>
        </is>
      </c>
      <c r="J9" s="22" t="n">
        <v>7.55</v>
      </c>
      <c r="K9" s="18" t="inlineStr">
        <is>
          <t>Graiman / Rialto</t>
        </is>
      </c>
      <c r="L9" s="8">
        <f>F9*G9</f>
        <v/>
      </c>
      <c r="M9" s="145" t="inlineStr">
        <is>
          <t>A-C30-ADH-CER-GRI</t>
        </is>
      </c>
      <c r="N9" s="18" t="inlineStr">
        <is>
          <t>Arquitectura</t>
        </is>
      </c>
      <c r="O9" s="18" t="inlineStr">
        <is>
          <t>Estimado DION · criterio de mercado Guayaquil 2026 (no verificado en tienda)</t>
        </is>
      </c>
      <c r="P9" s="18" t="inlineStr">
        <is>
          <t>oct-2026 (est.)</t>
        </is>
      </c>
      <c r="Q9" s="18" t="n">
        <v>5</v>
      </c>
    </row>
    <row r="10">
      <c r="A10" s="174" t="n">
        <v>2</v>
      </c>
      <c r="B10" s="175" t="inlineStr">
        <is>
          <t xml:space="preserve">        Adhesivo para Porcelanato Flexible (Saco 25 kg)</t>
        </is>
      </c>
      <c r="C10" s="176" t="inlineStr">
        <is>
          <t>Residencial / Comercial</t>
        </is>
      </c>
      <c r="D10" s="174" t="inlineStr">
        <is>
          <t>Adhesivos Porcelanato</t>
        </is>
      </c>
      <c r="E10" s="174" t="inlineStr">
        <is>
          <t>Saco</t>
        </is>
      </c>
      <c r="F10" s="177" t="n">
        <v>20</v>
      </c>
      <c r="G10" s="178" t="n">
        <v>11.5</v>
      </c>
      <c r="H10" s="178" t="n">
        <v>11.73</v>
      </c>
      <c r="I10" s="174" t="inlineStr">
        <is>
          <t>Kywi / Megakywi</t>
        </is>
      </c>
      <c r="J10" s="178" t="n">
        <v>12.31</v>
      </c>
      <c r="K10" s="174" t="inlineStr">
        <is>
          <t>Graiman / Rialto</t>
        </is>
      </c>
      <c r="L10" s="179">
        <f>F10*G10</f>
        <v/>
      </c>
      <c r="M10" s="180" t="inlineStr">
        <is>
          <t>A-C30-ADH-POR-FLX</t>
        </is>
      </c>
      <c r="N10" s="174" t="inlineStr">
        <is>
          <t>Arquitectura</t>
        </is>
      </c>
      <c r="O10" s="174" t="inlineStr">
        <is>
          <t>Estimado DION · criterio de mercado Guayaquil 2026 (no verificado en tienda)</t>
        </is>
      </c>
      <c r="P10" s="174" t="inlineStr">
        <is>
          <t>oct-2026 (est.)</t>
        </is>
      </c>
      <c r="Q10" s="174" t="n">
        <v>5</v>
      </c>
    </row>
    <row r="11">
      <c r="A11" s="18" t="n">
        <v>3</v>
      </c>
      <c r="B11" s="19" t="inlineStr">
        <is>
          <t xml:space="preserve">        Adhesivo Porcelanato Gran Formato C2TE S1 (Saco 25 kg)</t>
        </is>
      </c>
      <c r="C11" s="20" t="inlineStr">
        <is>
          <t>Comercial / Industrial</t>
        </is>
      </c>
      <c r="D11" s="18" t="inlineStr">
        <is>
          <t>Adhesivos Porcelanato</t>
        </is>
      </c>
      <c r="E11" s="18" t="inlineStr">
        <is>
          <t>Saco</t>
        </is>
      </c>
      <c r="F11" s="21" t="n">
        <v>10</v>
      </c>
      <c r="G11" s="22" t="n">
        <v>16.5</v>
      </c>
      <c r="H11" s="22" t="n">
        <v>17.32</v>
      </c>
      <c r="I11" s="18" t="inlineStr">
        <is>
          <t>Kywi / Megakywi</t>
        </is>
      </c>
      <c r="J11" s="22" t="n">
        <v>17.82</v>
      </c>
      <c r="K11" s="18" t="inlineStr">
        <is>
          <t>Graiman / Rialto</t>
        </is>
      </c>
      <c r="L11" s="8">
        <f>F11*G11</f>
        <v/>
      </c>
      <c r="M11" s="145" t="inlineStr">
        <is>
          <t>A-C30-ADH-POR-S1</t>
        </is>
      </c>
      <c r="N11" s="18" t="inlineStr">
        <is>
          <t>Arquitectura</t>
        </is>
      </c>
      <c r="O11" s="18" t="inlineStr">
        <is>
          <t>Estimado DION · criterio de mercado Guayaquil 2026 (no verificado en tienda)</t>
        </is>
      </c>
      <c r="P11" s="18" t="inlineStr">
        <is>
          <t>oct-2026 (est.)</t>
        </is>
      </c>
      <c r="Q11" s="18" t="n">
        <v>5</v>
      </c>
    </row>
    <row r="12">
      <c r="A12" s="174" t="n">
        <v>4</v>
      </c>
      <c r="B12" s="175" t="inlineStr">
        <is>
          <t xml:space="preserve">        Porcelana / Boquilla sin Arena (Funda 2 kg)</t>
        </is>
      </c>
      <c r="C12" s="176" t="inlineStr">
        <is>
          <t>Residencial / Comercial</t>
        </is>
      </c>
      <c r="D12" s="174" t="inlineStr">
        <is>
          <t>Fraguas</t>
        </is>
      </c>
      <c r="E12" s="174" t="inlineStr">
        <is>
          <t>Funda</t>
        </is>
      </c>
      <c r="F12" s="177" t="n">
        <v>10</v>
      </c>
      <c r="G12" s="178" t="n">
        <v>2.2</v>
      </c>
      <c r="H12" s="178" t="n">
        <v>2.24</v>
      </c>
      <c r="I12" s="174" t="inlineStr">
        <is>
          <t>Kywi / Megakywi</t>
        </is>
      </c>
      <c r="J12" s="178" t="n">
        <v>2.42</v>
      </c>
      <c r="K12" s="174" t="inlineStr">
        <is>
          <t>Graiman / Rialto</t>
        </is>
      </c>
      <c r="L12" s="179">
        <f>F12*G12</f>
        <v/>
      </c>
      <c r="M12" s="180" t="inlineStr">
        <is>
          <t>A-C30-ADH-BOQ-SAR</t>
        </is>
      </c>
      <c r="N12" s="174" t="inlineStr">
        <is>
          <t>Arquitectura</t>
        </is>
      </c>
      <c r="O12" s="174" t="inlineStr">
        <is>
          <t>Estimado DION · criterio de mercado Guayaquil 2026 (no verificado en tienda)</t>
        </is>
      </c>
      <c r="P12" s="174" t="inlineStr">
        <is>
          <t>oct-2026 (est.)</t>
        </is>
      </c>
      <c r="Q12" s="174" t="n">
        <v>5</v>
      </c>
    </row>
    <row r="13">
      <c r="A13" s="18" t="n">
        <v>5</v>
      </c>
      <c r="B13" s="19" t="inlineStr">
        <is>
          <t xml:space="preserve">        Boquilla con Arena para Juntas Anchas (Funda 5 kg)</t>
        </is>
      </c>
      <c r="C13" s="20" t="inlineStr">
        <is>
          <t>Residencial / Comercial</t>
        </is>
      </c>
      <c r="D13" s="18" t="inlineStr">
        <is>
          <t>Fraguas</t>
        </is>
      </c>
      <c r="E13" s="18" t="inlineStr">
        <is>
          <t>Funda</t>
        </is>
      </c>
      <c r="F13" s="21" t="n">
        <v>4</v>
      </c>
      <c r="G13" s="22" t="n">
        <v>4.5</v>
      </c>
      <c r="H13" s="22" t="n">
        <v>4.68</v>
      </c>
      <c r="I13" s="18" t="inlineStr">
        <is>
          <t>Kywi / Megakywi</t>
        </is>
      </c>
      <c r="J13" s="22" t="n">
        <v>4.86</v>
      </c>
      <c r="K13" s="18" t="inlineStr">
        <is>
          <t>Graiman / Rialto</t>
        </is>
      </c>
      <c r="L13" s="8">
        <f>F13*G13</f>
        <v/>
      </c>
      <c r="M13" s="145" t="inlineStr">
        <is>
          <t>A-C30-ADH-BOQ-CAR</t>
        </is>
      </c>
      <c r="N13" s="18" t="inlineStr">
        <is>
          <t>Arquitectura</t>
        </is>
      </c>
      <c r="O13" s="18" t="inlineStr">
        <is>
          <t>Estimado DION · criterio de mercado Guayaquil 2026 (no verificado en tienda)</t>
        </is>
      </c>
      <c r="P13" s="18" t="inlineStr">
        <is>
          <t>oct-2026 (est.)</t>
        </is>
      </c>
      <c r="Q13" s="18" t="n">
        <v>5</v>
      </c>
    </row>
    <row r="14">
      <c r="A14" s="174" t="n">
        <v>6</v>
      </c>
      <c r="B14" s="175" t="inlineStr">
        <is>
          <t xml:space="preserve">        Fragua Epóxica (Kit 2 kg) Asepsia/Hospitales</t>
        </is>
      </c>
      <c r="C14" s="176" t="inlineStr">
        <is>
          <t>Hospitalario / Comercial</t>
        </is>
      </c>
      <c r="D14" s="174" t="inlineStr">
        <is>
          <t>Fraguas Epóxicas</t>
        </is>
      </c>
      <c r="E14" s="174" t="inlineStr">
        <is>
          <t>Kit</t>
        </is>
      </c>
      <c r="F14" s="177" t="n">
        <v>4</v>
      </c>
      <c r="G14" s="178" t="n">
        <v>28</v>
      </c>
      <c r="H14" s="178" t="n">
        <v>29.12</v>
      </c>
      <c r="I14" s="174" t="inlineStr">
        <is>
          <t>Kywi / Megakywi</t>
        </is>
      </c>
      <c r="J14" s="178" t="n">
        <v>31.08</v>
      </c>
      <c r="K14" s="174" t="inlineStr">
        <is>
          <t>Graiman / Rialto</t>
        </is>
      </c>
      <c r="L14" s="179">
        <f>F14*G14</f>
        <v/>
      </c>
      <c r="M14" s="180" t="inlineStr">
        <is>
          <t>A-C30-ADH-BOQ-EPX</t>
        </is>
      </c>
      <c r="N14" s="174" t="inlineStr">
        <is>
          <t>Arquitectura</t>
        </is>
      </c>
      <c r="O14" s="174" t="inlineStr">
        <is>
          <t>Estimado DION · criterio de mercado Guayaquil 2026 (no verificado en tienda)</t>
        </is>
      </c>
      <c r="P14" s="174" t="inlineStr">
        <is>
          <t>oct-2026 (est.)</t>
        </is>
      </c>
      <c r="Q14" s="174" t="n">
        <v>5</v>
      </c>
    </row>
    <row r="15">
      <c r="A15" s="18" t="n">
        <v>7</v>
      </c>
      <c r="B15" s="19" t="inlineStr">
        <is>
          <t xml:space="preserve">        Crucetas Plásticas 2 mm (Funda 100u)</t>
        </is>
      </c>
      <c r="C15" s="20" t="inlineStr">
        <is>
          <t>Residencial / Comercial</t>
        </is>
      </c>
      <c r="D15" s="18" t="inlineStr">
        <is>
          <t>Crucetas</t>
        </is>
      </c>
      <c r="E15" s="18" t="inlineStr">
        <is>
          <t>Funda</t>
        </is>
      </c>
      <c r="F15" s="21" t="n">
        <v>10</v>
      </c>
      <c r="G15" s="22" t="n">
        <v>0.85</v>
      </c>
      <c r="H15" s="22" t="n">
        <v>0.88</v>
      </c>
      <c r="I15" s="18" t="inlineStr">
        <is>
          <t>Kywi / Megakywi</t>
        </is>
      </c>
      <c r="J15" s="22" t="n">
        <v>0.9399999999999999</v>
      </c>
      <c r="K15" s="18" t="inlineStr">
        <is>
          <t>Graiman / Rialto</t>
        </is>
      </c>
      <c r="L15" s="8">
        <f>F15*G15</f>
        <v/>
      </c>
      <c r="M15" s="145" t="inlineStr">
        <is>
          <t>A-C30-ADH-CRU-002</t>
        </is>
      </c>
      <c r="N15" s="18" t="inlineStr">
        <is>
          <t>Arquitectura</t>
        </is>
      </c>
      <c r="O15" s="18" t="inlineStr">
        <is>
          <t>Estimado DION · criterio de mercado Guayaquil 2026 (no verificado en tienda)</t>
        </is>
      </c>
      <c r="P15" s="18" t="inlineStr">
        <is>
          <t>oct-2026 (est.)</t>
        </is>
      </c>
      <c r="Q15" s="18" t="n">
        <v>5</v>
      </c>
    </row>
    <row r="16">
      <c r="A16" s="174" t="n">
        <v>8</v>
      </c>
      <c r="B16" s="175" t="inlineStr">
        <is>
          <t xml:space="preserve">        Sistema Nivelador de Porcelanato (Clips 100u + Cuñas)</t>
        </is>
      </c>
      <c r="C16" s="176" t="inlineStr">
        <is>
          <t>Residencial / Comercial</t>
        </is>
      </c>
      <c r="D16" s="174" t="inlineStr">
        <is>
          <t>Niveladores</t>
        </is>
      </c>
      <c r="E16" s="174" t="inlineStr">
        <is>
          <t>Kit</t>
        </is>
      </c>
      <c r="F16" s="177" t="n">
        <v>4</v>
      </c>
      <c r="G16" s="178" t="n">
        <v>9.5</v>
      </c>
      <c r="H16" s="178" t="n">
        <v>9.789999999999999</v>
      </c>
      <c r="I16" s="174" t="inlineStr">
        <is>
          <t>Kywi / Megakywi</t>
        </is>
      </c>
      <c r="J16" s="178" t="n">
        <v>10.36</v>
      </c>
      <c r="K16" s="174" t="inlineStr">
        <is>
          <t>Graiman / Rialto</t>
        </is>
      </c>
      <c r="L16" s="179">
        <f>F16*G16</f>
        <v/>
      </c>
      <c r="M16" s="180" t="inlineStr">
        <is>
          <t>A-C30-ADH-NIV</t>
        </is>
      </c>
      <c r="N16" s="174" t="inlineStr">
        <is>
          <t>Arquitectura</t>
        </is>
      </c>
      <c r="O16" s="174" t="inlineStr">
        <is>
          <t>Estimado DION · criterio de mercado Guayaquil 2026 (no verificado en tienda)</t>
        </is>
      </c>
      <c r="P16" s="174" t="inlineStr">
        <is>
          <t>oct-2026 (est.)</t>
        </is>
      </c>
      <c r="Q16" s="174" t="n">
        <v>5</v>
      </c>
    </row>
    <row r="17">
      <c r="A17" s="18" t="n">
        <v>9</v>
      </c>
      <c r="B17" s="19" t="inlineStr">
        <is>
          <t xml:space="preserve">        Perfil Esquinero de Aluminio para Cerámica (2.5 m)</t>
        </is>
      </c>
      <c r="C17" s="20" t="inlineStr">
        <is>
          <t>Residencial / Comercial</t>
        </is>
      </c>
      <c r="D17" s="18" t="inlineStr">
        <is>
          <t>Perfiles Remate</t>
        </is>
      </c>
      <c r="E17" s="18" t="inlineStr">
        <is>
          <t>U</t>
        </is>
      </c>
      <c r="F17" s="21" t="n">
        <v>10</v>
      </c>
      <c r="G17" s="22" t="n">
        <v>4.2</v>
      </c>
      <c r="H17" s="22" t="n">
        <v>4.41</v>
      </c>
      <c r="I17" s="18" t="inlineStr">
        <is>
          <t>Kywi / Megakywi</t>
        </is>
      </c>
      <c r="J17" s="22" t="n">
        <v>4.66</v>
      </c>
      <c r="K17" s="18" t="inlineStr">
        <is>
          <t>Graiman / Rialto</t>
        </is>
      </c>
      <c r="L17" s="8">
        <f>F17*G17</f>
        <v/>
      </c>
      <c r="M17" s="145" t="inlineStr">
        <is>
          <t>A-C30-ADH-PER-ALM</t>
        </is>
      </c>
      <c r="N17" s="18" t="inlineStr">
        <is>
          <t>Arquitectura</t>
        </is>
      </c>
      <c r="O17" s="18" t="inlineStr">
        <is>
          <t>Estimado DION · criterio de mercado Guayaquil 2026 (no verificado en tienda)</t>
        </is>
      </c>
      <c r="P17" s="18" t="inlineStr">
        <is>
          <t>oct-2026 (est.)</t>
        </is>
      </c>
      <c r="Q17" s="18" t="n">
        <v>5</v>
      </c>
    </row>
    <row r="18">
      <c r="A18" s="174" t="n">
        <v>10</v>
      </c>
      <c r="B18" s="175" t="inlineStr">
        <is>
          <t xml:space="preserve">        Perfil Esquinero PVC para Cerámica (2.5 m)</t>
        </is>
      </c>
      <c r="C18" s="176" t="inlineStr">
        <is>
          <t>Residencial / Comercial</t>
        </is>
      </c>
      <c r="D18" s="174" t="inlineStr">
        <is>
          <t>Perfiles Remate</t>
        </is>
      </c>
      <c r="E18" s="174" t="inlineStr">
        <is>
          <t>U</t>
        </is>
      </c>
      <c r="F18" s="177" t="n">
        <v>10</v>
      </c>
      <c r="G18" s="178" t="n">
        <v>1.4</v>
      </c>
      <c r="H18" s="178" t="n">
        <v>1.43</v>
      </c>
      <c r="I18" s="174" t="inlineStr">
        <is>
          <t>Kywi / Megakywi</t>
        </is>
      </c>
      <c r="J18" s="178" t="n">
        <v>1.51</v>
      </c>
      <c r="K18" s="174" t="inlineStr">
        <is>
          <t>Graiman / Rialto</t>
        </is>
      </c>
      <c r="L18" s="179">
        <f>F18*G18</f>
        <v/>
      </c>
      <c r="M18" s="180" t="inlineStr">
        <is>
          <t>A-C30-ADH-PER-PVC</t>
        </is>
      </c>
      <c r="N18" s="174" t="inlineStr">
        <is>
          <t>Arquitectura</t>
        </is>
      </c>
      <c r="O18" s="174" t="inlineStr">
        <is>
          <t>Estimado DION · criterio de mercado Guayaquil 2026 (no verificado en tienda)</t>
        </is>
      </c>
      <c r="P18" s="174" t="inlineStr">
        <is>
          <t>oct-2026 (est.)</t>
        </is>
      </c>
      <c r="Q18" s="174" t="n">
        <v>5</v>
      </c>
    </row>
    <row r="19">
      <c r="A19" s="18" t="n">
        <v>11</v>
      </c>
      <c r="B19" s="19" t="inlineStr">
        <is>
          <t xml:space="preserve">        Perfil Junta de Dilatación de Piso Aluminio (m)</t>
        </is>
      </c>
      <c r="C19" s="20" t="inlineStr">
        <is>
          <t>Comercial / Industrial</t>
        </is>
      </c>
      <c r="D19" s="18" t="inlineStr">
        <is>
          <t>Juntas de Piso</t>
        </is>
      </c>
      <c r="E19" s="18" t="inlineStr">
        <is>
          <t>m</t>
        </is>
      </c>
      <c r="F19" s="21" t="n">
        <v>10</v>
      </c>
      <c r="G19" s="22" t="n">
        <v>9.5</v>
      </c>
      <c r="H19" s="22" t="n">
        <v>9.69</v>
      </c>
      <c r="I19" s="18" t="inlineStr">
        <is>
          <t>Kywi / Megakywi</t>
        </is>
      </c>
      <c r="J19" s="22" t="n">
        <v>10.36</v>
      </c>
      <c r="K19" s="18" t="inlineStr">
        <is>
          <t>Graiman / Rialto</t>
        </is>
      </c>
      <c r="L19" s="8">
        <f>F19*G19</f>
        <v/>
      </c>
      <c r="M19" s="145" t="inlineStr">
        <is>
          <t>A-C30-ADH-JUN-DIL</t>
        </is>
      </c>
      <c r="N19" s="18" t="inlineStr">
        <is>
          <t>Arquitectura</t>
        </is>
      </c>
      <c r="O19" s="18" t="inlineStr">
        <is>
          <t>Estimado DION · criterio de mercado Guayaquil 2026 (no verificado en tienda)</t>
        </is>
      </c>
      <c r="P19" s="18" t="inlineStr">
        <is>
          <t>oct-2026 (est.)</t>
        </is>
      </c>
      <c r="Q19" s="18" t="n">
        <v>5</v>
      </c>
    </row>
    <row r="20">
      <c r="A20" s="174" t="n">
        <v>12</v>
      </c>
      <c r="B20" s="175" t="inlineStr">
        <is>
          <t xml:space="preserve">        Nariz de Grada Aluminio Antideslizante (m)</t>
        </is>
      </c>
      <c r="C20" s="176" t="inlineStr">
        <is>
          <t>Residencial / Comercial</t>
        </is>
      </c>
      <c r="D20" s="174" t="inlineStr">
        <is>
          <t>Narices de Grada</t>
        </is>
      </c>
      <c r="E20" s="174" t="inlineStr">
        <is>
          <t>m</t>
        </is>
      </c>
      <c r="F20" s="177" t="n">
        <v>10</v>
      </c>
      <c r="G20" s="178" t="n">
        <v>6.8</v>
      </c>
      <c r="H20" s="178" t="n">
        <v>7.07</v>
      </c>
      <c r="I20" s="174" t="inlineStr">
        <is>
          <t>Kywi / Megakywi</t>
        </is>
      </c>
      <c r="J20" s="178" t="n">
        <v>7.34</v>
      </c>
      <c r="K20" s="174" t="inlineStr">
        <is>
          <t>Graiman / Rialto</t>
        </is>
      </c>
      <c r="L20" s="179">
        <f>F20*G20</f>
        <v/>
      </c>
      <c r="M20" s="180" t="inlineStr">
        <is>
          <t>A-C30-ADH-NAR-ALM</t>
        </is>
      </c>
      <c r="N20" s="174" t="inlineStr">
        <is>
          <t>Arquitectura</t>
        </is>
      </c>
      <c r="O20" s="174" t="inlineStr">
        <is>
          <t>Estimado DION · criterio de mercado Guayaquil 2026 (no verificado en tienda)</t>
        </is>
      </c>
      <c r="P20" s="174" t="inlineStr">
        <is>
          <t>oct-2026 (est.)</t>
        </is>
      </c>
      <c r="Q20" s="174" t="n">
        <v>5</v>
      </c>
    </row>
    <row r="21">
      <c r="A21" s="18" t="n">
        <v>13</v>
      </c>
      <c r="B21" s="19" t="inlineStr">
        <is>
          <t xml:space="preserve">        Sellador de Porcelanato / Piedra (Litro)</t>
        </is>
      </c>
      <c r="C21" s="20" t="inlineStr">
        <is>
          <t>Residencial / Comercial</t>
        </is>
      </c>
      <c r="D21" s="18" t="inlineStr">
        <is>
          <t>Selladores</t>
        </is>
      </c>
      <c r="E21" s="18" t="inlineStr">
        <is>
          <t>Litro</t>
        </is>
      </c>
      <c r="F21" s="21" t="n">
        <v>2</v>
      </c>
      <c r="G21" s="22" t="n">
        <v>14</v>
      </c>
      <c r="H21" s="22" t="n">
        <v>14.56</v>
      </c>
      <c r="I21" s="18" t="inlineStr">
        <is>
          <t>Kywi / Megakywi</t>
        </is>
      </c>
      <c r="J21" s="22" t="n">
        <v>15.26</v>
      </c>
      <c r="K21" s="18" t="inlineStr">
        <is>
          <t>Graiman / Rialto</t>
        </is>
      </c>
      <c r="L21" s="8">
        <f>F21*G21</f>
        <v/>
      </c>
      <c r="M21" s="145" t="inlineStr">
        <is>
          <t>A-C30-ADH-SEL</t>
        </is>
      </c>
      <c r="N21" s="18" t="inlineStr">
        <is>
          <t>Arquitectura</t>
        </is>
      </c>
      <c r="O21" s="18" t="inlineStr">
        <is>
          <t>Estimado DION · criterio de mercado Guayaquil 2026 (no verificado en tienda)</t>
        </is>
      </c>
      <c r="P21" s="18" t="inlineStr">
        <is>
          <t>oct-2026 (est.)</t>
        </is>
      </c>
      <c r="Q21" s="18" t="n">
        <v>5</v>
      </c>
    </row>
    <row r="22">
      <c r="A22" s="171" t="inlineStr">
        <is>
          <t>TUBERÍAS</t>
        </is>
      </c>
      <c r="B22" s="143" t="n"/>
      <c r="C22" s="143" t="n"/>
      <c r="D22" s="143" t="n"/>
      <c r="E22" s="143" t="n"/>
      <c r="F22" s="143" t="n"/>
      <c r="G22" s="143" t="n"/>
      <c r="H22" s="143" t="n"/>
      <c r="I22" s="143" t="n"/>
      <c r="J22" s="143" t="n"/>
      <c r="K22" s="143" t="n"/>
      <c r="L22" s="143" t="n"/>
      <c r="M22" s="143" t="n"/>
      <c r="N22" s="143" t="n"/>
      <c r="O22" s="143" t="n"/>
      <c r="P22" s="143" t="n"/>
      <c r="Q22" s="144" t="n"/>
    </row>
    <row r="23">
      <c r="A23" s="172" t="inlineStr">
        <is>
          <t xml:space="preserve">  ► CATEGORÍA: CONTRAPISOS Y MASILLADOS</t>
        </is>
      </c>
      <c r="B23" s="143" t="n"/>
      <c r="C23" s="143" t="n"/>
      <c r="D23" s="143" t="n"/>
      <c r="E23" s="143" t="n"/>
      <c r="F23" s="143" t="n"/>
      <c r="G23" s="143" t="n"/>
      <c r="H23" s="143" t="n"/>
      <c r="I23" s="143" t="n"/>
      <c r="J23" s="143" t="n"/>
      <c r="K23" s="143" t="n"/>
      <c r="L23" s="143" t="n"/>
      <c r="M23" s="143" t="n"/>
      <c r="N23" s="143" t="n"/>
      <c r="O23" s="143" t="n"/>
      <c r="P23" s="143" t="n"/>
      <c r="Q23" s="144" t="n"/>
    </row>
    <row r="24">
      <c r="A24" s="173" t="inlineStr">
        <is>
          <t xml:space="preserve">      • Subcategoría Especificada: Bases de Piso (Rubro m²)</t>
        </is>
      </c>
      <c r="B24" s="143" t="n"/>
      <c r="C24" s="143" t="n"/>
      <c r="D24" s="143" t="n"/>
      <c r="E24" s="143" t="n"/>
      <c r="F24" s="143" t="n"/>
      <c r="G24" s="143" t="n"/>
      <c r="H24" s="143" t="n"/>
      <c r="I24" s="143" t="n"/>
      <c r="J24" s="143" t="n"/>
      <c r="K24" s="143" t="n"/>
      <c r="L24" s="143" t="n"/>
      <c r="M24" s="143" t="n"/>
      <c r="N24" s="143" t="n"/>
      <c r="O24" s="143" t="n"/>
      <c r="P24" s="143" t="n"/>
      <c r="Q24" s="144" t="n"/>
    </row>
    <row r="25">
      <c r="A25" s="174" t="n">
        <v>14</v>
      </c>
      <c r="B25" s="175" t="inlineStr">
        <is>
          <t xml:space="preserve">        Contrapiso H.S. f'c=180 e=8 cm con Malla (m²)</t>
        </is>
      </c>
      <c r="C25" s="176" t="inlineStr">
        <is>
          <t>Residencial / Comercial</t>
        </is>
      </c>
      <c r="D25" s="174" t="inlineStr">
        <is>
          <t>Contrapisos</t>
        </is>
      </c>
      <c r="E25" s="174" t="inlineStr">
        <is>
          <t>m2</t>
        </is>
      </c>
      <c r="F25" s="177" t="n">
        <v>100</v>
      </c>
      <c r="G25" s="178" t="n">
        <v>16.5</v>
      </c>
      <c r="H25" s="178" t="n">
        <v>17.32</v>
      </c>
      <c r="I25" s="174" t="inlineStr">
        <is>
          <t>Kywi / Megakywi</t>
        </is>
      </c>
      <c r="J25" s="178" t="n">
        <v>17.66</v>
      </c>
      <c r="K25" s="174" t="inlineStr">
        <is>
          <t>Graiman / Rialto</t>
        </is>
      </c>
      <c r="L25" s="179">
        <f>F25*G25</f>
        <v/>
      </c>
      <c r="M25" s="180" t="inlineStr">
        <is>
          <t>S-A10-LST-080</t>
        </is>
      </c>
      <c r="N25" s="174" t="inlineStr">
        <is>
          <t>Estructuras</t>
        </is>
      </c>
      <c r="O25" s="174" t="inlineStr">
        <is>
          <t>Estimado DION · criterio de mercado Guayaquil 2026 (no verificado en tienda)</t>
        </is>
      </c>
      <c r="P25" s="174" t="inlineStr">
        <is>
          <t>oct-2026 (est.)</t>
        </is>
      </c>
      <c r="Q25" s="174" t="n"/>
    </row>
    <row r="26">
      <c r="A26" s="18" t="n">
        <v>15</v>
      </c>
      <c r="B26" s="19" t="inlineStr">
        <is>
          <t xml:space="preserve">        Masillado / Alisado de Piso e=3 cm (m²)</t>
        </is>
      </c>
      <c r="C26" s="20" t="inlineStr">
        <is>
          <t>Residencial / Comercial</t>
        </is>
      </c>
      <c r="D26" s="18" t="inlineStr">
        <is>
          <t>Masillados</t>
        </is>
      </c>
      <c r="E26" s="18" t="inlineStr">
        <is>
          <t>m2</t>
        </is>
      </c>
      <c r="F26" s="21" t="n">
        <v>100</v>
      </c>
      <c r="G26" s="22" t="n">
        <v>6.8</v>
      </c>
      <c r="H26" s="22" t="n">
        <v>7.14</v>
      </c>
      <c r="I26" s="18" t="inlineStr">
        <is>
          <t>Kywi / Megakywi</t>
        </is>
      </c>
      <c r="J26" s="22" t="n">
        <v>7.34</v>
      </c>
      <c r="K26" s="18" t="inlineStr">
        <is>
          <t>Graiman / Rialto</t>
        </is>
      </c>
      <c r="L26" s="8">
        <f>F26*G26</f>
        <v/>
      </c>
      <c r="M26" s="145" t="inlineStr">
        <is>
          <t>A-C30-CPI-MAS-030</t>
        </is>
      </c>
      <c r="N26" s="18" t="inlineStr">
        <is>
          <t>Arquitectura</t>
        </is>
      </c>
      <c r="O26" s="18" t="inlineStr">
        <is>
          <t>Estimado DION · criterio de mercado Guayaquil 2026 (no verificado en tienda)</t>
        </is>
      </c>
      <c r="P26" s="18" t="inlineStr">
        <is>
          <t>oct-2026 (est.)</t>
        </is>
      </c>
      <c r="Q26" s="18" t="n"/>
    </row>
    <row r="27">
      <c r="A27" s="174" t="n">
        <v>16</v>
      </c>
      <c r="B27" s="175" t="inlineStr">
        <is>
          <t xml:space="preserve">        Masillado Impermeabilizado e=5 cm (m²)</t>
        </is>
      </c>
      <c r="C27" s="176" t="inlineStr">
        <is>
          <t>Residencial / Comercial</t>
        </is>
      </c>
      <c r="D27" s="174" t="inlineStr">
        <is>
          <t>Masillados</t>
        </is>
      </c>
      <c r="E27" s="174" t="inlineStr">
        <is>
          <t>m2</t>
        </is>
      </c>
      <c r="F27" s="177" t="n">
        <v>50</v>
      </c>
      <c r="G27" s="178" t="n">
        <v>8.9</v>
      </c>
      <c r="H27" s="178" t="n">
        <v>9.26</v>
      </c>
      <c r="I27" s="174" t="inlineStr">
        <is>
          <t>Kywi / Megakywi</t>
        </is>
      </c>
      <c r="J27" s="178" t="n">
        <v>9.52</v>
      </c>
      <c r="K27" s="174" t="inlineStr">
        <is>
          <t>Graiman / Rialto</t>
        </is>
      </c>
      <c r="L27" s="179">
        <f>F27*G27</f>
        <v/>
      </c>
      <c r="M27" s="180" t="inlineStr">
        <is>
          <t>A-C30-CPI-MAS-050</t>
        </is>
      </c>
      <c r="N27" s="174" t="inlineStr">
        <is>
          <t>Arquitectura</t>
        </is>
      </c>
      <c r="O27" s="174" t="inlineStr">
        <is>
          <t>Estimado DION · criterio de mercado Guayaquil 2026 (no verificado en tienda)</t>
        </is>
      </c>
      <c r="P27" s="174" t="inlineStr">
        <is>
          <t>oct-2026 (est.)</t>
        </is>
      </c>
      <c r="Q27" s="174" t="n"/>
    </row>
    <row r="28">
      <c r="A28" s="18" t="n">
        <v>17</v>
      </c>
      <c r="B28" s="19" t="inlineStr">
        <is>
          <t xml:space="preserve">        Autonivelante Cementicio e=2 mm (Saco 25 kg)</t>
        </is>
      </c>
      <c r="C28" s="20" t="inlineStr">
        <is>
          <t>Comercial / Industrial</t>
        </is>
      </c>
      <c r="D28" s="18" t="inlineStr">
        <is>
          <t>Autonivelantes</t>
        </is>
      </c>
      <c r="E28" s="18" t="inlineStr">
        <is>
          <t>Saco</t>
        </is>
      </c>
      <c r="F28" s="21" t="n">
        <v>10</v>
      </c>
      <c r="G28" s="22" t="n">
        <v>19.5</v>
      </c>
      <c r="H28" s="22" t="n">
        <v>20.48</v>
      </c>
      <c r="I28" s="18" t="inlineStr">
        <is>
          <t>Kywi / Megakywi</t>
        </is>
      </c>
      <c r="J28" s="22" t="n">
        <v>21.06</v>
      </c>
      <c r="K28" s="18" t="inlineStr">
        <is>
          <t>Graiman / Rialto</t>
        </is>
      </c>
      <c r="L28" s="8">
        <f>F28*G28</f>
        <v/>
      </c>
      <c r="M28" s="145" t="inlineStr">
        <is>
          <t>A-C30-CPI-AUT-020</t>
        </is>
      </c>
      <c r="N28" s="18" t="inlineStr">
        <is>
          <t>Arquitectura</t>
        </is>
      </c>
      <c r="O28" s="18" t="inlineStr">
        <is>
          <t>Estimado DION · criterio de mercado Guayaquil 2026 (no verificado en tienda)</t>
        </is>
      </c>
      <c r="P28" s="18" t="inlineStr">
        <is>
          <t>oct-2026 (est.)</t>
        </is>
      </c>
      <c r="Q28" s="18" t="n">
        <v>5</v>
      </c>
    </row>
    <row r="29">
      <c r="A29" s="174" t="n">
        <v>18</v>
      </c>
      <c r="B29" s="175" t="inlineStr">
        <is>
          <t xml:space="preserve">        Manto Acústico Bajo Piso 5 mm (m²)</t>
        </is>
      </c>
      <c r="C29" s="176" t="inlineStr">
        <is>
          <t>Residencial / Comercial</t>
        </is>
      </c>
      <c r="D29" s="174" t="inlineStr">
        <is>
          <t>Mantos Acústicos</t>
        </is>
      </c>
      <c r="E29" s="174" t="inlineStr">
        <is>
          <t>m2</t>
        </is>
      </c>
      <c r="F29" s="177" t="n">
        <v>50</v>
      </c>
      <c r="G29" s="178" t="n">
        <v>4.5</v>
      </c>
      <c r="H29" s="178" t="n">
        <v>4.59</v>
      </c>
      <c r="I29" s="174" t="inlineStr">
        <is>
          <t>Kywi / Megakywi</t>
        </is>
      </c>
      <c r="J29" s="178" t="n">
        <v>5</v>
      </c>
      <c r="K29" s="174" t="inlineStr">
        <is>
          <t>Graiman / Rialto</t>
        </is>
      </c>
      <c r="L29" s="179">
        <f>F29*G29</f>
        <v/>
      </c>
      <c r="M29" s="180" t="inlineStr">
        <is>
          <t>A-C30-CPI-ACU-MAN</t>
        </is>
      </c>
      <c r="N29" s="174" t="inlineStr">
        <is>
          <t>Arquitectura</t>
        </is>
      </c>
      <c r="O29" s="174" t="inlineStr">
        <is>
          <t>Estimado DION · criterio de mercado Guayaquil 2026 (no verificado en tienda)</t>
        </is>
      </c>
      <c r="P29" s="174" t="inlineStr">
        <is>
          <t>oct-2026 (est.)</t>
        </is>
      </c>
      <c r="Q29" s="174" t="n">
        <v>5</v>
      </c>
    </row>
    <row r="30">
      <c r="A30" s="171" t="inlineStr">
        <is>
          <t>EQUIPOS</t>
        </is>
      </c>
      <c r="B30" s="143" t="n"/>
      <c r="C30" s="143" t="n"/>
      <c r="D30" s="143" t="n"/>
      <c r="E30" s="143" t="n"/>
      <c r="F30" s="143" t="n"/>
      <c r="G30" s="143" t="n"/>
      <c r="H30" s="143" t="n"/>
      <c r="I30" s="143" t="n"/>
      <c r="J30" s="143" t="n"/>
      <c r="K30" s="143" t="n"/>
      <c r="L30" s="143" t="n"/>
      <c r="M30" s="143" t="n"/>
      <c r="N30" s="143" t="n"/>
      <c r="O30" s="143" t="n"/>
      <c r="P30" s="143" t="n"/>
      <c r="Q30" s="144" t="n"/>
    </row>
    <row r="31">
      <c r="A31" s="172" t="inlineStr">
        <is>
          <t xml:space="preserve">  ► CATEGORÍA: HERRAMIENTA DE COLOCACIÓN</t>
        </is>
      </c>
      <c r="B31" s="143" t="n"/>
      <c r="C31" s="143" t="n"/>
      <c r="D31" s="143" t="n"/>
      <c r="E31" s="143" t="n"/>
      <c r="F31" s="143" t="n"/>
      <c r="G31" s="143" t="n"/>
      <c r="H31" s="143" t="n"/>
      <c r="I31" s="143" t="n"/>
      <c r="J31" s="143" t="n"/>
      <c r="K31" s="143" t="n"/>
      <c r="L31" s="143" t="n"/>
      <c r="M31" s="143" t="n"/>
      <c r="N31" s="143" t="n"/>
      <c r="O31" s="143" t="n"/>
      <c r="P31" s="143" t="n"/>
      <c r="Q31" s="144" t="n"/>
    </row>
    <row r="32">
      <c r="A32" s="173" t="inlineStr">
        <is>
          <t xml:space="preserve">      • Subcategoría Especificada: Cortadoras y Mezcladores</t>
        </is>
      </c>
      <c r="B32" s="143" t="n"/>
      <c r="C32" s="143" t="n"/>
      <c r="D32" s="143" t="n"/>
      <c r="E32" s="143" t="n"/>
      <c r="F32" s="143" t="n"/>
      <c r="G32" s="143" t="n"/>
      <c r="H32" s="143" t="n"/>
      <c r="I32" s="143" t="n"/>
      <c r="J32" s="143" t="n"/>
      <c r="K32" s="143" t="n"/>
      <c r="L32" s="143" t="n"/>
      <c r="M32" s="143" t="n"/>
      <c r="N32" s="143" t="n"/>
      <c r="O32" s="143" t="n"/>
      <c r="P32" s="143" t="n"/>
      <c r="Q32" s="144" t="n"/>
    </row>
    <row r="33">
      <c r="A33" s="18" t="n">
        <v>19</v>
      </c>
      <c r="B33" s="19" t="inlineStr">
        <is>
          <t xml:space="preserve">        Cortadora de Cerámica Manual 1.2 m</t>
        </is>
      </c>
      <c r="C33" s="20" t="inlineStr">
        <is>
          <t>Residencial / Comercial</t>
        </is>
      </c>
      <c r="D33" s="18" t="inlineStr">
        <is>
          <t>Cortadoras Cerámica</t>
        </is>
      </c>
      <c r="E33" s="18" t="inlineStr">
        <is>
          <t>U</t>
        </is>
      </c>
      <c r="F33" s="21" t="n">
        <v>1</v>
      </c>
      <c r="G33" s="22" t="n">
        <v>185</v>
      </c>
      <c r="H33" s="22" t="n">
        <v>190.55</v>
      </c>
      <c r="I33" s="18" t="inlineStr">
        <is>
          <t>Kywi / Megakywi</t>
        </is>
      </c>
      <c r="J33" s="22" t="n">
        <v>199.8</v>
      </c>
      <c r="K33" s="18" t="inlineStr">
        <is>
          <t>Graiman / Rialto</t>
        </is>
      </c>
      <c r="L33" s="8">
        <f>F33*G33</f>
        <v/>
      </c>
      <c r="M33" s="145" t="inlineStr">
        <is>
          <t>Z-Z10-EQH-COR-CER</t>
        </is>
      </c>
      <c r="N33" s="18" t="inlineStr">
        <is>
          <t>General / coordinación multidisciplinar</t>
        </is>
      </c>
      <c r="O33" s="18" t="inlineStr">
        <is>
          <t>Estimado DION · criterio de mercado Guayaquil 2026 (no verificado en tienda)</t>
        </is>
      </c>
      <c r="P33" s="18" t="inlineStr">
        <is>
          <t>oct-2026 (est.)</t>
        </is>
      </c>
      <c r="Q33" s="18" t="n"/>
    </row>
    <row r="34">
      <c r="A34" s="174" t="n">
        <v>20</v>
      </c>
      <c r="B34" s="175" t="inlineStr">
        <is>
          <t xml:space="preserve">        Cortadora de Porcelanato con Agua (Mesa) 10"</t>
        </is>
      </c>
      <c r="C34" s="176" t="inlineStr">
        <is>
          <t>Residencial / Comercial</t>
        </is>
      </c>
      <c r="D34" s="174" t="inlineStr">
        <is>
          <t>Cortadoras Porcelanato</t>
        </is>
      </c>
      <c r="E34" s="174" t="inlineStr">
        <is>
          <t>U</t>
        </is>
      </c>
      <c r="F34" s="177" t="n">
        <v>0</v>
      </c>
      <c r="G34" s="178" t="n">
        <v>620</v>
      </c>
      <c r="H34" s="178" t="n">
        <v>644.8</v>
      </c>
      <c r="I34" s="174" t="inlineStr">
        <is>
          <t>Kywi / Megakywi</t>
        </is>
      </c>
      <c r="J34" s="178" t="n">
        <v>675.8</v>
      </c>
      <c r="K34" s="174" t="inlineStr">
        <is>
          <t>Graiman / Rialto</t>
        </is>
      </c>
      <c r="L34" s="179">
        <f>F34*G34</f>
        <v/>
      </c>
      <c r="M34" s="180" t="inlineStr">
        <is>
          <t>Z-Z10-EQH-COR-POR</t>
        </is>
      </c>
      <c r="N34" s="174" t="inlineStr">
        <is>
          <t>General / coordinación multidisciplinar</t>
        </is>
      </c>
      <c r="O34" s="174" t="inlineStr">
        <is>
          <t>Estimado DION · criterio de mercado Guayaquil 2026 (no verificado en tienda)</t>
        </is>
      </c>
      <c r="P34" s="174" t="inlineStr">
        <is>
          <t>oct-2026 (est.)</t>
        </is>
      </c>
      <c r="Q34" s="174" t="n"/>
    </row>
    <row r="35">
      <c r="A35" s="18" t="n">
        <v>21</v>
      </c>
      <c r="B35" s="19" t="inlineStr">
        <is>
          <t xml:space="preserve">        Mezclador de Adhesivo (Taladro + Paleta) 1400W</t>
        </is>
      </c>
      <c r="C35" s="20" t="inlineStr">
        <is>
          <t>Residencial / Comercial</t>
        </is>
      </c>
      <c r="D35" s="18" t="inlineStr">
        <is>
          <t>Mezcladores</t>
        </is>
      </c>
      <c r="E35" s="18" t="inlineStr">
        <is>
          <t>U</t>
        </is>
      </c>
      <c r="F35" s="21" t="n">
        <v>1</v>
      </c>
      <c r="G35" s="22" t="n">
        <v>135</v>
      </c>
      <c r="H35" s="22" t="n">
        <v>141.75</v>
      </c>
      <c r="I35" s="18" t="inlineStr">
        <is>
          <t>Kywi / Megakywi</t>
        </is>
      </c>
      <c r="J35" s="22" t="n">
        <v>149.85</v>
      </c>
      <c r="K35" s="18" t="inlineStr">
        <is>
          <t>Graiman / Rialto</t>
        </is>
      </c>
      <c r="L35" s="8">
        <f>F35*G35</f>
        <v/>
      </c>
      <c r="M35" s="145" t="inlineStr">
        <is>
          <t>Z-Z10-EQH-MEZ</t>
        </is>
      </c>
      <c r="N35" s="18" t="inlineStr">
        <is>
          <t>General / coordinación multidisciplinar</t>
        </is>
      </c>
      <c r="O35" s="18" t="inlineStr">
        <is>
          <t>Estimado DION · criterio de mercado Guayaquil 2026 (no verificado en tienda)</t>
        </is>
      </c>
      <c r="P35" s="18" t="inlineStr">
        <is>
          <t>oct-2026 (est.)</t>
        </is>
      </c>
      <c r="Q35" s="18" t="n"/>
    </row>
    <row r="36">
      <c r="A36" s="174" t="n">
        <v>22</v>
      </c>
      <c r="B36" s="175" t="inlineStr">
        <is>
          <t xml:space="preserve">        Pulidora de Piso / Abrillantadora 17"</t>
        </is>
      </c>
      <c r="C36" s="176" t="inlineStr">
        <is>
          <t>Comercial / Industrial</t>
        </is>
      </c>
      <c r="D36" s="174" t="inlineStr">
        <is>
          <t>Pulidoras</t>
        </is>
      </c>
      <c r="E36" s="174" t="inlineStr">
        <is>
          <t>U</t>
        </is>
      </c>
      <c r="F36" s="177" t="n">
        <v>0</v>
      </c>
      <c r="G36" s="178" t="n">
        <v>1450</v>
      </c>
      <c r="H36" s="178" t="n">
        <v>1508</v>
      </c>
      <c r="I36" s="174" t="inlineStr">
        <is>
          <t>Kywi / Megakywi</t>
        </is>
      </c>
      <c r="J36" s="178" t="n">
        <v>1551.5</v>
      </c>
      <c r="K36" s="174" t="inlineStr">
        <is>
          <t>Graiman / Rialto</t>
        </is>
      </c>
      <c r="L36" s="179">
        <f>F36*G36</f>
        <v/>
      </c>
      <c r="M36" s="180" t="inlineStr">
        <is>
          <t>Z-Z10-EQH-PUL-PIS</t>
        </is>
      </c>
      <c r="N36" s="174" t="inlineStr">
        <is>
          <t>General / coordinación multidisciplinar</t>
        </is>
      </c>
      <c r="O36" s="174" t="inlineStr">
        <is>
          <t>Estimado DION · criterio de mercado Guayaquil 2026 (no verificado en tienda)</t>
        </is>
      </c>
      <c r="P36" s="174" t="inlineStr">
        <is>
          <t>oct-2026 (est.)</t>
        </is>
      </c>
      <c r="Q36" s="174" t="n"/>
    </row>
    <row r="37">
      <c r="A37" s="171" t="inlineStr">
        <is>
          <t>CONEXIONES</t>
        </is>
      </c>
      <c r="B37" s="143" t="n"/>
      <c r="C37" s="143" t="n"/>
      <c r="D37" s="143" t="n"/>
      <c r="E37" s="143" t="n"/>
      <c r="F37" s="143" t="n"/>
      <c r="G37" s="143" t="n"/>
      <c r="H37" s="143" t="n"/>
      <c r="I37" s="143" t="n"/>
      <c r="J37" s="143" t="n"/>
      <c r="K37" s="143" t="n"/>
      <c r="L37" s="143" t="n"/>
      <c r="M37" s="143" t="n"/>
      <c r="N37" s="143" t="n"/>
      <c r="O37" s="143" t="n"/>
      <c r="P37" s="143" t="n"/>
      <c r="Q37" s="144" t="n"/>
    </row>
    <row r="38">
      <c r="A38" s="172" t="inlineStr">
        <is>
          <t xml:space="preserve">  ► CATEGORÍA: ZÓCALOS Y BARREDERAS</t>
        </is>
      </c>
      <c r="B38" s="143" t="n"/>
      <c r="C38" s="143" t="n"/>
      <c r="D38" s="143" t="n"/>
      <c r="E38" s="143" t="n"/>
      <c r="F38" s="143" t="n"/>
      <c r="G38" s="143" t="n"/>
      <c r="H38" s="143" t="n"/>
      <c r="I38" s="143" t="n"/>
      <c r="J38" s="143" t="n"/>
      <c r="K38" s="143" t="n"/>
      <c r="L38" s="143" t="n"/>
      <c r="M38" s="143" t="n"/>
      <c r="N38" s="143" t="n"/>
      <c r="O38" s="143" t="n"/>
      <c r="P38" s="143" t="n"/>
      <c r="Q38" s="144" t="n"/>
    </row>
    <row r="39">
      <c r="A39" s="173" t="inlineStr">
        <is>
          <t xml:space="preserve">      • Subcategoría Especificada: Zócalos por Material (m)</t>
        </is>
      </c>
      <c r="B39" s="143" t="n"/>
      <c r="C39" s="143" t="n"/>
      <c r="D39" s="143" t="n"/>
      <c r="E39" s="143" t="n"/>
      <c r="F39" s="143" t="n"/>
      <c r="G39" s="143" t="n"/>
      <c r="H39" s="143" t="n"/>
      <c r="I39" s="143" t="n"/>
      <c r="J39" s="143" t="n"/>
      <c r="K39" s="143" t="n"/>
      <c r="L39" s="143" t="n"/>
      <c r="M39" s="143" t="n"/>
      <c r="N39" s="143" t="n"/>
      <c r="O39" s="143" t="n"/>
      <c r="P39" s="143" t="n"/>
      <c r="Q39" s="144" t="n"/>
    </row>
    <row r="40">
      <c r="A40" s="18" t="n">
        <v>23</v>
      </c>
      <c r="B40" s="19" t="inlineStr">
        <is>
          <t xml:space="preserve">        Barredera de Porcelanato 10 cm (m)</t>
        </is>
      </c>
      <c r="C40" s="20" t="inlineStr">
        <is>
          <t>Residencial / Comercial</t>
        </is>
      </c>
      <c r="D40" s="18" t="inlineStr">
        <is>
          <t>Barrederas</t>
        </is>
      </c>
      <c r="E40" s="18" t="inlineStr">
        <is>
          <t>m</t>
        </is>
      </c>
      <c r="F40" s="21" t="n">
        <v>50</v>
      </c>
      <c r="G40" s="22" t="n">
        <v>3.6</v>
      </c>
      <c r="H40" s="22" t="n">
        <v>3.67</v>
      </c>
      <c r="I40" s="18" t="inlineStr">
        <is>
          <t>Kywi / Megakywi</t>
        </is>
      </c>
      <c r="J40" s="22" t="n">
        <v>3.92</v>
      </c>
      <c r="K40" s="18" t="inlineStr">
        <is>
          <t>Graiman / Rialto</t>
        </is>
      </c>
      <c r="L40" s="8">
        <f>F40*G40</f>
        <v/>
      </c>
      <c r="M40" s="145" t="inlineStr">
        <is>
          <t>A-C10-ZOC-POR-100</t>
        </is>
      </c>
      <c r="N40" s="18" t="inlineStr">
        <is>
          <t>Arquitectura</t>
        </is>
      </c>
      <c r="O40" s="18" t="inlineStr">
        <is>
          <t>Estimado DION · criterio de mercado Guayaquil 2026 (no verificado en tienda)</t>
        </is>
      </c>
      <c r="P40" s="18" t="inlineStr">
        <is>
          <t>oct-2026 (est.)</t>
        </is>
      </c>
      <c r="Q40" s="18" t="n">
        <v>8</v>
      </c>
    </row>
    <row r="41">
      <c r="A41" s="174" t="n">
        <v>24</v>
      </c>
      <c r="B41" s="175" t="inlineStr">
        <is>
          <t xml:space="preserve">        Barredera de Cerámica 8 cm (m)</t>
        </is>
      </c>
      <c r="C41" s="176" t="inlineStr">
        <is>
          <t>Residencial / Comercial</t>
        </is>
      </c>
      <c r="D41" s="174" t="inlineStr">
        <is>
          <t>Barrederas</t>
        </is>
      </c>
      <c r="E41" s="174" t="inlineStr">
        <is>
          <t>m</t>
        </is>
      </c>
      <c r="F41" s="177" t="n">
        <v>50</v>
      </c>
      <c r="G41" s="178" t="n">
        <v>2.4</v>
      </c>
      <c r="H41" s="178" t="n">
        <v>2.5</v>
      </c>
      <c r="I41" s="174" t="inlineStr">
        <is>
          <t>Kywi / Megakywi</t>
        </is>
      </c>
      <c r="J41" s="178" t="n">
        <v>2.59</v>
      </c>
      <c r="K41" s="174" t="inlineStr">
        <is>
          <t>Graiman / Rialto</t>
        </is>
      </c>
      <c r="L41" s="179">
        <f>F41*G41</f>
        <v/>
      </c>
      <c r="M41" s="180" t="inlineStr">
        <is>
          <t>A-C10-ZOC-CER-080</t>
        </is>
      </c>
      <c r="N41" s="174" t="inlineStr">
        <is>
          <t>Arquitectura</t>
        </is>
      </c>
      <c r="O41" s="174" t="inlineStr">
        <is>
          <t>Estimado DION · criterio de mercado Guayaquil 2026 (no verificado en tienda)</t>
        </is>
      </c>
      <c r="P41" s="174" t="inlineStr">
        <is>
          <t>oct-2026 (est.)</t>
        </is>
      </c>
      <c r="Q41" s="174" t="n">
        <v>8</v>
      </c>
    </row>
    <row r="42">
      <c r="A42" s="18" t="n">
        <v>25</v>
      </c>
      <c r="B42" s="19" t="inlineStr">
        <is>
          <t xml:space="preserve">        Barredera de Madera / MDF Lacado 7 cm (m)</t>
        </is>
      </c>
      <c r="C42" s="20" t="inlineStr">
        <is>
          <t>Residencial / Comercial</t>
        </is>
      </c>
      <c r="D42" s="18" t="inlineStr">
        <is>
          <t>Barrederas</t>
        </is>
      </c>
      <c r="E42" s="18" t="inlineStr">
        <is>
          <t>m</t>
        </is>
      </c>
      <c r="F42" s="21" t="n">
        <v>50</v>
      </c>
      <c r="G42" s="22" t="n">
        <v>3.2</v>
      </c>
      <c r="H42" s="22" t="n">
        <v>3.36</v>
      </c>
      <c r="I42" s="18" t="inlineStr">
        <is>
          <t>Kywi / Megakywi</t>
        </is>
      </c>
      <c r="J42" s="22" t="n">
        <v>3.52</v>
      </c>
      <c r="K42" s="18" t="inlineStr">
        <is>
          <t>Graiman / Rialto</t>
        </is>
      </c>
      <c r="L42" s="8">
        <f>F42*G42</f>
        <v/>
      </c>
      <c r="M42" s="145" t="inlineStr">
        <is>
          <t>A-C10-ZOC-MAD-070</t>
        </is>
      </c>
      <c r="N42" s="18" t="inlineStr">
        <is>
          <t>Arquitectura</t>
        </is>
      </c>
      <c r="O42" s="18" t="inlineStr">
        <is>
          <t>Estimado DION · criterio de mercado Guayaquil 2026 (no verificado en tienda)</t>
        </is>
      </c>
      <c r="P42" s="18" t="inlineStr">
        <is>
          <t>oct-2026 (est.)</t>
        </is>
      </c>
      <c r="Q42" s="18" t="n">
        <v>8</v>
      </c>
    </row>
    <row r="43">
      <c r="A43" s="174" t="n">
        <v>26</v>
      </c>
      <c r="B43" s="175" t="inlineStr">
        <is>
          <t xml:space="preserve">        Barredera PVC Flexible 7 cm (m)</t>
        </is>
      </c>
      <c r="C43" s="176" t="inlineStr">
        <is>
          <t>Residencial / Comercial</t>
        </is>
      </c>
      <c r="D43" s="174" t="inlineStr">
        <is>
          <t>Barrederas</t>
        </is>
      </c>
      <c r="E43" s="174" t="inlineStr">
        <is>
          <t>m</t>
        </is>
      </c>
      <c r="F43" s="177" t="n">
        <v>50</v>
      </c>
      <c r="G43" s="178" t="n">
        <v>1.9</v>
      </c>
      <c r="H43" s="178" t="n">
        <v>1.99</v>
      </c>
      <c r="I43" s="174" t="inlineStr">
        <is>
          <t>Kywi / Megakywi</t>
        </is>
      </c>
      <c r="J43" s="178" t="n">
        <v>2.05</v>
      </c>
      <c r="K43" s="174" t="inlineStr">
        <is>
          <t>Graiman / Rialto</t>
        </is>
      </c>
      <c r="L43" s="179">
        <f>F43*G43</f>
        <v/>
      </c>
      <c r="M43" s="180" t="inlineStr">
        <is>
          <t>A-C10-ZOC-PVC-070</t>
        </is>
      </c>
      <c r="N43" s="174" t="inlineStr">
        <is>
          <t>Arquitectura</t>
        </is>
      </c>
      <c r="O43" s="174" t="inlineStr">
        <is>
          <t>Estimado DION · criterio de mercado Guayaquil 2026 (no verificado en tienda)</t>
        </is>
      </c>
      <c r="P43" s="174" t="inlineStr">
        <is>
          <t>oct-2026 (est.)</t>
        </is>
      </c>
      <c r="Q43" s="174" t="n">
        <v>5</v>
      </c>
    </row>
    <row r="44">
      <c r="A44" s="18" t="n">
        <v>27</v>
      </c>
      <c r="B44" s="19" t="inlineStr">
        <is>
          <t xml:space="preserve">        Barredera de Aluminio 6 cm (m)</t>
        </is>
      </c>
      <c r="C44" s="20" t="inlineStr">
        <is>
          <t>Comercial</t>
        </is>
      </c>
      <c r="D44" s="18" t="inlineStr">
        <is>
          <t>Barrederas</t>
        </is>
      </c>
      <c r="E44" s="18" t="inlineStr">
        <is>
          <t>m</t>
        </is>
      </c>
      <c r="F44" s="21" t="n">
        <v>30</v>
      </c>
      <c r="G44" s="22" t="n">
        <v>4.5</v>
      </c>
      <c r="H44" s="22" t="n">
        <v>4.68</v>
      </c>
      <c r="I44" s="18" t="inlineStr">
        <is>
          <t>Kywi / Megakywi</t>
        </is>
      </c>
      <c r="J44" s="22" t="n">
        <v>4.95</v>
      </c>
      <c r="K44" s="18" t="inlineStr">
        <is>
          <t>Graiman / Rialto</t>
        </is>
      </c>
      <c r="L44" s="8">
        <f>F44*G44</f>
        <v/>
      </c>
      <c r="M44" s="145" t="inlineStr">
        <is>
          <t>A-C10-ZOC-ALM-060</t>
        </is>
      </c>
      <c r="N44" s="18" t="inlineStr">
        <is>
          <t>Arquitectura</t>
        </is>
      </c>
      <c r="O44" s="18" t="inlineStr">
        <is>
          <t>Estimado DION · criterio de mercado Guayaquil 2026 (no verificado en tienda)</t>
        </is>
      </c>
      <c r="P44" s="18" t="inlineStr">
        <is>
          <t>oct-2026 (est.)</t>
        </is>
      </c>
      <c r="Q44" s="18" t="n">
        <v>5</v>
      </c>
    </row>
    <row r="45">
      <c r="A45" s="174" t="n">
        <v>28</v>
      </c>
      <c r="B45" s="175" t="inlineStr">
        <is>
          <t xml:space="preserve">        Media Caña Sanitaria Vinílica (m)</t>
        </is>
      </c>
      <c r="C45" s="176" t="inlineStr">
        <is>
          <t>Hospitalario</t>
        </is>
      </c>
      <c r="D45" s="174" t="inlineStr">
        <is>
          <t>Medias Cañas</t>
        </is>
      </c>
      <c r="E45" s="174" t="inlineStr">
        <is>
          <t>m</t>
        </is>
      </c>
      <c r="F45" s="177" t="n">
        <v>50</v>
      </c>
      <c r="G45" s="178" t="n">
        <v>6.5</v>
      </c>
      <c r="H45" s="178" t="n">
        <v>6.76</v>
      </c>
      <c r="I45" s="174" t="inlineStr">
        <is>
          <t>Kywi / Megakywi</t>
        </is>
      </c>
      <c r="J45" s="178" t="n">
        <v>7.09</v>
      </c>
      <c r="K45" s="174" t="inlineStr">
        <is>
          <t>Graiman / Rialto</t>
        </is>
      </c>
      <c r="L45" s="179">
        <f>F45*G45</f>
        <v/>
      </c>
      <c r="M45" s="180" t="inlineStr">
        <is>
          <t>A-C10-ZOC-VIN-SAN</t>
        </is>
      </c>
      <c r="N45" s="174" t="inlineStr">
        <is>
          <t>Arquitectura</t>
        </is>
      </c>
      <c r="O45" s="174" t="inlineStr">
        <is>
          <t>Estimado DION · criterio de mercado Guayaquil 2026 (no verificado en tienda)</t>
        </is>
      </c>
      <c r="P45" s="174" t="inlineStr">
        <is>
          <t>oct-2026 (est.)</t>
        </is>
      </c>
      <c r="Q45" s="174" t="n">
        <v>5</v>
      </c>
    </row>
    <row r="46">
      <c r="A46" s="18" t="n">
        <v>29</v>
      </c>
      <c r="B46" s="19" t="inlineStr">
        <is>
          <t xml:space="preserve">        Media Caña Sanitaria Epóxica (m)</t>
        </is>
      </c>
      <c r="C46" s="20" t="inlineStr">
        <is>
          <t>Hospitalario / Industrial</t>
        </is>
      </c>
      <c r="D46" s="18" t="inlineStr">
        <is>
          <t>Medias Cañas</t>
        </is>
      </c>
      <c r="E46" s="18" t="inlineStr">
        <is>
          <t>m</t>
        </is>
      </c>
      <c r="F46" s="21" t="n">
        <v>30</v>
      </c>
      <c r="G46" s="22" t="n">
        <v>9.5</v>
      </c>
      <c r="H46" s="22" t="n">
        <v>9.789999999999999</v>
      </c>
      <c r="I46" s="18" t="inlineStr">
        <is>
          <t>Kywi / Megakywi</t>
        </is>
      </c>
      <c r="J46" s="22" t="n">
        <v>10.36</v>
      </c>
      <c r="K46" s="18" t="inlineStr">
        <is>
          <t>Graiman / Rialto</t>
        </is>
      </c>
      <c r="L46" s="8">
        <f>F46*G46</f>
        <v/>
      </c>
      <c r="M46" s="145" t="inlineStr">
        <is>
          <t>A-C10-ZOC-EPX-SAN</t>
        </is>
      </c>
      <c r="N46" s="18" t="inlineStr">
        <is>
          <t>Arquitectura</t>
        </is>
      </c>
      <c r="O46" s="18" t="inlineStr">
        <is>
          <t>Estimado DION · criterio de mercado Guayaquil 2026 (no verificado en tienda)</t>
        </is>
      </c>
      <c r="P46" s="18" t="inlineStr">
        <is>
          <t>oct-2026 (est.)</t>
        </is>
      </c>
      <c r="Q46" s="18" t="n">
        <v>5</v>
      </c>
    </row>
    <row r="47">
      <c r="A47" s="174" t="n">
        <v>30</v>
      </c>
      <c r="B47" s="175" t="inlineStr">
        <is>
          <t xml:space="preserve">        Barredera de Mármol 10 cm (m)</t>
        </is>
      </c>
      <c r="C47" s="176" t="inlineStr">
        <is>
          <t>Comercial</t>
        </is>
      </c>
      <c r="D47" s="174" t="inlineStr">
        <is>
          <t>Barrederas</t>
        </is>
      </c>
      <c r="E47" s="174" t="inlineStr">
        <is>
          <t>m</t>
        </is>
      </c>
      <c r="F47" s="177" t="n">
        <v>20</v>
      </c>
      <c r="G47" s="178" t="n">
        <v>9.5</v>
      </c>
      <c r="H47" s="178" t="n">
        <v>9.69</v>
      </c>
      <c r="I47" s="174" t="inlineStr">
        <is>
          <t>Kywi / Megakywi</t>
        </is>
      </c>
      <c r="J47" s="178" t="n">
        <v>10.17</v>
      </c>
      <c r="K47" s="174" t="inlineStr">
        <is>
          <t>Graiman / Rialto</t>
        </is>
      </c>
      <c r="L47" s="179">
        <f>F47*G47</f>
        <v/>
      </c>
      <c r="M47" s="180" t="inlineStr">
        <is>
          <t>A-C10-ZOC-MRM-100</t>
        </is>
      </c>
      <c r="N47" s="174" t="inlineStr">
        <is>
          <t>Arquitectura</t>
        </is>
      </c>
      <c r="O47" s="174" t="inlineStr">
        <is>
          <t>Estimado DION · criterio de mercado Guayaquil 2026 (no verificado en tienda)</t>
        </is>
      </c>
      <c r="P47" s="174" t="inlineStr">
        <is>
          <t>oct-2026 (est.)</t>
        </is>
      </c>
      <c r="Q47" s="174" t="n">
        <v>8</v>
      </c>
    </row>
    <row r="48">
      <c r="A48" s="18" t="n">
        <v>31</v>
      </c>
      <c r="B48" s="19" t="inlineStr">
        <is>
          <t xml:space="preserve">        Barredera de Granito 10 cm (m)</t>
        </is>
      </c>
      <c r="C48" s="20" t="inlineStr">
        <is>
          <t>Comercial</t>
        </is>
      </c>
      <c r="D48" s="18" t="inlineStr">
        <is>
          <t>Barrederas</t>
        </is>
      </c>
      <c r="E48" s="18" t="inlineStr">
        <is>
          <t>m</t>
        </is>
      </c>
      <c r="F48" s="21" t="n">
        <v>20</v>
      </c>
      <c r="G48" s="22" t="n">
        <v>11</v>
      </c>
      <c r="H48" s="22" t="n">
        <v>11.33</v>
      </c>
      <c r="I48" s="18" t="inlineStr">
        <is>
          <t>Kywi / Megakywi</t>
        </is>
      </c>
      <c r="J48" s="22" t="n">
        <v>12.21</v>
      </c>
      <c r="K48" s="18" t="inlineStr">
        <is>
          <t>Graiman / Rialto</t>
        </is>
      </c>
      <c r="L48" s="8">
        <f>F48*G48</f>
        <v/>
      </c>
      <c r="M48" s="145" t="inlineStr">
        <is>
          <t>A-C10-ZOC-GRN-100</t>
        </is>
      </c>
      <c r="N48" s="18" t="inlineStr">
        <is>
          <t>Arquitectura</t>
        </is>
      </c>
      <c r="O48" s="18" t="inlineStr">
        <is>
          <t>Estimado DION · criterio de mercado Guayaquil 2026 (no verificado en tienda)</t>
        </is>
      </c>
      <c r="P48" s="18" t="inlineStr">
        <is>
          <t>oct-2026 (est.)</t>
        </is>
      </c>
      <c r="Q48" s="18" t="n">
        <v>8</v>
      </c>
    </row>
    <row r="49">
      <c r="A49" s="171" t="inlineStr">
        <is>
          <t>EQUIPOS ESPECIALIZADOS</t>
        </is>
      </c>
      <c r="B49" s="143" t="n"/>
      <c r="C49" s="143" t="n"/>
      <c r="D49" s="143" t="n"/>
      <c r="E49" s="143" t="n"/>
      <c r="F49" s="143" t="n"/>
      <c r="G49" s="143" t="n"/>
      <c r="H49" s="143" t="n"/>
      <c r="I49" s="143" t="n"/>
      <c r="J49" s="143" t="n"/>
      <c r="K49" s="143" t="n"/>
      <c r="L49" s="143" t="n"/>
      <c r="M49" s="143" t="n"/>
      <c r="N49" s="143" t="n"/>
      <c r="O49" s="143" t="n"/>
      <c r="P49" s="143" t="n"/>
      <c r="Q49" s="144" t="n"/>
    </row>
    <row r="50">
      <c r="A50" s="172" t="inlineStr">
        <is>
          <t xml:space="preserve">  ► CATEGORÍA: PISOS CERÁMICOS Y PORCELANATOS</t>
        </is>
      </c>
      <c r="B50" s="143" t="n"/>
      <c r="C50" s="143" t="n"/>
      <c r="D50" s="143" t="n"/>
      <c r="E50" s="143" t="n"/>
      <c r="F50" s="143" t="n"/>
      <c r="G50" s="143" t="n"/>
      <c r="H50" s="143" t="n"/>
      <c r="I50" s="143" t="n"/>
      <c r="J50" s="143" t="n"/>
      <c r="K50" s="143" t="n"/>
      <c r="L50" s="143" t="n"/>
      <c r="M50" s="143" t="n"/>
      <c r="N50" s="143" t="n"/>
      <c r="O50" s="143" t="n"/>
      <c r="P50" s="143" t="n"/>
      <c r="Q50" s="144" t="n"/>
    </row>
    <row r="51">
      <c r="A51" s="173" t="inlineStr">
        <is>
          <t xml:space="preserve">      • Subcategoría Especificada: Formatos Comerciales (Material m²)</t>
        </is>
      </c>
      <c r="B51" s="143" t="n"/>
      <c r="C51" s="143" t="n"/>
      <c r="D51" s="143" t="n"/>
      <c r="E51" s="143" t="n"/>
      <c r="F51" s="143" t="n"/>
      <c r="G51" s="143" t="n"/>
      <c r="H51" s="143" t="n"/>
      <c r="I51" s="143" t="n"/>
      <c r="J51" s="143" t="n"/>
      <c r="K51" s="143" t="n"/>
      <c r="L51" s="143" t="n"/>
      <c r="M51" s="143" t="n"/>
      <c r="N51" s="143" t="n"/>
      <c r="O51" s="143" t="n"/>
      <c r="P51" s="143" t="n"/>
      <c r="Q51" s="144" t="n"/>
    </row>
    <row r="52">
      <c r="A52" s="174" t="n">
        <v>32</v>
      </c>
      <c r="B52" s="175" t="inlineStr">
        <is>
          <t xml:space="preserve">        Porcelanato 60x60 cm Rectificado Mate (m²)</t>
        </is>
      </c>
      <c r="C52" s="176" t="inlineStr">
        <is>
          <t>Residencial / Comercial</t>
        </is>
      </c>
      <c r="D52" s="174" t="inlineStr">
        <is>
          <t>Pisos Cerámicos</t>
        </is>
      </c>
      <c r="E52" s="174" t="inlineStr">
        <is>
          <t>m2</t>
        </is>
      </c>
      <c r="F52" s="177" t="n">
        <v>50</v>
      </c>
      <c r="G52" s="178" t="n">
        <v>18.5</v>
      </c>
      <c r="H52" s="178" t="n">
        <v>19.05</v>
      </c>
      <c r="I52" s="174" t="inlineStr">
        <is>
          <t>Kywi / Megakywi</t>
        </is>
      </c>
      <c r="J52" s="178" t="n">
        <v>19.98</v>
      </c>
      <c r="K52" s="174" t="inlineStr">
        <is>
          <t>Graiman / Rialto</t>
        </is>
      </c>
      <c r="L52" s="179">
        <f>F52*G52</f>
        <v/>
      </c>
      <c r="M52" s="180" t="inlineStr">
        <is>
          <t>A-C30-PIS-POR-60X60</t>
        </is>
      </c>
      <c r="N52" s="174" t="inlineStr">
        <is>
          <t>Arquitectura</t>
        </is>
      </c>
      <c r="O52" s="174" t="inlineStr">
        <is>
          <t>Estimado DION · criterio de mercado Guayaquil 2026 (no verificado en tienda)</t>
        </is>
      </c>
      <c r="P52" s="174" t="inlineStr">
        <is>
          <t>oct-2026 (est.)</t>
        </is>
      </c>
      <c r="Q52" s="174" t="n">
        <v>8</v>
      </c>
    </row>
    <row r="53">
      <c r="A53" s="18" t="n">
        <v>33</v>
      </c>
      <c r="B53" s="19" t="inlineStr">
        <is>
          <t xml:space="preserve">        Porcelanato 60x120 cm Rectificado (m²)</t>
        </is>
      </c>
      <c r="C53" s="20" t="inlineStr">
        <is>
          <t>Residencial / Comercial</t>
        </is>
      </c>
      <c r="D53" s="18" t="inlineStr">
        <is>
          <t>Pisos Cerámicos</t>
        </is>
      </c>
      <c r="E53" s="18" t="inlineStr">
        <is>
          <t>m2</t>
        </is>
      </c>
      <c r="F53" s="21" t="n">
        <v>50</v>
      </c>
      <c r="G53" s="22" t="n">
        <v>27</v>
      </c>
      <c r="H53" s="22" t="n">
        <v>27.54</v>
      </c>
      <c r="I53" s="18" t="inlineStr">
        <is>
          <t>Kywi / Megakywi</t>
        </is>
      </c>
      <c r="J53" s="22" t="n">
        <v>29.97</v>
      </c>
      <c r="K53" s="18" t="inlineStr">
        <is>
          <t>Graiman / Rialto</t>
        </is>
      </c>
      <c r="L53" s="8">
        <f>F53*G53</f>
        <v/>
      </c>
      <c r="M53" s="145" t="inlineStr">
        <is>
          <t>A-C30-PIS-POR-60X120</t>
        </is>
      </c>
      <c r="N53" s="18" t="inlineStr">
        <is>
          <t>Arquitectura</t>
        </is>
      </c>
      <c r="O53" s="18" t="inlineStr">
        <is>
          <t>Estimado DION · criterio de mercado Guayaquil 2026 (no verificado en tienda)</t>
        </is>
      </c>
      <c r="P53" s="18" t="inlineStr">
        <is>
          <t>oct-2026 (est.)</t>
        </is>
      </c>
      <c r="Q53" s="18" t="n">
        <v>8</v>
      </c>
    </row>
    <row r="54">
      <c r="A54" s="174" t="n">
        <v>34</v>
      </c>
      <c r="B54" s="175" t="inlineStr">
        <is>
          <t xml:space="preserve">        Porcelanato 80x80 cm Pulido (m²)</t>
        </is>
      </c>
      <c r="C54" s="176" t="inlineStr">
        <is>
          <t>Residencial / Comercial</t>
        </is>
      </c>
      <c r="D54" s="174" t="inlineStr">
        <is>
          <t>Pisos Cerámicos</t>
        </is>
      </c>
      <c r="E54" s="174" t="inlineStr">
        <is>
          <t>m2</t>
        </is>
      </c>
      <c r="F54" s="177" t="n">
        <v>50</v>
      </c>
      <c r="G54" s="178" t="n">
        <v>26</v>
      </c>
      <c r="H54" s="178" t="n">
        <v>26.78</v>
      </c>
      <c r="I54" s="174" t="inlineStr">
        <is>
          <t>Kywi / Megakywi</t>
        </is>
      </c>
      <c r="J54" s="178" t="n">
        <v>28.34</v>
      </c>
      <c r="K54" s="174" t="inlineStr">
        <is>
          <t>Graiman / Rialto</t>
        </is>
      </c>
      <c r="L54" s="179">
        <f>F54*G54</f>
        <v/>
      </c>
      <c r="M54" s="180" t="inlineStr">
        <is>
          <t>A-C30-PIS-POR-80X80</t>
        </is>
      </c>
      <c r="N54" s="174" t="inlineStr">
        <is>
          <t>Arquitectura</t>
        </is>
      </c>
      <c r="O54" s="174" t="inlineStr">
        <is>
          <t>Estimado DION · criterio de mercado Guayaquil 2026 (no verificado en tienda)</t>
        </is>
      </c>
      <c r="P54" s="174" t="inlineStr">
        <is>
          <t>oct-2026 (est.)</t>
        </is>
      </c>
      <c r="Q54" s="174" t="n">
        <v>8</v>
      </c>
    </row>
    <row r="55">
      <c r="A55" s="18" t="n">
        <v>35</v>
      </c>
      <c r="B55" s="19" t="inlineStr">
        <is>
          <t xml:space="preserve">        Porcelanato Tipo Madera 20x120 cm (m²)</t>
        </is>
      </c>
      <c r="C55" s="20" t="inlineStr">
        <is>
          <t>Residencial / Comercial</t>
        </is>
      </c>
      <c r="D55" s="18" t="inlineStr">
        <is>
          <t>Pisos Cerámicos</t>
        </is>
      </c>
      <c r="E55" s="18" t="inlineStr">
        <is>
          <t>m2</t>
        </is>
      </c>
      <c r="F55" s="21" t="n">
        <v>50</v>
      </c>
      <c r="G55" s="22" t="n">
        <v>22</v>
      </c>
      <c r="H55" s="22" t="n">
        <v>22.66</v>
      </c>
      <c r="I55" s="18" t="inlineStr">
        <is>
          <t>Kywi / Megakywi</t>
        </is>
      </c>
      <c r="J55" s="22" t="n">
        <v>23.54</v>
      </c>
      <c r="K55" s="18" t="inlineStr">
        <is>
          <t>Graiman / Rialto</t>
        </is>
      </c>
      <c r="L55" s="8">
        <f>F55*G55</f>
        <v/>
      </c>
      <c r="M55" s="145" t="inlineStr">
        <is>
          <t>A-C30-PIS-POR-20X120</t>
        </is>
      </c>
      <c r="N55" s="18" t="inlineStr">
        <is>
          <t>Arquitectura</t>
        </is>
      </c>
      <c r="O55" s="18" t="inlineStr">
        <is>
          <t>Estimado DION · criterio de mercado Guayaquil 2026 (no verificado en tienda)</t>
        </is>
      </c>
      <c r="P55" s="18" t="inlineStr">
        <is>
          <t>oct-2026 (est.)</t>
        </is>
      </c>
      <c r="Q55" s="18" t="n">
        <v>8</v>
      </c>
    </row>
    <row r="56">
      <c r="A56" s="174" t="n">
        <v>36</v>
      </c>
      <c r="B56" s="175" t="inlineStr">
        <is>
          <t xml:space="preserve">        Porcelanato 45x90 cm (m²)</t>
        </is>
      </c>
      <c r="C56" s="176" t="inlineStr">
        <is>
          <t>Residencial / Comercial</t>
        </is>
      </c>
      <c r="D56" s="174" t="inlineStr">
        <is>
          <t>Pisos Cerámicos</t>
        </is>
      </c>
      <c r="E56" s="174" t="inlineStr">
        <is>
          <t>m2</t>
        </is>
      </c>
      <c r="F56" s="177" t="n">
        <v>50</v>
      </c>
      <c r="G56" s="178" t="n">
        <v>21</v>
      </c>
      <c r="H56" s="178" t="n">
        <v>21.42</v>
      </c>
      <c r="I56" s="174" t="inlineStr">
        <is>
          <t>Kywi / Megakywi</t>
        </is>
      </c>
      <c r="J56" s="178" t="n">
        <v>23.1</v>
      </c>
      <c r="K56" s="174" t="inlineStr">
        <is>
          <t>Graiman / Rialto</t>
        </is>
      </c>
      <c r="L56" s="179">
        <f>F56*G56</f>
        <v/>
      </c>
      <c r="M56" s="180" t="inlineStr">
        <is>
          <t>A-C30-PIS-POR-45X90</t>
        </is>
      </c>
      <c r="N56" s="174" t="inlineStr">
        <is>
          <t>Arquitectura</t>
        </is>
      </c>
      <c r="O56" s="174" t="inlineStr">
        <is>
          <t>Estimado DION · criterio de mercado Guayaquil 2026 (no verificado en tienda)</t>
        </is>
      </c>
      <c r="P56" s="174" t="inlineStr">
        <is>
          <t>oct-2026 (est.)</t>
        </is>
      </c>
      <c r="Q56" s="174" t="n">
        <v>8</v>
      </c>
    </row>
    <row r="57">
      <c r="A57" s="18" t="n">
        <v>37</v>
      </c>
      <c r="B57" s="19" t="inlineStr">
        <is>
          <t xml:space="preserve">        Porcelanato Gran Formato 120x120 cm (m²)</t>
        </is>
      </c>
      <c r="C57" s="20" t="inlineStr">
        <is>
          <t>Residencial / Comercial</t>
        </is>
      </c>
      <c r="D57" s="18" t="inlineStr">
        <is>
          <t>Pisos Cerámicos</t>
        </is>
      </c>
      <c r="E57" s="18" t="inlineStr">
        <is>
          <t>m2</t>
        </is>
      </c>
      <c r="F57" s="21" t="n">
        <v>50</v>
      </c>
      <c r="G57" s="22" t="n">
        <v>42</v>
      </c>
      <c r="H57" s="22" t="n">
        <v>43.26</v>
      </c>
      <c r="I57" s="18" t="inlineStr">
        <is>
          <t>Kywi / Megakywi</t>
        </is>
      </c>
      <c r="J57" s="22" t="n">
        <v>45.36</v>
      </c>
      <c r="K57" s="18" t="inlineStr">
        <is>
          <t>Graiman / Rialto</t>
        </is>
      </c>
      <c r="L57" s="8">
        <f>F57*G57</f>
        <v/>
      </c>
      <c r="M57" s="145" t="inlineStr">
        <is>
          <t>A-C30-PIS-POR-120X120</t>
        </is>
      </c>
      <c r="N57" s="18" t="inlineStr">
        <is>
          <t>Arquitectura</t>
        </is>
      </c>
      <c r="O57" s="18" t="inlineStr">
        <is>
          <t>Estimado DION · criterio de mercado Guayaquil 2026 (no verificado en tienda)</t>
        </is>
      </c>
      <c r="P57" s="18" t="inlineStr">
        <is>
          <t>oct-2026 (est.)</t>
        </is>
      </c>
      <c r="Q57" s="18" t="n">
        <v>8</v>
      </c>
    </row>
    <row r="58">
      <c r="A58" s="174" t="n">
        <v>38</v>
      </c>
      <c r="B58" s="175" t="inlineStr">
        <is>
          <t xml:space="preserve">        Cerámica de Piso 30x30 cm (m²)</t>
        </is>
      </c>
      <c r="C58" s="176" t="inlineStr">
        <is>
          <t>Residencial / Comercial</t>
        </is>
      </c>
      <c r="D58" s="174" t="inlineStr">
        <is>
          <t>Pisos Cerámicos</t>
        </is>
      </c>
      <c r="E58" s="174" t="inlineStr">
        <is>
          <t>m2</t>
        </is>
      </c>
      <c r="F58" s="177" t="n">
        <v>50</v>
      </c>
      <c r="G58" s="178" t="n">
        <v>8.5</v>
      </c>
      <c r="H58" s="178" t="n">
        <v>8.76</v>
      </c>
      <c r="I58" s="174" t="inlineStr">
        <is>
          <t>Kywi / Megakywi</t>
        </is>
      </c>
      <c r="J58" s="178" t="n">
        <v>9.35</v>
      </c>
      <c r="K58" s="174" t="inlineStr">
        <is>
          <t>Graiman / Rialto</t>
        </is>
      </c>
      <c r="L58" s="179">
        <f>F58*G58</f>
        <v/>
      </c>
      <c r="M58" s="180" t="inlineStr">
        <is>
          <t>A-C30-PIS-CER-30X30</t>
        </is>
      </c>
      <c r="N58" s="174" t="inlineStr">
        <is>
          <t>Arquitectura</t>
        </is>
      </c>
      <c r="O58" s="174" t="inlineStr">
        <is>
          <t>Estimado DION · criterio de mercado Guayaquil 2026 (no verificado en tienda)</t>
        </is>
      </c>
      <c r="P58" s="174" t="inlineStr">
        <is>
          <t>oct-2026 (est.)</t>
        </is>
      </c>
      <c r="Q58" s="174" t="n">
        <v>8</v>
      </c>
    </row>
    <row r="59">
      <c r="A59" s="18" t="n">
        <v>39</v>
      </c>
      <c r="B59" s="19" t="inlineStr">
        <is>
          <t xml:space="preserve">        Cerámica de Piso 33x33 cm (m²)</t>
        </is>
      </c>
      <c r="C59" s="20" t="inlineStr">
        <is>
          <t>Residencial / Comercial</t>
        </is>
      </c>
      <c r="D59" s="18" t="inlineStr">
        <is>
          <t>Pisos Cerámicos</t>
        </is>
      </c>
      <c r="E59" s="18" t="inlineStr">
        <is>
          <t>m2</t>
        </is>
      </c>
      <c r="F59" s="21" t="n">
        <v>50</v>
      </c>
      <c r="G59" s="22" t="n">
        <v>8.9</v>
      </c>
      <c r="H59" s="22" t="n">
        <v>9.35</v>
      </c>
      <c r="I59" s="18" t="inlineStr">
        <is>
          <t>Kywi / Megakywi</t>
        </is>
      </c>
      <c r="J59" s="22" t="n">
        <v>9.699999999999999</v>
      </c>
      <c r="K59" s="18" t="inlineStr">
        <is>
          <t>Graiman / Rialto</t>
        </is>
      </c>
      <c r="L59" s="8">
        <f>F59*G59</f>
        <v/>
      </c>
      <c r="M59" s="145" t="inlineStr">
        <is>
          <t>A-C30-PIS-CER-33X33</t>
        </is>
      </c>
      <c r="N59" s="18" t="inlineStr">
        <is>
          <t>Arquitectura</t>
        </is>
      </c>
      <c r="O59" s="18" t="inlineStr">
        <is>
          <t>Estimado DION · criterio de mercado Guayaquil 2026 (no verificado en tienda)</t>
        </is>
      </c>
      <c r="P59" s="18" t="inlineStr">
        <is>
          <t>oct-2026 (est.)</t>
        </is>
      </c>
      <c r="Q59" s="18" t="n">
        <v>8</v>
      </c>
    </row>
    <row r="60">
      <c r="A60" s="174" t="n">
        <v>40</v>
      </c>
      <c r="B60" s="175" t="inlineStr">
        <is>
          <t xml:space="preserve">        Cerámica de Piso 45x45 cm (m²)</t>
        </is>
      </c>
      <c r="C60" s="176" t="inlineStr">
        <is>
          <t>Residencial / Comercial</t>
        </is>
      </c>
      <c r="D60" s="174" t="inlineStr">
        <is>
          <t>Pisos Cerámicos</t>
        </is>
      </c>
      <c r="E60" s="174" t="inlineStr">
        <is>
          <t>m2</t>
        </is>
      </c>
      <c r="F60" s="177" t="n">
        <v>50</v>
      </c>
      <c r="G60" s="178" t="n">
        <v>10.5</v>
      </c>
      <c r="H60" s="178" t="n">
        <v>10.81</v>
      </c>
      <c r="I60" s="174" t="inlineStr">
        <is>
          <t>Kywi / Megakywi</t>
        </is>
      </c>
      <c r="J60" s="178" t="n">
        <v>11.24</v>
      </c>
      <c r="K60" s="174" t="inlineStr">
        <is>
          <t>Graiman / Rialto</t>
        </is>
      </c>
      <c r="L60" s="179">
        <f>F60*G60</f>
        <v/>
      </c>
      <c r="M60" s="180" t="inlineStr">
        <is>
          <t>A-C30-PIS-CER-45X45</t>
        </is>
      </c>
      <c r="N60" s="174" t="inlineStr">
        <is>
          <t>Arquitectura</t>
        </is>
      </c>
      <c r="O60" s="174" t="inlineStr">
        <is>
          <t>Estimado DION · criterio de mercado Guayaquil 2026 (no verificado en tienda)</t>
        </is>
      </c>
      <c r="P60" s="174" t="inlineStr">
        <is>
          <t>oct-2026 (est.)</t>
        </is>
      </c>
      <c r="Q60" s="174" t="n">
        <v>8</v>
      </c>
    </row>
    <row r="61">
      <c r="A61" s="18" t="n">
        <v>41</v>
      </c>
      <c r="B61" s="19" t="inlineStr">
        <is>
          <t xml:space="preserve">        Cerámica de Piso 50x50 cm (m²)</t>
        </is>
      </c>
      <c r="C61" s="20" t="inlineStr">
        <is>
          <t>Residencial / Comercial</t>
        </is>
      </c>
      <c r="D61" s="18" t="inlineStr">
        <is>
          <t>Pisos Cerámicos</t>
        </is>
      </c>
      <c r="E61" s="18" t="inlineStr">
        <is>
          <t>m2</t>
        </is>
      </c>
      <c r="F61" s="21" t="n">
        <v>50</v>
      </c>
      <c r="G61" s="22" t="n">
        <v>11.5</v>
      </c>
      <c r="H61" s="22" t="n">
        <v>11.73</v>
      </c>
      <c r="I61" s="18" t="inlineStr">
        <is>
          <t>Kywi / Megakywi</t>
        </is>
      </c>
      <c r="J61" s="22" t="n">
        <v>12.31</v>
      </c>
      <c r="K61" s="18" t="inlineStr">
        <is>
          <t>Graiman / Rialto</t>
        </is>
      </c>
      <c r="L61" s="8">
        <f>F61*G61</f>
        <v/>
      </c>
      <c r="M61" s="145" t="inlineStr">
        <is>
          <t>A-C30-PIS-CER-50X50</t>
        </is>
      </c>
      <c r="N61" s="18" t="inlineStr">
        <is>
          <t>Arquitectura</t>
        </is>
      </c>
      <c r="O61" s="18" t="inlineStr">
        <is>
          <t>Estimado DION · criterio de mercado Guayaquil 2026 (no verificado en tienda)</t>
        </is>
      </c>
      <c r="P61" s="18" t="inlineStr">
        <is>
          <t>oct-2026 (est.)</t>
        </is>
      </c>
      <c r="Q61" s="18" t="n">
        <v>8</v>
      </c>
    </row>
    <row r="62">
      <c r="A62" s="174" t="n">
        <v>42</v>
      </c>
      <c r="B62" s="175" t="inlineStr">
        <is>
          <t xml:space="preserve">        Cerámica de Piso 60x60 cm (m²)</t>
        </is>
      </c>
      <c r="C62" s="176" t="inlineStr">
        <is>
          <t>Residencial / Comercial</t>
        </is>
      </c>
      <c r="D62" s="174" t="inlineStr">
        <is>
          <t>Pisos Cerámicos</t>
        </is>
      </c>
      <c r="E62" s="174" t="inlineStr">
        <is>
          <t>m2</t>
        </is>
      </c>
      <c r="F62" s="177" t="n">
        <v>50</v>
      </c>
      <c r="G62" s="178" t="n">
        <v>12.9</v>
      </c>
      <c r="H62" s="178" t="n">
        <v>13.16</v>
      </c>
      <c r="I62" s="174" t="inlineStr">
        <is>
          <t>Kywi / Megakywi</t>
        </is>
      </c>
      <c r="J62" s="178" t="n">
        <v>13.8</v>
      </c>
      <c r="K62" s="174" t="inlineStr">
        <is>
          <t>Graiman / Rialto</t>
        </is>
      </c>
      <c r="L62" s="179">
        <f>F62*G62</f>
        <v/>
      </c>
      <c r="M62" s="180" t="inlineStr">
        <is>
          <t>A-C30-PIS-CER-60X60</t>
        </is>
      </c>
      <c r="N62" s="174" t="inlineStr">
        <is>
          <t>Arquitectura</t>
        </is>
      </c>
      <c r="O62" s="174" t="inlineStr">
        <is>
          <t>Estimado DION · criterio de mercado Guayaquil 2026 (no verificado en tienda)</t>
        </is>
      </c>
      <c r="P62" s="174" t="inlineStr">
        <is>
          <t>oct-2026 (est.)</t>
        </is>
      </c>
      <c r="Q62" s="174" t="n">
        <v>8</v>
      </c>
    </row>
    <row r="63">
      <c r="A63" s="18" t="n">
        <v>43</v>
      </c>
      <c r="B63" s="19" t="inlineStr">
        <is>
          <t xml:space="preserve">        Cerámica Antideslizante Exterior 30x30 (m²)</t>
        </is>
      </c>
      <c r="C63" s="20" t="inlineStr">
        <is>
          <t>Residencial / Comercial</t>
        </is>
      </c>
      <c r="D63" s="18" t="inlineStr">
        <is>
          <t>Pisos Cerámicos</t>
        </is>
      </c>
      <c r="E63" s="18" t="inlineStr">
        <is>
          <t>m2</t>
        </is>
      </c>
      <c r="F63" s="21" t="n">
        <v>50</v>
      </c>
      <c r="G63" s="22" t="n">
        <v>10.5</v>
      </c>
      <c r="H63" s="22" t="n">
        <v>11.03</v>
      </c>
      <c r="I63" s="18" t="inlineStr">
        <is>
          <t>Kywi / Megakywi</t>
        </is>
      </c>
      <c r="J63" s="22" t="n">
        <v>11.24</v>
      </c>
      <c r="K63" s="18" t="inlineStr">
        <is>
          <t>Graiman / Rialto</t>
        </is>
      </c>
      <c r="L63" s="8">
        <f>F63*G63</f>
        <v/>
      </c>
      <c r="M63" s="145" t="inlineStr">
        <is>
          <t>A-C30-PIS-CER-ANT-30X30</t>
        </is>
      </c>
      <c r="N63" s="18" t="inlineStr">
        <is>
          <t>Arquitectura</t>
        </is>
      </c>
      <c r="O63" s="18" t="inlineStr">
        <is>
          <t>Estimado DION · criterio de mercado Guayaquil 2026 (no verificado en tienda)</t>
        </is>
      </c>
      <c r="P63" s="18" t="inlineStr">
        <is>
          <t>oct-2026 (est.)</t>
        </is>
      </c>
      <c r="Q63" s="18" t="n">
        <v>8</v>
      </c>
    </row>
    <row r="64">
      <c r="A64" s="172" t="inlineStr">
        <is>
          <t xml:space="preserve">  ► CATEGORÍA: PISOS ESPECIALES</t>
        </is>
      </c>
      <c r="B64" s="143" t="n"/>
      <c r="C64" s="143" t="n"/>
      <c r="D64" s="143" t="n"/>
      <c r="E64" s="143" t="n"/>
      <c r="F64" s="143" t="n"/>
      <c r="G64" s="143" t="n"/>
      <c r="H64" s="143" t="n"/>
      <c r="I64" s="143" t="n"/>
      <c r="J64" s="143" t="n"/>
      <c r="K64" s="143" t="n"/>
      <c r="L64" s="143" t="n"/>
      <c r="M64" s="143" t="n"/>
      <c r="N64" s="143" t="n"/>
      <c r="O64" s="143" t="n"/>
      <c r="P64" s="143" t="n"/>
      <c r="Q64" s="144" t="n"/>
    </row>
    <row r="65">
      <c r="A65" s="173" t="inlineStr">
        <is>
          <t xml:space="preserve">      • Subcategoría Especificada: Vinílicos, Laminados, Madera, Epóxicos, Pétreos y Deportivos</t>
        </is>
      </c>
      <c r="B65" s="143" t="n"/>
      <c r="C65" s="143" t="n"/>
      <c r="D65" s="143" t="n"/>
      <c r="E65" s="143" t="n"/>
      <c r="F65" s="143" t="n"/>
      <c r="G65" s="143" t="n"/>
      <c r="H65" s="143" t="n"/>
      <c r="I65" s="143" t="n"/>
      <c r="J65" s="143" t="n"/>
      <c r="K65" s="143" t="n"/>
      <c r="L65" s="143" t="n"/>
      <c r="M65" s="143" t="n"/>
      <c r="N65" s="143" t="n"/>
      <c r="O65" s="143" t="n"/>
      <c r="P65" s="143" t="n"/>
      <c r="Q65" s="144" t="n"/>
    </row>
    <row r="66">
      <c r="A66" s="174" t="n">
        <v>44</v>
      </c>
      <c r="B66" s="175" t="inlineStr">
        <is>
          <t xml:space="preserve">        Piso Vinílico Heterogéneo Rollo 2 mm (m²)</t>
        </is>
      </c>
      <c r="C66" s="176" t="inlineStr">
        <is>
          <t>Hospitalario / Comercial</t>
        </is>
      </c>
      <c r="D66" s="174" t="inlineStr">
        <is>
          <t>Pisos Vinílicos</t>
        </is>
      </c>
      <c r="E66" s="174" t="inlineStr">
        <is>
          <t>m2</t>
        </is>
      </c>
      <c r="F66" s="177" t="n">
        <v>30</v>
      </c>
      <c r="G66" s="178" t="n">
        <v>22</v>
      </c>
      <c r="H66" s="178" t="n">
        <v>23.1</v>
      </c>
      <c r="I66" s="174" t="inlineStr">
        <is>
          <t>Kywi / Megakywi</t>
        </is>
      </c>
      <c r="J66" s="178" t="n">
        <v>23.54</v>
      </c>
      <c r="K66" s="174" t="inlineStr">
        <is>
          <t>Graiman / Rialto</t>
        </is>
      </c>
      <c r="L66" s="179">
        <f>F66*G66</f>
        <v/>
      </c>
      <c r="M66" s="180" t="inlineStr">
        <is>
          <t>A-C30-PIS-VIN-200</t>
        </is>
      </c>
      <c r="N66" s="174" t="inlineStr">
        <is>
          <t>Arquitectura</t>
        </is>
      </c>
      <c r="O66" s="174" t="inlineStr">
        <is>
          <t>Estimado DION · criterio de mercado Guayaquil 2026 (no verificado en tienda)</t>
        </is>
      </c>
      <c r="P66" s="174" t="inlineStr">
        <is>
          <t>oct-2026 (est.)</t>
        </is>
      </c>
      <c r="Q66" s="174" t="n">
        <v>5</v>
      </c>
    </row>
    <row r="67">
      <c r="A67" s="18" t="n">
        <v>45</v>
      </c>
      <c r="B67" s="19" t="inlineStr">
        <is>
          <t xml:space="preserve">        Piso Vinílico Conductivo / Antiestático (m²)</t>
        </is>
      </c>
      <c r="C67" s="20" t="inlineStr">
        <is>
          <t>Hospitalario</t>
        </is>
      </c>
      <c r="D67" s="18" t="inlineStr">
        <is>
          <t>Pisos Vinílicos</t>
        </is>
      </c>
      <c r="E67" s="18" t="inlineStr">
        <is>
          <t>m2</t>
        </is>
      </c>
      <c r="F67" s="21" t="n">
        <v>30</v>
      </c>
      <c r="G67" s="22" t="n">
        <v>48</v>
      </c>
      <c r="H67" s="22" t="n">
        <v>49.44</v>
      </c>
      <c r="I67" s="18" t="inlineStr">
        <is>
          <t>Kywi / Megakywi</t>
        </is>
      </c>
      <c r="J67" s="22" t="n">
        <v>53.28</v>
      </c>
      <c r="K67" s="18" t="inlineStr">
        <is>
          <t>Graiman / Rialto</t>
        </is>
      </c>
      <c r="L67" s="8">
        <f>F67*G67</f>
        <v/>
      </c>
      <c r="M67" s="145" t="inlineStr">
        <is>
          <t>A-C30-PIS-VIN-CON</t>
        </is>
      </c>
      <c r="N67" s="18" t="inlineStr">
        <is>
          <t>Arquitectura</t>
        </is>
      </c>
      <c r="O67" s="18" t="inlineStr">
        <is>
          <t>Estimado DION · criterio de mercado Guayaquil 2026 (no verificado en tienda)</t>
        </is>
      </c>
      <c r="P67" s="18" t="inlineStr">
        <is>
          <t>oct-2026 (est.)</t>
        </is>
      </c>
      <c r="Q67" s="18" t="n">
        <v>5</v>
      </c>
    </row>
    <row r="68">
      <c r="A68" s="174" t="n">
        <v>46</v>
      </c>
      <c r="B68" s="175" t="inlineStr">
        <is>
          <t xml:space="preserve">        Piso Vinílico SPC/LVT Click 5 mm (m²)</t>
        </is>
      </c>
      <c r="C68" s="176" t="inlineStr">
        <is>
          <t>Residencial / Comercial</t>
        </is>
      </c>
      <c r="D68" s="174" t="inlineStr">
        <is>
          <t>Pisos Vinílicos</t>
        </is>
      </c>
      <c r="E68" s="174" t="inlineStr">
        <is>
          <t>m2</t>
        </is>
      </c>
      <c r="F68" s="177" t="n">
        <v>30</v>
      </c>
      <c r="G68" s="178" t="n">
        <v>19.5</v>
      </c>
      <c r="H68" s="178" t="n">
        <v>20.28</v>
      </c>
      <c r="I68" s="174" t="inlineStr">
        <is>
          <t>Kywi / Megakywi</t>
        </is>
      </c>
      <c r="J68" s="178" t="n">
        <v>20.87</v>
      </c>
      <c r="K68" s="174" t="inlineStr">
        <is>
          <t>Graiman / Rialto</t>
        </is>
      </c>
      <c r="L68" s="179">
        <f>F68*G68</f>
        <v/>
      </c>
      <c r="M68" s="180" t="inlineStr">
        <is>
          <t>A-C30-PIS-LVT-005</t>
        </is>
      </c>
      <c r="N68" s="174" t="inlineStr">
        <is>
          <t>Arquitectura</t>
        </is>
      </c>
      <c r="O68" s="174" t="inlineStr">
        <is>
          <t>Estimado DION · criterio de mercado Guayaquil 2026 (no verificado en tienda)</t>
        </is>
      </c>
      <c r="P68" s="174" t="inlineStr">
        <is>
          <t>oct-2026 (est.)</t>
        </is>
      </c>
      <c r="Q68" s="174" t="n">
        <v>5</v>
      </c>
    </row>
    <row r="69">
      <c r="A69" s="18" t="n">
        <v>47</v>
      </c>
      <c r="B69" s="19" t="inlineStr">
        <is>
          <t xml:space="preserve">        Piso Laminado AC4 8 mm (m²)</t>
        </is>
      </c>
      <c r="C69" s="20" t="inlineStr">
        <is>
          <t>Residencial / Comercial</t>
        </is>
      </c>
      <c r="D69" s="18" t="inlineStr">
        <is>
          <t>Pisos Laminados</t>
        </is>
      </c>
      <c r="E69" s="18" t="inlineStr">
        <is>
          <t>m2</t>
        </is>
      </c>
      <c r="F69" s="21" t="n">
        <v>30</v>
      </c>
      <c r="G69" s="22" t="n">
        <v>13.5</v>
      </c>
      <c r="H69" s="22" t="n">
        <v>14.04</v>
      </c>
      <c r="I69" s="18" t="inlineStr">
        <is>
          <t>Kywi / Megakywi</t>
        </is>
      </c>
      <c r="J69" s="22" t="n">
        <v>14.45</v>
      </c>
      <c r="K69" s="18" t="inlineStr">
        <is>
          <t>Graiman / Rialto</t>
        </is>
      </c>
      <c r="L69" s="8">
        <f>F69*G69</f>
        <v/>
      </c>
      <c r="M69" s="145" t="inlineStr">
        <is>
          <t>A-C30-PIS-LAM-008</t>
        </is>
      </c>
      <c r="N69" s="18" t="inlineStr">
        <is>
          <t>Arquitectura</t>
        </is>
      </c>
      <c r="O69" s="18" t="inlineStr">
        <is>
          <t>Estimado DION · criterio de mercado Guayaquil 2026 (no verificado en tienda)</t>
        </is>
      </c>
      <c r="P69" s="18" t="inlineStr">
        <is>
          <t>oct-2026 (est.)</t>
        </is>
      </c>
      <c r="Q69" s="18" t="n">
        <v>7</v>
      </c>
    </row>
    <row r="70">
      <c r="A70" s="174" t="n">
        <v>48</v>
      </c>
      <c r="B70" s="175" t="inlineStr">
        <is>
          <t xml:space="preserve">        Piso Laminado AC5 12 mm (m²)</t>
        </is>
      </c>
      <c r="C70" s="176" t="inlineStr">
        <is>
          <t>Residencial / Comercial</t>
        </is>
      </c>
      <c r="D70" s="174" t="inlineStr">
        <is>
          <t>Pisos Laminados</t>
        </is>
      </c>
      <c r="E70" s="174" t="inlineStr">
        <is>
          <t>m2</t>
        </is>
      </c>
      <c r="F70" s="177" t="n">
        <v>30</v>
      </c>
      <c r="G70" s="178" t="n">
        <v>18.5</v>
      </c>
      <c r="H70" s="178" t="n">
        <v>19.24</v>
      </c>
      <c r="I70" s="174" t="inlineStr">
        <is>
          <t>Kywi / Megakywi</t>
        </is>
      </c>
      <c r="J70" s="178" t="n">
        <v>20.17</v>
      </c>
      <c r="K70" s="174" t="inlineStr">
        <is>
          <t>Graiman / Rialto</t>
        </is>
      </c>
      <c r="L70" s="179">
        <f>F70*G70</f>
        <v/>
      </c>
      <c r="M70" s="180" t="inlineStr">
        <is>
          <t>A-C30-PIS-LAM-012</t>
        </is>
      </c>
      <c r="N70" s="174" t="inlineStr">
        <is>
          <t>Arquitectura</t>
        </is>
      </c>
      <c r="O70" s="174" t="inlineStr">
        <is>
          <t>Estimado DION · criterio de mercado Guayaquil 2026 (no verificado en tienda)</t>
        </is>
      </c>
      <c r="P70" s="174" t="inlineStr">
        <is>
          <t>oct-2026 (est.)</t>
        </is>
      </c>
      <c r="Q70" s="174" t="n">
        <v>7</v>
      </c>
    </row>
    <row r="71">
      <c r="A71" s="18" t="n">
        <v>49</v>
      </c>
      <c r="B71" s="19" t="inlineStr">
        <is>
          <t xml:space="preserve">        Piso de Madera de Ingeniería (m²)</t>
        </is>
      </c>
      <c r="C71" s="20" t="inlineStr">
        <is>
          <t>Residencial / Comercial</t>
        </is>
      </c>
      <c r="D71" s="18" t="inlineStr">
        <is>
          <t>Pisos Madera</t>
        </is>
      </c>
      <c r="E71" s="18" t="inlineStr">
        <is>
          <t>m2</t>
        </is>
      </c>
      <c r="F71" s="21" t="n">
        <v>30</v>
      </c>
      <c r="G71" s="22" t="n">
        <v>42</v>
      </c>
      <c r="H71" s="22" t="n">
        <v>42.84</v>
      </c>
      <c r="I71" s="18" t="inlineStr">
        <is>
          <t>Kywi / Megakywi</t>
        </is>
      </c>
      <c r="J71" s="22" t="n">
        <v>46.62</v>
      </c>
      <c r="K71" s="18" t="inlineStr">
        <is>
          <t>Graiman / Rialto</t>
        </is>
      </c>
      <c r="L71" s="8">
        <f>F71*G71</f>
        <v/>
      </c>
      <c r="M71" s="145" t="inlineStr">
        <is>
          <t>A-C30-PIS-MAD-ING</t>
        </is>
      </c>
      <c r="N71" s="18" t="inlineStr">
        <is>
          <t>Arquitectura</t>
        </is>
      </c>
      <c r="O71" s="18" t="inlineStr">
        <is>
          <t>Estimado DION · criterio de mercado Guayaquil 2026 (no verificado en tienda)</t>
        </is>
      </c>
      <c r="P71" s="18" t="inlineStr">
        <is>
          <t>oct-2026 (est.)</t>
        </is>
      </c>
      <c r="Q71" s="18" t="n">
        <v>8</v>
      </c>
    </row>
    <row r="72">
      <c r="A72" s="174" t="n">
        <v>50</v>
      </c>
      <c r="B72" s="175" t="inlineStr">
        <is>
          <t xml:space="preserve">        Duela de Madera Maciza Teca/Chanul (m²)</t>
        </is>
      </c>
      <c r="C72" s="176" t="inlineStr">
        <is>
          <t>Residencial / Comercial</t>
        </is>
      </c>
      <c r="D72" s="174" t="inlineStr">
        <is>
          <t>Pisos Madera</t>
        </is>
      </c>
      <c r="E72" s="174" t="inlineStr">
        <is>
          <t>m2</t>
        </is>
      </c>
      <c r="F72" s="177" t="n">
        <v>30</v>
      </c>
      <c r="G72" s="178" t="n">
        <v>48</v>
      </c>
      <c r="H72" s="178" t="n">
        <v>50.4</v>
      </c>
      <c r="I72" s="174" t="inlineStr">
        <is>
          <t>Kywi / Megakywi</t>
        </is>
      </c>
      <c r="J72" s="178" t="n">
        <v>52.8</v>
      </c>
      <c r="K72" s="174" t="inlineStr">
        <is>
          <t>Graiman / Rialto</t>
        </is>
      </c>
      <c r="L72" s="179">
        <f>F72*G72</f>
        <v/>
      </c>
      <c r="M72" s="180" t="inlineStr">
        <is>
          <t>A-C30-PIS-MAD-DUE</t>
        </is>
      </c>
      <c r="N72" s="174" t="inlineStr">
        <is>
          <t>Arquitectura</t>
        </is>
      </c>
      <c r="O72" s="174" t="inlineStr">
        <is>
          <t>Estimado DION · criterio de mercado Guayaquil 2026 (no verificado en tienda)</t>
        </is>
      </c>
      <c r="P72" s="174" t="inlineStr">
        <is>
          <t>oct-2026 (est.)</t>
        </is>
      </c>
      <c r="Q72" s="174" t="n">
        <v>10</v>
      </c>
    </row>
    <row r="73">
      <c r="A73" s="18" t="n">
        <v>51</v>
      </c>
      <c r="B73" s="19" t="inlineStr">
        <is>
          <t xml:space="preserve">        Piso Epóxico Autonivelante 2 mm (m², aplicado)</t>
        </is>
      </c>
      <c r="C73" s="20" t="inlineStr">
        <is>
          <t>Comercial / Industrial</t>
        </is>
      </c>
      <c r="D73" s="18" t="inlineStr">
        <is>
          <t>Pisos Epóxicos</t>
        </is>
      </c>
      <c r="E73" s="18" t="inlineStr">
        <is>
          <t>m2</t>
        </is>
      </c>
      <c r="F73" s="21" t="n">
        <v>30</v>
      </c>
      <c r="G73" s="22" t="n">
        <v>24</v>
      </c>
      <c r="H73" s="22" t="n">
        <v>25.2</v>
      </c>
      <c r="I73" s="18" t="inlineStr">
        <is>
          <t>Kywi / Megakywi</t>
        </is>
      </c>
      <c r="J73" s="22" t="n">
        <v>26.64</v>
      </c>
      <c r="K73" s="18" t="inlineStr">
        <is>
          <t>Graiman / Rialto</t>
        </is>
      </c>
      <c r="L73" s="8">
        <f>F73*G73</f>
        <v/>
      </c>
      <c r="M73" s="145" t="inlineStr">
        <is>
          <t>A-C30-PIS-EPX-002</t>
        </is>
      </c>
      <c r="N73" s="18" t="inlineStr">
        <is>
          <t>Arquitectura</t>
        </is>
      </c>
      <c r="O73" s="18" t="inlineStr">
        <is>
          <t>Estimado DION · criterio de mercado Guayaquil 2026 (no verificado en tienda)</t>
        </is>
      </c>
      <c r="P73" s="18" t="inlineStr">
        <is>
          <t>oct-2026 (est.)</t>
        </is>
      </c>
      <c r="Q73" s="18" t="n"/>
    </row>
    <row r="74">
      <c r="A74" s="174" t="n">
        <v>52</v>
      </c>
      <c r="B74" s="175" t="inlineStr">
        <is>
          <t xml:space="preserve">        Piso Epóxico 3 mm Antideslizante (m², aplicado)</t>
        </is>
      </c>
      <c r="C74" s="176" t="inlineStr">
        <is>
          <t>Comercial / Industrial</t>
        </is>
      </c>
      <c r="D74" s="174" t="inlineStr">
        <is>
          <t>Pisos Epóxicos</t>
        </is>
      </c>
      <c r="E74" s="174" t="inlineStr">
        <is>
          <t>m2</t>
        </is>
      </c>
      <c r="F74" s="177" t="n">
        <v>30</v>
      </c>
      <c r="G74" s="178" t="n">
        <v>32</v>
      </c>
      <c r="H74" s="178" t="n">
        <v>32.96</v>
      </c>
      <c r="I74" s="174" t="inlineStr">
        <is>
          <t>Kywi / Megakywi</t>
        </is>
      </c>
      <c r="J74" s="178" t="n">
        <v>35.2</v>
      </c>
      <c r="K74" s="174" t="inlineStr">
        <is>
          <t>Graiman / Rialto</t>
        </is>
      </c>
      <c r="L74" s="179">
        <f>F74*G74</f>
        <v/>
      </c>
      <c r="M74" s="180" t="inlineStr">
        <is>
          <t>A-C30-PIS-EPX-003</t>
        </is>
      </c>
      <c r="N74" s="174" t="inlineStr">
        <is>
          <t>Arquitectura</t>
        </is>
      </c>
      <c r="O74" s="174" t="inlineStr">
        <is>
          <t>Estimado DION · criterio de mercado Guayaquil 2026 (no verificado en tienda)</t>
        </is>
      </c>
      <c r="P74" s="174" t="inlineStr">
        <is>
          <t>oct-2026 (est.)</t>
        </is>
      </c>
      <c r="Q74" s="174" t="n"/>
    </row>
    <row r="75">
      <c r="A75" s="18" t="n">
        <v>53</v>
      </c>
      <c r="B75" s="19" t="inlineStr">
        <is>
          <t xml:space="preserve">        Piso Poliuretano-Cemento Industrial (m², aplicado)</t>
        </is>
      </c>
      <c r="C75" s="20" t="inlineStr">
        <is>
          <t>Industrial / Alimentos</t>
        </is>
      </c>
      <c r="D75" s="18" t="inlineStr">
        <is>
          <t>Pisos Industriales</t>
        </is>
      </c>
      <c r="E75" s="18" t="inlineStr">
        <is>
          <t>m2</t>
        </is>
      </c>
      <c r="F75" s="21" t="n">
        <v>30</v>
      </c>
      <c r="G75" s="22" t="n">
        <v>48</v>
      </c>
      <c r="H75" s="22" t="n">
        <v>50.4</v>
      </c>
      <c r="I75" s="18" t="inlineStr">
        <is>
          <t>Kywi / Megakywi</t>
        </is>
      </c>
      <c r="J75" s="22" t="n">
        <v>51.84</v>
      </c>
      <c r="K75" s="18" t="inlineStr">
        <is>
          <t>Graiman / Rialto</t>
        </is>
      </c>
      <c r="L75" s="8">
        <f>F75*G75</f>
        <v/>
      </c>
      <c r="M75" s="145" t="inlineStr">
        <is>
          <t>A-C30-PIS-PUR-CEM</t>
        </is>
      </c>
      <c r="N75" s="18" t="inlineStr">
        <is>
          <t>Arquitectura</t>
        </is>
      </c>
      <c r="O75" s="18" t="inlineStr">
        <is>
          <t>Estimado DION · criterio de mercado Guayaquil 2026 (no verificado en tienda)</t>
        </is>
      </c>
      <c r="P75" s="18" t="inlineStr">
        <is>
          <t>oct-2026 (est.)</t>
        </is>
      </c>
      <c r="Q75" s="18" t="n"/>
    </row>
    <row r="76">
      <c r="A76" s="174" t="n">
        <v>54</v>
      </c>
      <c r="B76" s="175" t="inlineStr">
        <is>
          <t xml:space="preserve">        Microcemento de Piso 3 mm (m², aplicado)</t>
        </is>
      </c>
      <c r="C76" s="176" t="inlineStr">
        <is>
          <t>Residencial / Comercial</t>
        </is>
      </c>
      <c r="D76" s="174" t="inlineStr">
        <is>
          <t>Microcemento</t>
        </is>
      </c>
      <c r="E76" s="174" t="inlineStr">
        <is>
          <t>m2</t>
        </is>
      </c>
      <c r="F76" s="177" t="n">
        <v>30</v>
      </c>
      <c r="G76" s="178" t="n">
        <v>32</v>
      </c>
      <c r="H76" s="178" t="n">
        <v>33.28</v>
      </c>
      <c r="I76" s="174" t="inlineStr">
        <is>
          <t>Kywi / Megakywi</t>
        </is>
      </c>
      <c r="J76" s="178" t="n">
        <v>34.88</v>
      </c>
      <c r="K76" s="174" t="inlineStr">
        <is>
          <t>Graiman / Rialto</t>
        </is>
      </c>
      <c r="L76" s="179">
        <f>F76*G76</f>
        <v/>
      </c>
      <c r="M76" s="180" t="inlineStr">
        <is>
          <t>A-C30-PIS-MCR-003</t>
        </is>
      </c>
      <c r="N76" s="174" t="inlineStr">
        <is>
          <t>Arquitectura</t>
        </is>
      </c>
      <c r="O76" s="174" t="inlineStr">
        <is>
          <t>Estimado DION · criterio de mercado Guayaquil 2026 (no verificado en tienda)</t>
        </is>
      </c>
      <c r="P76" s="174" t="inlineStr">
        <is>
          <t>oct-2026 (est.)</t>
        </is>
      </c>
      <c r="Q76" s="174" t="n"/>
    </row>
    <row r="77">
      <c r="A77" s="18" t="n">
        <v>55</v>
      </c>
      <c r="B77" s="19" t="inlineStr">
        <is>
          <t xml:space="preserve">        Terrazo Prefabricado 40x40 (m²)</t>
        </is>
      </c>
      <c r="C77" s="20" t="inlineStr">
        <is>
          <t>Comercial / Industrial</t>
        </is>
      </c>
      <c r="D77" s="18" t="inlineStr">
        <is>
          <t>Terrazos</t>
        </is>
      </c>
      <c r="E77" s="18" t="inlineStr">
        <is>
          <t>m2</t>
        </is>
      </c>
      <c r="F77" s="21" t="n">
        <v>30</v>
      </c>
      <c r="G77" s="22" t="n">
        <v>28</v>
      </c>
      <c r="H77" s="22" t="n">
        <v>29.4</v>
      </c>
      <c r="I77" s="18" t="inlineStr">
        <is>
          <t>Kywi / Megakywi</t>
        </is>
      </c>
      <c r="J77" s="22" t="n">
        <v>30.8</v>
      </c>
      <c r="K77" s="18" t="inlineStr">
        <is>
          <t>Graiman / Rialto</t>
        </is>
      </c>
      <c r="L77" s="8">
        <f>F77*G77</f>
        <v/>
      </c>
      <c r="M77" s="145" t="inlineStr">
        <is>
          <t>A-C30-PIS-TER-PRE</t>
        </is>
      </c>
      <c r="N77" s="18" t="inlineStr">
        <is>
          <t>Arquitectura</t>
        </is>
      </c>
      <c r="O77" s="18" t="inlineStr">
        <is>
          <t>Estimado DION · criterio de mercado Guayaquil 2026 (no verificado en tienda)</t>
        </is>
      </c>
      <c r="P77" s="18" t="inlineStr">
        <is>
          <t>oct-2026 (est.)</t>
        </is>
      </c>
      <c r="Q77" s="18" t="n">
        <v>5</v>
      </c>
    </row>
    <row r="78">
      <c r="A78" s="174" t="n">
        <v>56</v>
      </c>
      <c r="B78" s="175" t="inlineStr">
        <is>
          <t xml:space="preserve">        Terrazo Fundido in Situ (m², aplicado)</t>
        </is>
      </c>
      <c r="C78" s="176" t="inlineStr">
        <is>
          <t>Comercial / Industrial</t>
        </is>
      </c>
      <c r="D78" s="174" t="inlineStr">
        <is>
          <t>Terrazos</t>
        </is>
      </c>
      <c r="E78" s="174" t="inlineStr">
        <is>
          <t>m2</t>
        </is>
      </c>
      <c r="F78" s="177" t="n">
        <v>30</v>
      </c>
      <c r="G78" s="178" t="n">
        <v>52</v>
      </c>
      <c r="H78" s="178" t="n">
        <v>53.56</v>
      </c>
      <c r="I78" s="174" t="inlineStr">
        <is>
          <t>Kywi / Megakywi</t>
        </is>
      </c>
      <c r="J78" s="178" t="n">
        <v>57.2</v>
      </c>
      <c r="K78" s="174" t="inlineStr">
        <is>
          <t>Graiman / Rialto</t>
        </is>
      </c>
      <c r="L78" s="179">
        <f>F78*G78</f>
        <v/>
      </c>
      <c r="M78" s="180" t="inlineStr">
        <is>
          <t>A-C30-PIS-TER-FIS</t>
        </is>
      </c>
      <c r="N78" s="174" t="inlineStr">
        <is>
          <t>Arquitectura</t>
        </is>
      </c>
      <c r="O78" s="174" t="inlineStr">
        <is>
          <t>Estimado DION · criterio de mercado Guayaquil 2026 (no verificado en tienda)</t>
        </is>
      </c>
      <c r="P78" s="174" t="inlineStr">
        <is>
          <t>oct-2026 (est.)</t>
        </is>
      </c>
      <c r="Q78" s="174" t="n"/>
    </row>
    <row r="79">
      <c r="A79" s="18" t="n">
        <v>57</v>
      </c>
      <c r="B79" s="19" t="inlineStr">
        <is>
          <t xml:space="preserve">        Mármol Pulido 2 cm (m²)</t>
        </is>
      </c>
      <c r="C79" s="20" t="inlineStr">
        <is>
          <t>Comercial</t>
        </is>
      </c>
      <c r="D79" s="18" t="inlineStr">
        <is>
          <t>Pétreos</t>
        </is>
      </c>
      <c r="E79" s="18" t="inlineStr">
        <is>
          <t>m2</t>
        </is>
      </c>
      <c r="F79" s="21" t="n">
        <v>30</v>
      </c>
      <c r="G79" s="22" t="n">
        <v>85</v>
      </c>
      <c r="H79" s="22" t="n">
        <v>88.40000000000001</v>
      </c>
      <c r="I79" s="18" t="inlineStr">
        <is>
          <t>Kywi / Megakywi</t>
        </is>
      </c>
      <c r="J79" s="22" t="n">
        <v>93.5</v>
      </c>
      <c r="K79" s="18" t="inlineStr">
        <is>
          <t>Graiman / Rialto</t>
        </is>
      </c>
      <c r="L79" s="8">
        <f>F79*G79</f>
        <v/>
      </c>
      <c r="M79" s="145" t="inlineStr">
        <is>
          <t>A-C30-PIS-MRM-PUL</t>
        </is>
      </c>
      <c r="N79" s="18" t="inlineStr">
        <is>
          <t>Arquitectura</t>
        </is>
      </c>
      <c r="O79" s="18" t="inlineStr">
        <is>
          <t>Estimado DION · criterio de mercado Guayaquil 2026 (no verificado en tienda)</t>
        </is>
      </c>
      <c r="P79" s="18" t="inlineStr">
        <is>
          <t>oct-2026 (est.)</t>
        </is>
      </c>
      <c r="Q79" s="18" t="n">
        <v>8</v>
      </c>
    </row>
    <row r="80">
      <c r="A80" s="174" t="n">
        <v>58</v>
      </c>
      <c r="B80" s="175" t="inlineStr">
        <is>
          <t xml:space="preserve">        Granito Flameado 2 cm (m²)</t>
        </is>
      </c>
      <c r="C80" s="176" t="inlineStr">
        <is>
          <t>Comercial</t>
        </is>
      </c>
      <c r="D80" s="174" t="inlineStr">
        <is>
          <t>Pétreos</t>
        </is>
      </c>
      <c r="E80" s="174" t="inlineStr">
        <is>
          <t>m2</t>
        </is>
      </c>
      <c r="F80" s="177" t="n">
        <v>30</v>
      </c>
      <c r="G80" s="178" t="n">
        <v>95</v>
      </c>
      <c r="H80" s="178" t="n">
        <v>99.75</v>
      </c>
      <c r="I80" s="174" t="inlineStr">
        <is>
          <t>Kywi / Megakywi</t>
        </is>
      </c>
      <c r="J80" s="178" t="n">
        <v>105.45</v>
      </c>
      <c r="K80" s="174" t="inlineStr">
        <is>
          <t>Graiman / Rialto</t>
        </is>
      </c>
      <c r="L80" s="179">
        <f>F80*G80</f>
        <v/>
      </c>
      <c r="M80" s="180" t="inlineStr">
        <is>
          <t>A-C30-PIS-GRN-FLA</t>
        </is>
      </c>
      <c r="N80" s="174" t="inlineStr">
        <is>
          <t>Arquitectura</t>
        </is>
      </c>
      <c r="O80" s="174" t="inlineStr">
        <is>
          <t>Estimado DION · criterio de mercado Guayaquil 2026 (no verificado en tienda)</t>
        </is>
      </c>
      <c r="P80" s="174" t="inlineStr">
        <is>
          <t>oct-2026 (est.)</t>
        </is>
      </c>
      <c r="Q80" s="174" t="n">
        <v>8</v>
      </c>
    </row>
    <row r="81">
      <c r="A81" s="18" t="n">
        <v>59</v>
      </c>
      <c r="B81" s="19" t="inlineStr">
        <is>
          <t xml:space="preserve">        Alfombra Modular 50x50 Tráfico Alto (m²)</t>
        </is>
      </c>
      <c r="C81" s="20" t="inlineStr">
        <is>
          <t>Oficinas</t>
        </is>
      </c>
      <c r="D81" s="18" t="inlineStr">
        <is>
          <t>Alfombras</t>
        </is>
      </c>
      <c r="E81" s="18" t="inlineStr">
        <is>
          <t>m2</t>
        </is>
      </c>
      <c r="F81" s="21" t="n">
        <v>30</v>
      </c>
      <c r="G81" s="22" t="n">
        <v>28</v>
      </c>
      <c r="H81" s="22" t="n">
        <v>29.12</v>
      </c>
      <c r="I81" s="18" t="inlineStr">
        <is>
          <t>Kywi / Megakywi</t>
        </is>
      </c>
      <c r="J81" s="22" t="n">
        <v>30.24</v>
      </c>
      <c r="K81" s="18" t="inlineStr">
        <is>
          <t>Graiman / Rialto</t>
        </is>
      </c>
      <c r="L81" s="8">
        <f>F81*G81</f>
        <v/>
      </c>
      <c r="M81" s="145" t="inlineStr">
        <is>
          <t>A-C30-PIS-ALF-MOD</t>
        </is>
      </c>
      <c r="N81" s="18" t="inlineStr">
        <is>
          <t>Arquitectura</t>
        </is>
      </c>
      <c r="O81" s="18" t="inlineStr">
        <is>
          <t>Estimado DION · criterio de mercado Guayaquil 2026 (no verificado en tienda)</t>
        </is>
      </c>
      <c r="P81" s="18" t="inlineStr">
        <is>
          <t>oct-2026 (est.)</t>
        </is>
      </c>
      <c r="Q81" s="18" t="n">
        <v>5</v>
      </c>
    </row>
    <row r="82">
      <c r="A82" s="174" t="n">
        <v>60</v>
      </c>
      <c r="B82" s="175" t="inlineStr">
        <is>
          <t xml:space="preserve">        Piso de Caucho Deportivo / Gimnasio 10 mm (m²)</t>
        </is>
      </c>
      <c r="C82" s="176" t="inlineStr">
        <is>
          <t>Deportivo</t>
        </is>
      </c>
      <c r="D82" s="174" t="inlineStr">
        <is>
          <t>Pisos Caucho</t>
        </is>
      </c>
      <c r="E82" s="174" t="inlineStr">
        <is>
          <t>m2</t>
        </is>
      </c>
      <c r="F82" s="177" t="n">
        <v>30</v>
      </c>
      <c r="G82" s="178" t="n">
        <v>38</v>
      </c>
      <c r="H82" s="178" t="n">
        <v>39.9</v>
      </c>
      <c r="I82" s="174" t="inlineStr">
        <is>
          <t>Kywi / Megakywi</t>
        </is>
      </c>
      <c r="J82" s="178" t="n">
        <v>40.66</v>
      </c>
      <c r="K82" s="174" t="inlineStr">
        <is>
          <t>Graiman / Rialto</t>
        </is>
      </c>
      <c r="L82" s="179">
        <f>F82*G82</f>
        <v/>
      </c>
      <c r="M82" s="180" t="inlineStr">
        <is>
          <t>A-C30-PIS-CAU-DEP</t>
        </is>
      </c>
      <c r="N82" s="174" t="inlineStr">
        <is>
          <t>Arquitectura</t>
        </is>
      </c>
      <c r="O82" s="174" t="inlineStr">
        <is>
          <t>Estimado DION · criterio de mercado Guayaquil 2026 (no verificado en tienda)</t>
        </is>
      </c>
      <c r="P82" s="174" t="inlineStr">
        <is>
          <t>oct-2026 (est.)</t>
        </is>
      </c>
      <c r="Q82" s="174" t="n">
        <v>5</v>
      </c>
    </row>
    <row r="83">
      <c r="A83" s="18" t="n">
        <v>61</v>
      </c>
      <c r="B83" s="19" t="inlineStr">
        <is>
          <t xml:space="preserve">        Deck WPC Exterior (m²)</t>
        </is>
      </c>
      <c r="C83" s="20" t="inlineStr">
        <is>
          <t>Residencial / Comercial</t>
        </is>
      </c>
      <c r="D83" s="18" t="inlineStr">
        <is>
          <t>Decks</t>
        </is>
      </c>
      <c r="E83" s="18" t="inlineStr">
        <is>
          <t>m2</t>
        </is>
      </c>
      <c r="F83" s="21" t="n">
        <v>30</v>
      </c>
      <c r="G83" s="22" t="n">
        <v>45</v>
      </c>
      <c r="H83" s="22" t="n">
        <v>47.25</v>
      </c>
      <c r="I83" s="18" t="inlineStr">
        <is>
          <t>Kywi / Megakywi</t>
        </is>
      </c>
      <c r="J83" s="22" t="n">
        <v>48.15</v>
      </c>
      <c r="K83" s="18" t="inlineStr">
        <is>
          <t>Graiman / Rialto</t>
        </is>
      </c>
      <c r="L83" s="8">
        <f>F83*G83</f>
        <v/>
      </c>
      <c r="M83" s="145" t="inlineStr">
        <is>
          <t>A-C30-PIS-DEC-WPC</t>
        </is>
      </c>
      <c r="N83" s="18" t="inlineStr">
        <is>
          <t>Arquitectura</t>
        </is>
      </c>
      <c r="O83" s="18" t="inlineStr">
        <is>
          <t>Estimado DION · criterio de mercado Guayaquil 2026 (no verificado en tienda)</t>
        </is>
      </c>
      <c r="P83" s="18" t="inlineStr">
        <is>
          <t>oct-2026 (est.)</t>
        </is>
      </c>
      <c r="Q83" s="18" t="n">
        <v>8</v>
      </c>
    </row>
    <row r="84">
      <c r="A84" s="174" t="n">
        <v>62</v>
      </c>
      <c r="B84" s="175" t="inlineStr">
        <is>
          <t xml:space="preserve">        Piso Técnico Elevado 60x60 (m²)</t>
        </is>
      </c>
      <c r="C84" s="176" t="inlineStr">
        <is>
          <t>Datos / Oficinas</t>
        </is>
      </c>
      <c r="D84" s="174" t="inlineStr">
        <is>
          <t>Pisos Técnicos</t>
        </is>
      </c>
      <c r="E84" s="174" t="inlineStr">
        <is>
          <t>m2</t>
        </is>
      </c>
      <c r="F84" s="177" t="n">
        <v>30</v>
      </c>
      <c r="G84" s="178" t="n">
        <v>95</v>
      </c>
      <c r="H84" s="178" t="n">
        <v>97.84999999999999</v>
      </c>
      <c r="I84" s="174" t="inlineStr">
        <is>
          <t>Kywi / Megakywi</t>
        </is>
      </c>
      <c r="J84" s="178" t="n">
        <v>105.45</v>
      </c>
      <c r="K84" s="174" t="inlineStr">
        <is>
          <t>Graiman / Rialto</t>
        </is>
      </c>
      <c r="L84" s="179">
        <f>F84*G84</f>
        <v/>
      </c>
      <c r="M84" s="180" t="inlineStr">
        <is>
          <t>A-C30-PIS-PIS-TEC</t>
        </is>
      </c>
      <c r="N84" s="174" t="inlineStr">
        <is>
          <t>Arquitectura</t>
        </is>
      </c>
      <c r="O84" s="174" t="inlineStr">
        <is>
          <t>Estimado DION · criterio de mercado Guayaquil 2026 (no verificado en tienda)</t>
        </is>
      </c>
      <c r="P84" s="174" t="inlineStr">
        <is>
          <t>oct-2026 (est.)</t>
        </is>
      </c>
      <c r="Q84" s="174" t="n">
        <v>3</v>
      </c>
    </row>
    <row r="85">
      <c r="A85" s="18" t="n">
        <v>63</v>
      </c>
      <c r="B85" s="19" t="inlineStr">
        <is>
          <t xml:space="preserve">        Piso de Cemento Paleteado / Pulido (m²)</t>
        </is>
      </c>
      <c r="C85" s="20" t="inlineStr">
        <is>
          <t>Residencial / Comercial</t>
        </is>
      </c>
      <c r="D85" s="18" t="inlineStr">
        <is>
          <t>Pisos Cemento</t>
        </is>
      </c>
      <c r="E85" s="18" t="inlineStr">
        <is>
          <t>m2</t>
        </is>
      </c>
      <c r="F85" s="21" t="n">
        <v>30</v>
      </c>
      <c r="G85" s="22" t="n">
        <v>9.5</v>
      </c>
      <c r="H85" s="22" t="n">
        <v>9.880000000000001</v>
      </c>
      <c r="I85" s="18" t="inlineStr">
        <is>
          <t>Kywi / Megakywi</t>
        </is>
      </c>
      <c r="J85" s="22" t="n">
        <v>10.36</v>
      </c>
      <c r="K85" s="18" t="inlineStr">
        <is>
          <t>Graiman / Rialto</t>
        </is>
      </c>
      <c r="L85" s="8">
        <f>F85*G85</f>
        <v/>
      </c>
      <c r="M85" s="145" t="inlineStr">
        <is>
          <t>A-C30-PIS-CEM-PAL</t>
        </is>
      </c>
      <c r="N85" s="18" t="inlineStr">
        <is>
          <t>Arquitectura</t>
        </is>
      </c>
      <c r="O85" s="18" t="inlineStr">
        <is>
          <t>Estimado DION · criterio de mercado Guayaquil 2026 (no verificado en tienda)</t>
        </is>
      </c>
      <c r="P85" s="18" t="inlineStr">
        <is>
          <t>oct-2026 (est.)</t>
        </is>
      </c>
      <c r="Q85" s="18" t="n"/>
    </row>
    <row r="86">
      <c r="A86" s="174" t="n">
        <v>64</v>
      </c>
      <c r="B86" s="175" t="inlineStr">
        <is>
          <t xml:space="preserve">        Baldosa Podotáctil 40x40 (m²)</t>
        </is>
      </c>
      <c r="C86" s="176" t="inlineStr">
        <is>
          <t>Espacio Público</t>
        </is>
      </c>
      <c r="D86" s="174" t="inlineStr">
        <is>
          <t>Podotáctiles</t>
        </is>
      </c>
      <c r="E86" s="174" t="inlineStr">
        <is>
          <t>m2</t>
        </is>
      </c>
      <c r="F86" s="177" t="n">
        <v>30</v>
      </c>
      <c r="G86" s="178" t="n">
        <v>32</v>
      </c>
      <c r="H86" s="178" t="n">
        <v>33.28</v>
      </c>
      <c r="I86" s="174" t="inlineStr">
        <is>
          <t>Kywi / Megakywi</t>
        </is>
      </c>
      <c r="J86" s="178" t="n">
        <v>34.88</v>
      </c>
      <c r="K86" s="174" t="inlineStr">
        <is>
          <t>Graiman / Rialto</t>
        </is>
      </c>
      <c r="L86" s="179">
        <f>F86*G86</f>
        <v/>
      </c>
      <c r="M86" s="180" t="inlineStr">
        <is>
          <t>A-C30-PIS-PDT-TAC</t>
        </is>
      </c>
      <c r="N86" s="174" t="inlineStr">
        <is>
          <t>Arquitectura</t>
        </is>
      </c>
      <c r="O86" s="174" t="inlineStr">
        <is>
          <t>Estimado DION · criterio de mercado Guayaquil 2026 (no verificado en tienda)</t>
        </is>
      </c>
      <c r="P86" s="174" t="inlineStr">
        <is>
          <t>oct-2026 (est.)</t>
        </is>
      </c>
      <c r="Q86" s="174" t="n">
        <v>5</v>
      </c>
    </row>
    <row r="87">
      <c r="A87" s="172" t="inlineStr">
        <is>
          <t xml:space="preserve">  ► CATEGORÍA: REVESTIMIENTOS DE PARED</t>
        </is>
      </c>
      <c r="B87" s="143" t="n"/>
      <c r="C87" s="143" t="n"/>
      <c r="D87" s="143" t="n"/>
      <c r="E87" s="143" t="n"/>
      <c r="F87" s="143" t="n"/>
      <c r="G87" s="143" t="n"/>
      <c r="H87" s="143" t="n"/>
      <c r="I87" s="143" t="n"/>
      <c r="J87" s="143" t="n"/>
      <c r="K87" s="143" t="n"/>
      <c r="L87" s="143" t="n"/>
      <c r="M87" s="143" t="n"/>
      <c r="N87" s="143" t="n"/>
      <c r="O87" s="143" t="n"/>
      <c r="P87" s="143" t="n"/>
      <c r="Q87" s="144" t="n"/>
    </row>
    <row r="88">
      <c r="A88" s="173" t="inlineStr">
        <is>
          <t xml:space="preserve">      • Subcategoría Especificada: Cerámica, Porcelanato, Piedra y Paneles (Material m²)</t>
        </is>
      </c>
      <c r="B88" s="143" t="n"/>
      <c r="C88" s="143" t="n"/>
      <c r="D88" s="143" t="n"/>
      <c r="E88" s="143" t="n"/>
      <c r="F88" s="143" t="n"/>
      <c r="G88" s="143" t="n"/>
      <c r="H88" s="143" t="n"/>
      <c r="I88" s="143" t="n"/>
      <c r="J88" s="143" t="n"/>
      <c r="K88" s="143" t="n"/>
      <c r="L88" s="143" t="n"/>
      <c r="M88" s="143" t="n"/>
      <c r="N88" s="143" t="n"/>
      <c r="O88" s="143" t="n"/>
      <c r="P88" s="143" t="n"/>
      <c r="Q88" s="144" t="n"/>
    </row>
    <row r="89">
      <c r="A89" s="18" t="n">
        <v>65</v>
      </c>
      <c r="B89" s="19" t="inlineStr">
        <is>
          <t xml:space="preserve">        Cerámica de Pared 25x40 cm (m²)</t>
        </is>
      </c>
      <c r="C89" s="20" t="inlineStr">
        <is>
          <t>Residencial / Comercial</t>
        </is>
      </c>
      <c r="D89" s="18" t="inlineStr">
        <is>
          <t>Revestimientos</t>
        </is>
      </c>
      <c r="E89" s="18" t="inlineStr">
        <is>
          <t>m2</t>
        </is>
      </c>
      <c r="F89" s="21" t="n">
        <v>30</v>
      </c>
      <c r="G89" s="22" t="n">
        <v>8.9</v>
      </c>
      <c r="H89" s="22" t="n">
        <v>9.08</v>
      </c>
      <c r="I89" s="18" t="inlineStr">
        <is>
          <t>Kywi / Megakywi</t>
        </is>
      </c>
      <c r="J89" s="22" t="n">
        <v>9.789999999999999</v>
      </c>
      <c r="K89" s="18" t="inlineStr">
        <is>
          <t>Graiman / Rialto</t>
        </is>
      </c>
      <c r="L89" s="8">
        <f>F89*G89</f>
        <v/>
      </c>
      <c r="M89" s="145" t="inlineStr">
        <is>
          <t>A-C30-RPA-CER-25X40</t>
        </is>
      </c>
      <c r="N89" s="18" t="inlineStr">
        <is>
          <t>Arquitectura</t>
        </is>
      </c>
      <c r="O89" s="18" t="inlineStr">
        <is>
          <t>Estimado DION · criterio de mercado Guayaquil 2026 (no verificado en tienda)</t>
        </is>
      </c>
      <c r="P89" s="18" t="inlineStr">
        <is>
          <t>oct-2026 (est.)</t>
        </is>
      </c>
      <c r="Q89" s="18" t="n">
        <v>8</v>
      </c>
    </row>
    <row r="90">
      <c r="A90" s="174" t="n">
        <v>66</v>
      </c>
      <c r="B90" s="175" t="inlineStr">
        <is>
          <t xml:space="preserve">        Cerámica de Pared 30x60 cm Rectificada (m²)</t>
        </is>
      </c>
      <c r="C90" s="176" t="inlineStr">
        <is>
          <t>Residencial / Comercial</t>
        </is>
      </c>
      <c r="D90" s="174" t="inlineStr">
        <is>
          <t>Revestimientos</t>
        </is>
      </c>
      <c r="E90" s="174" t="inlineStr">
        <is>
          <t>m2</t>
        </is>
      </c>
      <c r="F90" s="177" t="n">
        <v>30</v>
      </c>
      <c r="G90" s="178" t="n">
        <v>12.5</v>
      </c>
      <c r="H90" s="178" t="n">
        <v>13</v>
      </c>
      <c r="I90" s="174" t="inlineStr">
        <is>
          <t>Kywi / Megakywi</t>
        </is>
      </c>
      <c r="J90" s="178" t="n">
        <v>13.5</v>
      </c>
      <c r="K90" s="174" t="inlineStr">
        <is>
          <t>Graiman / Rialto</t>
        </is>
      </c>
      <c r="L90" s="179">
        <f>F90*G90</f>
        <v/>
      </c>
      <c r="M90" s="180" t="inlineStr">
        <is>
          <t>A-C30-RPA-CER-30X60</t>
        </is>
      </c>
      <c r="N90" s="174" t="inlineStr">
        <is>
          <t>Arquitectura</t>
        </is>
      </c>
      <c r="O90" s="174" t="inlineStr">
        <is>
          <t>Estimado DION · criterio de mercado Guayaquil 2026 (no verificado en tienda)</t>
        </is>
      </c>
      <c r="P90" s="174" t="inlineStr">
        <is>
          <t>oct-2026 (est.)</t>
        </is>
      </c>
      <c r="Q90" s="174" t="n">
        <v>8</v>
      </c>
    </row>
    <row r="91">
      <c r="A91" s="18" t="n">
        <v>67</v>
      </c>
      <c r="B91" s="19" t="inlineStr">
        <is>
          <t xml:space="preserve">        Cerámica Pared 20x20 cm (m²)</t>
        </is>
      </c>
      <c r="C91" s="20" t="inlineStr">
        <is>
          <t>Residencial / Comercial</t>
        </is>
      </c>
      <c r="D91" s="18" t="inlineStr">
        <is>
          <t>Revestimientos</t>
        </is>
      </c>
      <c r="E91" s="18" t="inlineStr">
        <is>
          <t>m2</t>
        </is>
      </c>
      <c r="F91" s="21" t="n">
        <v>30</v>
      </c>
      <c r="G91" s="22" t="n">
        <v>9.5</v>
      </c>
      <c r="H91" s="22" t="n">
        <v>9.880000000000001</v>
      </c>
      <c r="I91" s="18" t="inlineStr">
        <is>
          <t>Kywi / Megakywi</t>
        </is>
      </c>
      <c r="J91" s="22" t="n">
        <v>10.45</v>
      </c>
      <c r="K91" s="18" t="inlineStr">
        <is>
          <t>Graiman / Rialto</t>
        </is>
      </c>
      <c r="L91" s="8">
        <f>F91*G91</f>
        <v/>
      </c>
      <c r="M91" s="145" t="inlineStr">
        <is>
          <t>A-C30-RPA-CER-20X20</t>
        </is>
      </c>
      <c r="N91" s="18" t="inlineStr">
        <is>
          <t>Arquitectura</t>
        </is>
      </c>
      <c r="O91" s="18" t="inlineStr">
        <is>
          <t>Estimado DION · criterio de mercado Guayaquil 2026 (no verificado en tienda)</t>
        </is>
      </c>
      <c r="P91" s="18" t="inlineStr">
        <is>
          <t>oct-2026 (est.)</t>
        </is>
      </c>
      <c r="Q91" s="18" t="n">
        <v>8</v>
      </c>
    </row>
    <row r="92">
      <c r="A92" s="174" t="n">
        <v>68</v>
      </c>
      <c r="B92" s="175" t="inlineStr">
        <is>
          <t xml:space="preserve">        Porcelanato de Pared 30x60 cm (m²)</t>
        </is>
      </c>
      <c r="C92" s="176" t="inlineStr">
        <is>
          <t>Residencial / Comercial</t>
        </is>
      </c>
      <c r="D92" s="174" t="inlineStr">
        <is>
          <t>Revestimientos</t>
        </is>
      </c>
      <c r="E92" s="174" t="inlineStr">
        <is>
          <t>m2</t>
        </is>
      </c>
      <c r="F92" s="177" t="n">
        <v>30</v>
      </c>
      <c r="G92" s="178" t="n">
        <v>17.5</v>
      </c>
      <c r="H92" s="178" t="n">
        <v>18.2</v>
      </c>
      <c r="I92" s="174" t="inlineStr">
        <is>
          <t>Kywi / Megakywi</t>
        </is>
      </c>
      <c r="J92" s="178" t="n">
        <v>19.43</v>
      </c>
      <c r="K92" s="174" t="inlineStr">
        <is>
          <t>Graiman / Rialto</t>
        </is>
      </c>
      <c r="L92" s="179">
        <f>F92*G92</f>
        <v/>
      </c>
      <c r="M92" s="180" t="inlineStr">
        <is>
          <t>A-C30-RPA-POR-30X60</t>
        </is>
      </c>
      <c r="N92" s="174" t="inlineStr">
        <is>
          <t>Arquitectura</t>
        </is>
      </c>
      <c r="O92" s="174" t="inlineStr">
        <is>
          <t>Estimado DION · criterio de mercado Guayaquil 2026 (no verificado en tienda)</t>
        </is>
      </c>
      <c r="P92" s="174" t="inlineStr">
        <is>
          <t>oct-2026 (est.)</t>
        </is>
      </c>
      <c r="Q92" s="174" t="n">
        <v>8</v>
      </c>
    </row>
    <row r="93">
      <c r="A93" s="18" t="n">
        <v>69</v>
      </c>
      <c r="B93" s="19" t="inlineStr">
        <is>
          <t xml:space="preserve">        Porcelanato de Pared 60x120 cm (m²)</t>
        </is>
      </c>
      <c r="C93" s="20" t="inlineStr">
        <is>
          <t>Residencial / Comercial</t>
        </is>
      </c>
      <c r="D93" s="18" t="inlineStr">
        <is>
          <t>Revestimientos</t>
        </is>
      </c>
      <c r="E93" s="18" t="inlineStr">
        <is>
          <t>m2</t>
        </is>
      </c>
      <c r="F93" s="21" t="n">
        <v>30</v>
      </c>
      <c r="G93" s="22" t="n">
        <v>28</v>
      </c>
      <c r="H93" s="22" t="n">
        <v>29.12</v>
      </c>
      <c r="I93" s="18" t="inlineStr">
        <is>
          <t>Kywi / Megakywi</t>
        </is>
      </c>
      <c r="J93" s="22" t="n">
        <v>30.24</v>
      </c>
      <c r="K93" s="18" t="inlineStr">
        <is>
          <t>Graiman / Rialto</t>
        </is>
      </c>
      <c r="L93" s="8">
        <f>F93*G93</f>
        <v/>
      </c>
      <c r="M93" s="145" t="inlineStr">
        <is>
          <t>A-C30-RPA-POR-60X120</t>
        </is>
      </c>
      <c r="N93" s="18" t="inlineStr">
        <is>
          <t>Arquitectura</t>
        </is>
      </c>
      <c r="O93" s="18" t="inlineStr">
        <is>
          <t>Estimado DION · criterio de mercado Guayaquil 2026 (no verificado en tienda)</t>
        </is>
      </c>
      <c r="P93" s="18" t="inlineStr">
        <is>
          <t>oct-2026 (est.)</t>
        </is>
      </c>
      <c r="Q93" s="18" t="n">
        <v>8</v>
      </c>
    </row>
    <row r="94">
      <c r="A94" s="174" t="n">
        <v>70</v>
      </c>
      <c r="B94" s="175" t="inlineStr">
        <is>
          <t xml:space="preserve">        Piedra Laja / Piedra Natural de Revestimiento (m²)</t>
        </is>
      </c>
      <c r="C94" s="176" t="inlineStr">
        <is>
          <t>Residencial / Comercial</t>
        </is>
      </c>
      <c r="D94" s="174" t="inlineStr">
        <is>
          <t>Revestimientos</t>
        </is>
      </c>
      <c r="E94" s="174" t="inlineStr">
        <is>
          <t>m2</t>
        </is>
      </c>
      <c r="F94" s="177" t="n">
        <v>30</v>
      </c>
      <c r="G94" s="178" t="n">
        <v>22</v>
      </c>
      <c r="H94" s="178" t="n">
        <v>22.66</v>
      </c>
      <c r="I94" s="174" t="inlineStr">
        <is>
          <t>Kywi / Megakywi</t>
        </is>
      </c>
      <c r="J94" s="178" t="n">
        <v>23.54</v>
      </c>
      <c r="K94" s="174" t="inlineStr">
        <is>
          <t>Graiman / Rialto</t>
        </is>
      </c>
      <c r="L94" s="179">
        <f>F94*G94</f>
        <v/>
      </c>
      <c r="M94" s="180" t="inlineStr">
        <is>
          <t>A-C30-RPA-PIE-LAJ</t>
        </is>
      </c>
      <c r="N94" s="174" t="inlineStr">
        <is>
          <t>Arquitectura</t>
        </is>
      </c>
      <c r="O94" s="174" t="inlineStr">
        <is>
          <t>Estimado DION · criterio de mercado Guayaquil 2026 (no verificado en tienda)</t>
        </is>
      </c>
      <c r="P94" s="174" t="inlineStr">
        <is>
          <t>oct-2026 (est.)</t>
        </is>
      </c>
      <c r="Q94" s="174" t="n">
        <v>8</v>
      </c>
    </row>
    <row r="95">
      <c r="A95" s="18" t="n">
        <v>71</v>
      </c>
      <c r="B95" s="19" t="inlineStr">
        <is>
          <t xml:space="preserve">        Chapa de Ladrillo Visto (m²)</t>
        </is>
      </c>
      <c r="C95" s="20" t="inlineStr">
        <is>
          <t>Residencial / Comercial</t>
        </is>
      </c>
      <c r="D95" s="18" t="inlineStr">
        <is>
          <t>Revestimientos</t>
        </is>
      </c>
      <c r="E95" s="18" t="inlineStr">
        <is>
          <t>m2</t>
        </is>
      </c>
      <c r="F95" s="21" t="n">
        <v>30</v>
      </c>
      <c r="G95" s="22" t="n">
        <v>16</v>
      </c>
      <c r="H95" s="22" t="n">
        <v>16.32</v>
      </c>
      <c r="I95" s="18" t="inlineStr">
        <is>
          <t>Kywi / Megakywi</t>
        </is>
      </c>
      <c r="J95" s="22" t="n">
        <v>17.44</v>
      </c>
      <c r="K95" s="18" t="inlineStr">
        <is>
          <t>Graiman / Rialto</t>
        </is>
      </c>
      <c r="L95" s="8">
        <f>F95*G95</f>
        <v/>
      </c>
      <c r="M95" s="145" t="inlineStr">
        <is>
          <t>A-C30-RPA-LAD-CHA</t>
        </is>
      </c>
      <c r="N95" s="18" t="inlineStr">
        <is>
          <t>Arquitectura</t>
        </is>
      </c>
      <c r="O95" s="18" t="inlineStr">
        <is>
          <t>Estimado DION · criterio de mercado Guayaquil 2026 (no verificado en tienda)</t>
        </is>
      </c>
      <c r="P95" s="18" t="inlineStr">
        <is>
          <t>oct-2026 (est.)</t>
        </is>
      </c>
      <c r="Q95" s="18" t="n">
        <v>8</v>
      </c>
    </row>
    <row r="96">
      <c r="A96" s="174" t="n">
        <v>72</v>
      </c>
      <c r="B96" s="175" t="inlineStr">
        <is>
          <t xml:space="preserve">        Revestimiento Vinílico Sanitario Pared 1.5 mm (m²)</t>
        </is>
      </c>
      <c r="C96" s="176" t="inlineStr">
        <is>
          <t>Residencial / Comercial</t>
        </is>
      </c>
      <c r="D96" s="174" t="inlineStr">
        <is>
          <t>Revestimientos</t>
        </is>
      </c>
      <c r="E96" s="174" t="inlineStr">
        <is>
          <t>m2</t>
        </is>
      </c>
      <c r="F96" s="177" t="n">
        <v>30</v>
      </c>
      <c r="G96" s="178" t="n">
        <v>32</v>
      </c>
      <c r="H96" s="178" t="n">
        <v>33.28</v>
      </c>
      <c r="I96" s="174" t="inlineStr">
        <is>
          <t>Kywi / Megakywi</t>
        </is>
      </c>
      <c r="J96" s="178" t="n">
        <v>35.2</v>
      </c>
      <c r="K96" s="174" t="inlineStr">
        <is>
          <t>Graiman / Rialto</t>
        </is>
      </c>
      <c r="L96" s="179">
        <f>F96*G96</f>
        <v/>
      </c>
      <c r="M96" s="180" t="inlineStr">
        <is>
          <t>A-C30-RPA-VIN-HOS</t>
        </is>
      </c>
      <c r="N96" s="174" t="inlineStr">
        <is>
          <t>Arquitectura</t>
        </is>
      </c>
      <c r="O96" s="174" t="inlineStr">
        <is>
          <t>Estimado DION · criterio de mercado Guayaquil 2026 (no verificado en tienda)</t>
        </is>
      </c>
      <c r="P96" s="174" t="inlineStr">
        <is>
          <t>oct-2026 (est.)</t>
        </is>
      </c>
      <c r="Q96" s="174" t="n">
        <v>8</v>
      </c>
    </row>
    <row r="97">
      <c r="A97" s="18" t="n">
        <v>73</v>
      </c>
      <c r="B97" s="19" t="inlineStr">
        <is>
          <t xml:space="preserve">        Panel PVC de Pared (m²)</t>
        </is>
      </c>
      <c r="C97" s="20" t="inlineStr">
        <is>
          <t>Residencial / Comercial</t>
        </is>
      </c>
      <c r="D97" s="18" t="inlineStr">
        <is>
          <t>Revestimientos</t>
        </is>
      </c>
      <c r="E97" s="18" t="inlineStr">
        <is>
          <t>m2</t>
        </is>
      </c>
      <c r="F97" s="21" t="n">
        <v>30</v>
      </c>
      <c r="G97" s="22" t="n">
        <v>11.5</v>
      </c>
      <c r="H97" s="22" t="n">
        <v>12.08</v>
      </c>
      <c r="I97" s="18" t="inlineStr">
        <is>
          <t>Kywi / Megakywi</t>
        </is>
      </c>
      <c r="J97" s="22" t="n">
        <v>12.54</v>
      </c>
      <c r="K97" s="18" t="inlineStr">
        <is>
          <t>Graiman / Rialto</t>
        </is>
      </c>
      <c r="L97" s="8">
        <f>F97*G97</f>
        <v/>
      </c>
      <c r="M97" s="145" t="inlineStr">
        <is>
          <t>A-C30-RPA-PVC-PAN</t>
        </is>
      </c>
      <c r="N97" s="18" t="inlineStr">
        <is>
          <t>Arquitectura</t>
        </is>
      </c>
      <c r="O97" s="18" t="inlineStr">
        <is>
          <t>Estimado DION · criterio de mercado Guayaquil 2026 (no verificado en tienda)</t>
        </is>
      </c>
      <c r="P97" s="18" t="inlineStr">
        <is>
          <t>oct-2026 (est.)</t>
        </is>
      </c>
      <c r="Q97" s="18" t="n">
        <v>8</v>
      </c>
    </row>
    <row r="98">
      <c r="A98" s="174" t="n">
        <v>74</v>
      </c>
      <c r="B98" s="175" t="inlineStr">
        <is>
          <t xml:space="preserve">        Panel HPL Fenólico de Pared (m²)</t>
        </is>
      </c>
      <c r="C98" s="176" t="inlineStr">
        <is>
          <t>Residencial / Comercial</t>
        </is>
      </c>
      <c r="D98" s="174" t="inlineStr">
        <is>
          <t>Revestimientos</t>
        </is>
      </c>
      <c r="E98" s="174" t="inlineStr">
        <is>
          <t>m2</t>
        </is>
      </c>
      <c r="F98" s="177" t="n">
        <v>30</v>
      </c>
      <c r="G98" s="178" t="n">
        <v>58</v>
      </c>
      <c r="H98" s="178" t="n">
        <v>60.9</v>
      </c>
      <c r="I98" s="174" t="inlineStr">
        <is>
          <t>Kywi / Megakywi</t>
        </is>
      </c>
      <c r="J98" s="178" t="n">
        <v>62.64</v>
      </c>
      <c r="K98" s="174" t="inlineStr">
        <is>
          <t>Graiman / Rialto</t>
        </is>
      </c>
      <c r="L98" s="179">
        <f>F98*G98</f>
        <v/>
      </c>
      <c r="M98" s="180" t="inlineStr">
        <is>
          <t>A-C30-RPA-HPL-PAN</t>
        </is>
      </c>
      <c r="N98" s="174" t="inlineStr">
        <is>
          <t>Arquitectura</t>
        </is>
      </c>
      <c r="O98" s="174" t="inlineStr">
        <is>
          <t>Estimado DION · criterio de mercado Guayaquil 2026 (no verificado en tienda)</t>
        </is>
      </c>
      <c r="P98" s="174" t="inlineStr">
        <is>
          <t>oct-2026 (est.)</t>
        </is>
      </c>
      <c r="Q98" s="174" t="n">
        <v>8</v>
      </c>
    </row>
    <row r="99">
      <c r="A99" s="18" t="n">
        <v>75</v>
      </c>
      <c r="B99" s="19" t="inlineStr">
        <is>
          <t xml:space="preserve">        Panel Ranurado / Listones MDF Decorativo (m²)</t>
        </is>
      </c>
      <c r="C99" s="20" t="inlineStr">
        <is>
          <t>Residencial / Comercial</t>
        </is>
      </c>
      <c r="D99" s="18" t="inlineStr">
        <is>
          <t>Revestimientos</t>
        </is>
      </c>
      <c r="E99" s="18" t="inlineStr">
        <is>
          <t>m2</t>
        </is>
      </c>
      <c r="F99" s="21" t="n">
        <v>30</v>
      </c>
      <c r="G99" s="22" t="n">
        <v>24</v>
      </c>
      <c r="H99" s="22" t="n">
        <v>24.48</v>
      </c>
      <c r="I99" s="18" t="inlineStr">
        <is>
          <t>Kywi / Megakywi</t>
        </is>
      </c>
      <c r="J99" s="22" t="n">
        <v>25.92</v>
      </c>
      <c r="K99" s="18" t="inlineStr">
        <is>
          <t>Graiman / Rialto</t>
        </is>
      </c>
      <c r="L99" s="8">
        <f>F99*G99</f>
        <v/>
      </c>
      <c r="M99" s="145" t="inlineStr">
        <is>
          <t>A-C30-RPA-MDF-RAN</t>
        </is>
      </c>
      <c r="N99" s="18" t="inlineStr">
        <is>
          <t>Arquitectura</t>
        </is>
      </c>
      <c r="O99" s="18" t="inlineStr">
        <is>
          <t>Estimado DION · criterio de mercado Guayaquil 2026 (no verificado en tienda)</t>
        </is>
      </c>
      <c r="P99" s="18" t="inlineStr">
        <is>
          <t>oct-2026 (est.)</t>
        </is>
      </c>
      <c r="Q99" s="18" t="n">
        <v>8</v>
      </c>
    </row>
    <row r="100">
      <c r="A100" s="174" t="n">
        <v>76</v>
      </c>
      <c r="B100" s="175" t="inlineStr">
        <is>
          <t xml:space="preserve">        Microcemento de Pared (m²)</t>
        </is>
      </c>
      <c r="C100" s="176" t="inlineStr">
        <is>
          <t>Residencial / Comercial</t>
        </is>
      </c>
      <c r="D100" s="174" t="inlineStr">
        <is>
          <t>Revestimientos</t>
        </is>
      </c>
      <c r="E100" s="174" t="inlineStr">
        <is>
          <t>m2</t>
        </is>
      </c>
      <c r="F100" s="177" t="n">
        <v>30</v>
      </c>
      <c r="G100" s="178" t="n">
        <v>28</v>
      </c>
      <c r="H100" s="178" t="n">
        <v>28.84</v>
      </c>
      <c r="I100" s="174" t="inlineStr">
        <is>
          <t>Kywi / Megakywi</t>
        </is>
      </c>
      <c r="J100" s="178" t="n">
        <v>30.24</v>
      </c>
      <c r="K100" s="174" t="inlineStr">
        <is>
          <t>Graiman / Rialto</t>
        </is>
      </c>
      <c r="L100" s="179">
        <f>F100*G100</f>
        <v/>
      </c>
      <c r="M100" s="180" t="inlineStr">
        <is>
          <t>A-C30-RPA-MCR-PAR</t>
        </is>
      </c>
      <c r="N100" s="174" t="inlineStr">
        <is>
          <t>Arquitectura</t>
        </is>
      </c>
      <c r="O100" s="174" t="inlineStr">
        <is>
          <t>Estimado DION · criterio de mercado Guayaquil 2026 (no verificado en tienda)</t>
        </is>
      </c>
      <c r="P100" s="174" t="inlineStr">
        <is>
          <t>oct-2026 (est.)</t>
        </is>
      </c>
      <c r="Q100" s="174" t="n">
        <v>8</v>
      </c>
    </row>
    <row r="101">
      <c r="A101" s="10" t="n"/>
      <c r="B101" s="147" t="inlineStr">
        <is>
          <t>TOTAL BASE DE DATOS PISOS Y REVESTIMIENTOS (ESTIMADO)</t>
        </is>
      </c>
      <c r="C101" s="148" t="n"/>
      <c r="D101" s="148" t="n"/>
      <c r="E101" s="148" t="n"/>
      <c r="F101" s="148" t="n"/>
      <c r="G101" s="148" t="n"/>
      <c r="H101" s="148" t="n"/>
      <c r="I101" s="148" t="n"/>
      <c r="J101" s="148" t="n"/>
      <c r="K101" s="148" t="n"/>
      <c r="L101" s="30">
        <f>SUM(L6:L100)</f>
        <v/>
      </c>
      <c r="M101" s="30" t="n"/>
      <c r="N101" s="30" t="n"/>
      <c r="O101" s="30" t="n"/>
      <c r="P101" s="30" t="n"/>
      <c r="Q101" s="30" t="n"/>
    </row>
  </sheetData>
  <mergeCells count="20">
    <mergeCell ref="A31:Q31"/>
    <mergeCell ref="A30:Q30"/>
    <mergeCell ref="A39:Q39"/>
    <mergeCell ref="A24:Q24"/>
    <mergeCell ref="A64:Q64"/>
    <mergeCell ref="A51:Q51"/>
    <mergeCell ref="A49:Q49"/>
    <mergeCell ref="A6:Q6"/>
    <mergeCell ref="A88:Q88"/>
    <mergeCell ref="A87:Q87"/>
    <mergeCell ref="A7:Q7"/>
    <mergeCell ref="A65:Q65"/>
    <mergeCell ref="A37:Q37"/>
    <mergeCell ref="A50:Q50"/>
    <mergeCell ref="A23:Q23"/>
    <mergeCell ref="A32:Q32"/>
    <mergeCell ref="A8:Q8"/>
    <mergeCell ref="A22:Q22"/>
    <mergeCell ref="B101:K101"/>
    <mergeCell ref="A38:Q38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7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8" customWidth="1" min="2" max="2"/>
    <col width="30" customWidth="1" min="3" max="3"/>
    <col width="32" customWidth="1" min="4" max="4"/>
    <col width="8" customWidth="1" min="5" max="5"/>
    <col width="10" customWidth="1" min="6" max="6"/>
    <col width="15" customWidth="1" min="7" max="7"/>
    <col width="16" customWidth="1" min="8" max="8"/>
    <col width="22" customWidth="1" min="9" max="9"/>
    <col width="16" customWidth="1" min="10" max="10"/>
    <col width="20" customWidth="1" min="11" max="11"/>
    <col width="16" customWidth="1" min="12" max="12"/>
    <col width="27" customWidth="1" min="13" max="13"/>
    <col width="30" customWidth="1" min="14" max="14"/>
    <col width="44" customWidth="1" min="15" max="15"/>
    <col width="15" customWidth="1" min="16" max="16"/>
    <col width="14" customWidth="1" min="17" max="17"/>
  </cols>
  <sheetData>
    <row r="1">
      <c r="A1" s="1" t="inlineStr">
        <is>
          <t>BASE DE DATOS COMPLETA DE CATALOGACIÓN: CUBIERTAS E IMPERMEABILIZACIÓN</t>
        </is>
      </c>
    </row>
    <row r="2">
      <c r="A2" s="2" t="inlineStr">
        <is>
          <t>Estructura Jerárquica Homogénea: Accesorios &gt; Tuberías &gt; Equipos &gt; Conexiones &gt; Equipos Especializados | Degradé por Niveles (Ecuador - USD)</t>
        </is>
      </c>
    </row>
    <row r="3">
      <c r="A3" s="13" t="inlineStr">
        <is>
          <t>« Volver al Índice General</t>
        </is>
      </c>
    </row>
    <row r="5" ht="30" customHeight="1">
      <c r="A5" s="4" t="inlineStr">
        <is>
          <t>Item</t>
        </is>
      </c>
      <c r="B5" s="4" t="inlineStr">
        <is>
          <t>Descripción de Accesorio / Ítem Especificado</t>
        </is>
      </c>
      <c r="C5" s="4" t="inlineStr">
        <is>
          <t>Clasificación / Ámbito de Uso
(Residencial/Comercial/Industrial)</t>
        </is>
      </c>
      <c r="D5" s="4" t="inlineStr">
        <is>
          <t>Tipo / Familia</t>
        </is>
      </c>
      <c r="E5" s="4" t="inlineStr">
        <is>
          <t>Unidad</t>
        </is>
      </c>
      <c r="F5" s="4" t="inlineStr">
        <is>
          <t>Cant.</t>
        </is>
      </c>
      <c r="G5" s="4" t="inlineStr">
        <is>
          <t>P. Ref. Est. ($)</t>
        </is>
      </c>
      <c r="H5" s="4" t="inlineStr">
        <is>
          <t>P. Unit. Local A ($)
(Megametales)</t>
        </is>
      </c>
      <c r="I5" s="4" t="inlineStr">
        <is>
          <t>Local A
Especificado</t>
        </is>
      </c>
      <c r="J5" s="4" t="inlineStr">
        <is>
          <t>P. Unit. Local B ($)
(Kywi / Megakywi)</t>
        </is>
      </c>
      <c r="K5" s="4" t="inlineStr">
        <is>
          <t>Local B
Especificado</t>
        </is>
      </c>
      <c r="L5" s="4" t="inlineStr">
        <is>
          <t>Subtotal Est. ($)</t>
        </is>
      </c>
      <c r="M5" s="4" t="inlineStr">
        <is>
          <t>Código DION</t>
        </is>
      </c>
      <c r="N5" s="4" t="inlineStr">
        <is>
          <t>Disciplina</t>
        </is>
      </c>
      <c r="O5" s="4" t="inlineStr">
        <is>
          <t>Fuente del precio</t>
        </is>
      </c>
      <c r="P5" s="4" t="inlineStr">
        <is>
          <t>Fecha precio</t>
        </is>
      </c>
      <c r="Q5" s="4" t="inlineStr">
        <is>
          <t>Rendimiento /
desperdicio %</t>
        </is>
      </c>
    </row>
    <row r="6">
      <c r="A6" s="181" t="inlineStr">
        <is>
          <t>ACCESORIOS</t>
        </is>
      </c>
      <c r="B6" s="143" t="n"/>
      <c r="C6" s="143" t="n"/>
      <c r="D6" s="143" t="n"/>
      <c r="E6" s="143" t="n"/>
      <c r="F6" s="143" t="n"/>
      <c r="G6" s="143" t="n"/>
      <c r="H6" s="143" t="n"/>
      <c r="I6" s="143" t="n"/>
      <c r="J6" s="143" t="n"/>
      <c r="K6" s="143" t="n"/>
      <c r="L6" s="143" t="n"/>
      <c r="M6" s="143" t="n"/>
      <c r="N6" s="143" t="n"/>
      <c r="O6" s="143" t="n"/>
      <c r="P6" s="143" t="n"/>
      <c r="Q6" s="144" t="n"/>
    </row>
    <row r="7">
      <c r="A7" s="182" t="inlineStr">
        <is>
          <t xml:space="preserve">  ► CATEGORÍA: ACCESORIOS Y FIJACIONES DE CUBIERTA</t>
        </is>
      </c>
      <c r="B7" s="143" t="n"/>
      <c r="C7" s="143" t="n"/>
      <c r="D7" s="143" t="n"/>
      <c r="E7" s="143" t="n"/>
      <c r="F7" s="143" t="n"/>
      <c r="G7" s="143" t="n"/>
      <c r="H7" s="143" t="n"/>
      <c r="I7" s="143" t="n"/>
      <c r="J7" s="143" t="n"/>
      <c r="K7" s="143" t="n"/>
      <c r="L7" s="143" t="n"/>
      <c r="M7" s="143" t="n"/>
      <c r="N7" s="143" t="n"/>
      <c r="O7" s="143" t="n"/>
      <c r="P7" s="143" t="n"/>
      <c r="Q7" s="144" t="n"/>
    </row>
    <row r="8">
      <c r="A8" s="183" t="inlineStr">
        <is>
          <t xml:space="preserve">      • Subcategoría Especificada: Cumbreros, Tornillos, Capuchones, Cintas y Remates</t>
        </is>
      </c>
      <c r="B8" s="143" t="n"/>
      <c r="C8" s="143" t="n"/>
      <c r="D8" s="143" t="n"/>
      <c r="E8" s="143" t="n"/>
      <c r="F8" s="143" t="n"/>
      <c r="G8" s="143" t="n"/>
      <c r="H8" s="143" t="n"/>
      <c r="I8" s="143" t="n"/>
      <c r="J8" s="143" t="n"/>
      <c r="K8" s="143" t="n"/>
      <c r="L8" s="143" t="n"/>
      <c r="M8" s="143" t="n"/>
      <c r="N8" s="143" t="n"/>
      <c r="O8" s="143" t="n"/>
      <c r="P8" s="143" t="n"/>
      <c r="Q8" s="144" t="n"/>
    </row>
    <row r="9">
      <c r="A9" s="18" t="n">
        <v>1</v>
      </c>
      <c r="B9" s="19" t="inlineStr">
        <is>
          <t xml:space="preserve">        Tornillo Autoperforante Techo 12x1" con Arandela Neopreno (Ciento)</t>
        </is>
      </c>
      <c r="C9" s="20" t="inlineStr">
        <is>
          <t>Residencial / Comercial</t>
        </is>
      </c>
      <c r="D9" s="18" t="inlineStr">
        <is>
          <t>Tornillos Techo</t>
        </is>
      </c>
      <c r="E9" s="18" t="inlineStr">
        <is>
          <t>Ciento</t>
        </is>
      </c>
      <c r="F9" s="21" t="n">
        <v>4</v>
      </c>
      <c r="G9" s="22" t="n">
        <v>6.5</v>
      </c>
      <c r="H9" s="22" t="n">
        <v>6.76</v>
      </c>
      <c r="I9" s="18" t="inlineStr">
        <is>
          <t>Megametales</t>
        </is>
      </c>
      <c r="J9" s="22" t="n">
        <v>6.96</v>
      </c>
      <c r="K9" s="18" t="inlineStr">
        <is>
          <t>Kywi / Megakywi</t>
        </is>
      </c>
      <c r="L9" s="8">
        <f>F9*G9</f>
        <v/>
      </c>
      <c r="M9" s="145" t="inlineStr">
        <is>
          <t>A-B30-ACU-TOR-12X1</t>
        </is>
      </c>
      <c r="N9" s="18" t="inlineStr">
        <is>
          <t>Arquitectura</t>
        </is>
      </c>
      <c r="O9" s="18" t="inlineStr">
        <is>
          <t>Estimado DION · criterio de mercado Guayaquil 2026 (no verificado en tienda)</t>
        </is>
      </c>
      <c r="P9" s="18" t="inlineStr">
        <is>
          <t>oct-2026 (est.)</t>
        </is>
      </c>
      <c r="Q9" s="18" t="n">
        <v>5</v>
      </c>
    </row>
    <row r="10">
      <c r="A10" s="184" t="n">
        <v>2</v>
      </c>
      <c r="B10" s="185" t="inlineStr">
        <is>
          <t xml:space="preserve">        Tornillo Autoperforante Techo 14x3" (Panel Sándwich) (Ciento)</t>
        </is>
      </c>
      <c r="C10" s="186" t="inlineStr">
        <is>
          <t>Comercial / Industrial</t>
        </is>
      </c>
      <c r="D10" s="184" t="inlineStr">
        <is>
          <t>Tornillos Techo</t>
        </is>
      </c>
      <c r="E10" s="184" t="inlineStr">
        <is>
          <t>Ciento</t>
        </is>
      </c>
      <c r="F10" s="187" t="n">
        <v>2</v>
      </c>
      <c r="G10" s="188" t="n">
        <v>14.5</v>
      </c>
      <c r="H10" s="188" t="n">
        <v>15.23</v>
      </c>
      <c r="I10" s="184" t="inlineStr">
        <is>
          <t>Megametales</t>
        </is>
      </c>
      <c r="J10" s="188" t="n">
        <v>15.81</v>
      </c>
      <c r="K10" s="184" t="inlineStr">
        <is>
          <t>Kywi / Megakywi</t>
        </is>
      </c>
      <c r="L10" s="189">
        <f>F10*G10</f>
        <v/>
      </c>
      <c r="M10" s="190" t="inlineStr">
        <is>
          <t>A-B30-ACU-TOR-14X3</t>
        </is>
      </c>
      <c r="N10" s="184" t="inlineStr">
        <is>
          <t>Arquitectura</t>
        </is>
      </c>
      <c r="O10" s="184" t="inlineStr">
        <is>
          <t>Estimado DION · criterio de mercado Guayaquil 2026 (no verificado en tienda)</t>
        </is>
      </c>
      <c r="P10" s="184" t="inlineStr">
        <is>
          <t>oct-2026 (est.)</t>
        </is>
      </c>
      <c r="Q10" s="184" t="n">
        <v>5</v>
      </c>
    </row>
    <row r="11">
      <c r="A11" s="18" t="n">
        <v>3</v>
      </c>
      <c r="B11" s="19" t="inlineStr">
        <is>
          <t xml:space="preserve">        Cumbrero Galvalume Prepintado (2.4 m)</t>
        </is>
      </c>
      <c r="C11" s="20" t="inlineStr">
        <is>
          <t>Residencial / Comercial</t>
        </is>
      </c>
      <c r="D11" s="18" t="inlineStr">
        <is>
          <t>Cumbreros</t>
        </is>
      </c>
      <c r="E11" s="18" t="inlineStr">
        <is>
          <t>U</t>
        </is>
      </c>
      <c r="F11" s="21" t="n">
        <v>6</v>
      </c>
      <c r="G11" s="22" t="n">
        <v>9.5</v>
      </c>
      <c r="H11" s="22" t="n">
        <v>9.970000000000001</v>
      </c>
      <c r="I11" s="18" t="inlineStr">
        <is>
          <t>Megametales</t>
        </is>
      </c>
      <c r="J11" s="22" t="n">
        <v>10.36</v>
      </c>
      <c r="K11" s="18" t="inlineStr">
        <is>
          <t>Kywi / Megakywi</t>
        </is>
      </c>
      <c r="L11" s="8">
        <f>F11*G11</f>
        <v/>
      </c>
      <c r="M11" s="145" t="inlineStr">
        <is>
          <t>A-B30-ACU-CUM-GAL</t>
        </is>
      </c>
      <c r="N11" s="18" t="inlineStr">
        <is>
          <t>Arquitectura</t>
        </is>
      </c>
      <c r="O11" s="18" t="inlineStr">
        <is>
          <t>Estimado DION · criterio de mercado Guayaquil 2026 (no verificado en tienda)</t>
        </is>
      </c>
      <c r="P11" s="18" t="inlineStr">
        <is>
          <t>oct-2026 (est.)</t>
        </is>
      </c>
      <c r="Q11" s="18" t="n">
        <v>5</v>
      </c>
    </row>
    <row r="12">
      <c r="A12" s="184" t="n">
        <v>4</v>
      </c>
      <c r="B12" s="185" t="inlineStr">
        <is>
          <t xml:space="preserve">        Cumbrero Fibrocemento / Teja</t>
        </is>
      </c>
      <c r="C12" s="186" t="inlineStr">
        <is>
          <t>Residencial / Comercial</t>
        </is>
      </c>
      <c r="D12" s="184" t="inlineStr">
        <is>
          <t>Cumbreros</t>
        </is>
      </c>
      <c r="E12" s="184" t="inlineStr">
        <is>
          <t>U</t>
        </is>
      </c>
      <c r="F12" s="187" t="n">
        <v>6</v>
      </c>
      <c r="G12" s="188" t="n">
        <v>6.5</v>
      </c>
      <c r="H12" s="188" t="n">
        <v>6.76</v>
      </c>
      <c r="I12" s="184" t="inlineStr">
        <is>
          <t>Megametales</t>
        </is>
      </c>
      <c r="J12" s="188" t="n">
        <v>7.02</v>
      </c>
      <c r="K12" s="184" t="inlineStr">
        <is>
          <t>Kywi / Megakywi</t>
        </is>
      </c>
      <c r="L12" s="189">
        <f>F12*G12</f>
        <v/>
      </c>
      <c r="M12" s="190" t="inlineStr">
        <is>
          <t>A-B30-ACU-CUM-FCM</t>
        </is>
      </c>
      <c r="N12" s="184" t="inlineStr">
        <is>
          <t>Arquitectura</t>
        </is>
      </c>
      <c r="O12" s="184" t="inlineStr">
        <is>
          <t>Estimado DION · criterio de mercado Guayaquil 2026 (no verificado en tienda)</t>
        </is>
      </c>
      <c r="P12" s="184" t="inlineStr">
        <is>
          <t>oct-2026 (est.)</t>
        </is>
      </c>
      <c r="Q12" s="184" t="n">
        <v>5</v>
      </c>
    </row>
    <row r="13">
      <c r="A13" s="18" t="n">
        <v>5</v>
      </c>
      <c r="B13" s="19" t="inlineStr">
        <is>
          <t xml:space="preserve">        Flashing / Remate Lateral Galvalume Desarrollo 40 cm (2.4 m)</t>
        </is>
      </c>
      <c r="C13" s="20" t="inlineStr">
        <is>
          <t>Residencial / Comercial</t>
        </is>
      </c>
      <c r="D13" s="18" t="inlineStr">
        <is>
          <t>Remates</t>
        </is>
      </c>
      <c r="E13" s="18" t="inlineStr">
        <is>
          <t>U</t>
        </is>
      </c>
      <c r="F13" s="21" t="n">
        <v>6</v>
      </c>
      <c r="G13" s="22" t="n">
        <v>8.5</v>
      </c>
      <c r="H13" s="22" t="n">
        <v>8.76</v>
      </c>
      <c r="I13" s="18" t="inlineStr">
        <is>
          <t>Megametales</t>
        </is>
      </c>
      <c r="J13" s="22" t="n">
        <v>9.35</v>
      </c>
      <c r="K13" s="18" t="inlineStr">
        <is>
          <t>Kywi / Megakywi</t>
        </is>
      </c>
      <c r="L13" s="8">
        <f>F13*G13</f>
        <v/>
      </c>
      <c r="M13" s="145" t="inlineStr">
        <is>
          <t>A-B30-ACU-FLA-040</t>
        </is>
      </c>
      <c r="N13" s="18" t="inlineStr">
        <is>
          <t>Arquitectura</t>
        </is>
      </c>
      <c r="O13" s="18" t="inlineStr">
        <is>
          <t>Estimado DION · criterio de mercado Guayaquil 2026 (no verificado en tienda)</t>
        </is>
      </c>
      <c r="P13" s="18" t="inlineStr">
        <is>
          <t>oct-2026 (est.)</t>
        </is>
      </c>
      <c r="Q13" s="18" t="n">
        <v>5</v>
      </c>
    </row>
    <row r="14">
      <c r="A14" s="184" t="n">
        <v>6</v>
      </c>
      <c r="B14" s="185" t="inlineStr">
        <is>
          <t xml:space="preserve">        Botaguas Galvanizado Prepintado (2.4 m)</t>
        </is>
      </c>
      <c r="C14" s="186" t="inlineStr">
        <is>
          <t>Residencial / Comercial</t>
        </is>
      </c>
      <c r="D14" s="184" t="inlineStr">
        <is>
          <t>Botaguas</t>
        </is>
      </c>
      <c r="E14" s="184" t="inlineStr">
        <is>
          <t>U</t>
        </is>
      </c>
      <c r="F14" s="187" t="n">
        <v>6</v>
      </c>
      <c r="G14" s="188" t="n">
        <v>7.5</v>
      </c>
      <c r="H14" s="188" t="n">
        <v>7.65</v>
      </c>
      <c r="I14" s="184" t="inlineStr">
        <is>
          <t>Megametales</t>
        </is>
      </c>
      <c r="J14" s="188" t="n">
        <v>8.25</v>
      </c>
      <c r="K14" s="184" t="inlineStr">
        <is>
          <t>Kywi / Megakywi</t>
        </is>
      </c>
      <c r="L14" s="189">
        <f>F14*G14</f>
        <v/>
      </c>
      <c r="M14" s="190" t="inlineStr">
        <is>
          <t>A-B30-CAN-BOT-GAL</t>
        </is>
      </c>
      <c r="N14" s="184" t="inlineStr">
        <is>
          <t>Arquitectura</t>
        </is>
      </c>
      <c r="O14" s="184" t="inlineStr">
        <is>
          <t>Estimado DION · criterio de mercado Guayaquil 2026 (no verificado en tienda)</t>
        </is>
      </c>
      <c r="P14" s="184" t="inlineStr">
        <is>
          <t>oct-2026 (est.)</t>
        </is>
      </c>
      <c r="Q14" s="184" t="n">
        <v>5</v>
      </c>
    </row>
    <row r="15">
      <c r="A15" s="18" t="n">
        <v>7</v>
      </c>
      <c r="B15" s="19" t="inlineStr">
        <is>
          <t xml:space="preserve">        Cinta Butílica Autoadhesiva Aluminizada 10 cm x 10 m</t>
        </is>
      </c>
      <c r="C15" s="20" t="inlineStr">
        <is>
          <t>Residencial / Comercial</t>
        </is>
      </c>
      <c r="D15" s="18" t="inlineStr">
        <is>
          <t>Cintas Selladoras</t>
        </is>
      </c>
      <c r="E15" s="18" t="inlineStr">
        <is>
          <t>Rollo</t>
        </is>
      </c>
      <c r="F15" s="21" t="n">
        <v>2</v>
      </c>
      <c r="G15" s="22" t="n">
        <v>14</v>
      </c>
      <c r="H15" s="22" t="n">
        <v>14.7</v>
      </c>
      <c r="I15" s="18" t="inlineStr">
        <is>
          <t>Megametales</t>
        </is>
      </c>
      <c r="J15" s="22" t="n">
        <v>15.12</v>
      </c>
      <c r="K15" s="18" t="inlineStr">
        <is>
          <t>Kywi / Megakywi</t>
        </is>
      </c>
      <c r="L15" s="8">
        <f>F15*G15</f>
        <v/>
      </c>
      <c r="M15" s="145" t="inlineStr">
        <is>
          <t>A-B30-ACU-CIN-BUT</t>
        </is>
      </c>
      <c r="N15" s="18" t="inlineStr">
        <is>
          <t>Arquitectura</t>
        </is>
      </c>
      <c r="O15" s="18" t="inlineStr">
        <is>
          <t>Estimado DION · criterio de mercado Guayaquil 2026 (no verificado en tienda)</t>
        </is>
      </c>
      <c r="P15" s="18" t="inlineStr">
        <is>
          <t>oct-2026 (est.)</t>
        </is>
      </c>
      <c r="Q15" s="18" t="n">
        <v>5</v>
      </c>
    </row>
    <row r="16">
      <c r="A16" s="184" t="n">
        <v>8</v>
      </c>
      <c r="B16" s="185" t="inlineStr">
        <is>
          <t xml:space="preserve">        Capuchón / Tapajuntas Plástico para Tornillo (Ciento)</t>
        </is>
      </c>
      <c r="C16" s="186" t="inlineStr">
        <is>
          <t>Residencial / Comercial</t>
        </is>
      </c>
      <c r="D16" s="184" t="inlineStr">
        <is>
          <t>Capuchones</t>
        </is>
      </c>
      <c r="E16" s="184" t="inlineStr">
        <is>
          <t>Ciento</t>
        </is>
      </c>
      <c r="F16" s="187" t="n">
        <v>4</v>
      </c>
      <c r="G16" s="188" t="n">
        <v>3.5</v>
      </c>
      <c r="H16" s="188" t="n">
        <v>3.57</v>
      </c>
      <c r="I16" s="184" t="inlineStr">
        <is>
          <t>Megametales</t>
        </is>
      </c>
      <c r="J16" s="188" t="n">
        <v>3.85</v>
      </c>
      <c r="K16" s="184" t="inlineStr">
        <is>
          <t>Kywi / Megakywi</t>
        </is>
      </c>
      <c r="L16" s="189">
        <f>F16*G16</f>
        <v/>
      </c>
      <c r="M16" s="190" t="inlineStr">
        <is>
          <t>A-B30-ACU-CAP</t>
        </is>
      </c>
      <c r="N16" s="184" t="inlineStr">
        <is>
          <t>Arquitectura</t>
        </is>
      </c>
      <c r="O16" s="184" t="inlineStr">
        <is>
          <t>Estimado DION · criterio de mercado Guayaquil 2026 (no verificado en tienda)</t>
        </is>
      </c>
      <c r="P16" s="184" t="inlineStr">
        <is>
          <t>oct-2026 (est.)</t>
        </is>
      </c>
      <c r="Q16" s="184" t="n">
        <v>5</v>
      </c>
    </row>
    <row r="17">
      <c r="A17" s="18" t="n">
        <v>9</v>
      </c>
      <c r="B17" s="19" t="inlineStr">
        <is>
          <t xml:space="preserve">        Cierre Espuma Perfilado para Onda (m)</t>
        </is>
      </c>
      <c r="C17" s="20" t="inlineStr">
        <is>
          <t>Residencial / Comercial</t>
        </is>
      </c>
      <c r="D17" s="18" t="inlineStr">
        <is>
          <t>Cierres</t>
        </is>
      </c>
      <c r="E17" s="18" t="inlineStr">
        <is>
          <t>m</t>
        </is>
      </c>
      <c r="F17" s="21" t="n">
        <v>20</v>
      </c>
      <c r="G17" s="22" t="n">
        <v>0.95</v>
      </c>
      <c r="H17" s="22" t="n">
        <v>1</v>
      </c>
      <c r="I17" s="18" t="inlineStr">
        <is>
          <t>Megametales</t>
        </is>
      </c>
      <c r="J17" s="22" t="n">
        <v>1.02</v>
      </c>
      <c r="K17" s="18" t="inlineStr">
        <is>
          <t>Kywi / Megakywi</t>
        </is>
      </c>
      <c r="L17" s="8">
        <f>F17*G17</f>
        <v/>
      </c>
      <c r="M17" s="145" t="inlineStr">
        <is>
          <t>A-B30-ACU-CIE-ESP</t>
        </is>
      </c>
      <c r="N17" s="18" t="inlineStr">
        <is>
          <t>Arquitectura</t>
        </is>
      </c>
      <c r="O17" s="18" t="inlineStr">
        <is>
          <t>Estimado DION · criterio de mercado Guayaquil 2026 (no verificado en tienda)</t>
        </is>
      </c>
      <c r="P17" s="18" t="inlineStr">
        <is>
          <t>oct-2026 (est.)</t>
        </is>
      </c>
      <c r="Q17" s="18" t="n">
        <v>5</v>
      </c>
    </row>
    <row r="18">
      <c r="A18" s="184" t="n">
        <v>10</v>
      </c>
      <c r="B18" s="185" t="inlineStr">
        <is>
          <t xml:space="preserve">        Aislante Térmico Reflectivo Foil Burbuja 1.2x40 m</t>
        </is>
      </c>
      <c r="C18" s="186" t="inlineStr">
        <is>
          <t>Residencial / Comercial</t>
        </is>
      </c>
      <c r="D18" s="184" t="inlineStr">
        <is>
          <t>Aislantes Térmicos</t>
        </is>
      </c>
      <c r="E18" s="184" t="inlineStr">
        <is>
          <t>Rollo</t>
        </is>
      </c>
      <c r="F18" s="187" t="n">
        <v>1</v>
      </c>
      <c r="G18" s="188" t="n">
        <v>85</v>
      </c>
      <c r="H18" s="188" t="n">
        <v>88.40000000000001</v>
      </c>
      <c r="I18" s="184" t="inlineStr">
        <is>
          <t>Megametales</t>
        </is>
      </c>
      <c r="J18" s="188" t="n">
        <v>92.65000000000001</v>
      </c>
      <c r="K18" s="184" t="inlineStr">
        <is>
          <t>Kywi / Megakywi</t>
        </is>
      </c>
      <c r="L18" s="189">
        <f>F18*G18</f>
        <v/>
      </c>
      <c r="M18" s="190" t="inlineStr">
        <is>
          <t>A-B30-ACU-AIS-FOI</t>
        </is>
      </c>
      <c r="N18" s="184" t="inlineStr">
        <is>
          <t>Arquitectura</t>
        </is>
      </c>
      <c r="O18" s="184" t="inlineStr">
        <is>
          <t>Estimado DION · criterio de mercado Guayaquil 2026 (no verificado en tienda)</t>
        </is>
      </c>
      <c r="P18" s="184" t="inlineStr">
        <is>
          <t>oct-2026 (est.)</t>
        </is>
      </c>
      <c r="Q18" s="184" t="n">
        <v>8</v>
      </c>
    </row>
    <row r="19">
      <c r="A19" s="18" t="n">
        <v>11</v>
      </c>
      <c r="B19" s="19" t="inlineStr">
        <is>
          <t xml:space="preserve">        Lana de Vidrio con Foil para Cubierta 2" (Rollo 18 m²)</t>
        </is>
      </c>
      <c r="C19" s="20" t="inlineStr">
        <is>
          <t>Comercial / Industrial</t>
        </is>
      </c>
      <c r="D19" s="18" t="inlineStr">
        <is>
          <t>Aislantes Térmicos</t>
        </is>
      </c>
      <c r="E19" s="18" t="inlineStr">
        <is>
          <t>Rollo</t>
        </is>
      </c>
      <c r="F19" s="21" t="n">
        <v>2</v>
      </c>
      <c r="G19" s="22" t="n">
        <v>58</v>
      </c>
      <c r="H19" s="22" t="n">
        <v>59.74</v>
      </c>
      <c r="I19" s="18" t="inlineStr">
        <is>
          <t>Megametales</t>
        </is>
      </c>
      <c r="J19" s="22" t="n">
        <v>62.06</v>
      </c>
      <c r="K19" s="18" t="inlineStr">
        <is>
          <t>Kywi / Megakywi</t>
        </is>
      </c>
      <c r="L19" s="8">
        <f>F19*G19</f>
        <v/>
      </c>
      <c r="M19" s="145" t="inlineStr">
        <is>
          <t>A-B30-ACU-AIS-LAN</t>
        </is>
      </c>
      <c r="N19" s="18" t="inlineStr">
        <is>
          <t>Arquitectura</t>
        </is>
      </c>
      <c r="O19" s="18" t="inlineStr">
        <is>
          <t>Estimado DION · criterio de mercado Guayaquil 2026 (no verificado en tienda)</t>
        </is>
      </c>
      <c r="P19" s="18" t="inlineStr">
        <is>
          <t>oct-2026 (est.)</t>
        </is>
      </c>
      <c r="Q19" s="18" t="n">
        <v>5</v>
      </c>
    </row>
    <row r="20">
      <c r="A20" s="184" t="n">
        <v>12</v>
      </c>
      <c r="B20" s="185" t="inlineStr">
        <is>
          <t xml:space="preserve">        Línea de Vida Horizontal (Kit 20 m)</t>
        </is>
      </c>
      <c r="C20" s="186" t="inlineStr">
        <is>
          <t>Comercial / Industrial</t>
        </is>
      </c>
      <c r="D20" s="184" t="inlineStr">
        <is>
          <t>Seguridad Cubierta</t>
        </is>
      </c>
      <c r="E20" s="184" t="inlineStr">
        <is>
          <t>Kit</t>
        </is>
      </c>
      <c r="F20" s="187" t="n">
        <v>0</v>
      </c>
      <c r="G20" s="188" t="n">
        <v>780</v>
      </c>
      <c r="H20" s="188" t="n">
        <v>795.6</v>
      </c>
      <c r="I20" s="184" t="inlineStr">
        <is>
          <t>Megametales</t>
        </is>
      </c>
      <c r="J20" s="188" t="n">
        <v>850.2</v>
      </c>
      <c r="K20" s="184" t="inlineStr">
        <is>
          <t>Kywi / Megakywi</t>
        </is>
      </c>
      <c r="L20" s="189">
        <f>F20*G20</f>
        <v/>
      </c>
      <c r="M20" s="190" t="inlineStr">
        <is>
          <t>A-B30-ACU-LVI-20M</t>
        </is>
      </c>
      <c r="N20" s="184" t="inlineStr">
        <is>
          <t>Arquitectura</t>
        </is>
      </c>
      <c r="O20" s="184" t="inlineStr">
        <is>
          <t>Estimado DION · criterio de mercado Guayaquil 2026 (no verificado en tienda)</t>
        </is>
      </c>
      <c r="P20" s="184" t="inlineStr">
        <is>
          <t>oct-2026 (est.)</t>
        </is>
      </c>
      <c r="Q20" s="184" t="n"/>
    </row>
    <row r="21">
      <c r="A21" s="181" t="inlineStr">
        <is>
          <t>TUBERÍAS</t>
        </is>
      </c>
      <c r="B21" s="143" t="n"/>
      <c r="C21" s="143" t="n"/>
      <c r="D21" s="143" t="n"/>
      <c r="E21" s="143" t="n"/>
      <c r="F21" s="143" t="n"/>
      <c r="G21" s="143" t="n"/>
      <c r="H21" s="143" t="n"/>
      <c r="I21" s="143" t="n"/>
      <c r="J21" s="143" t="n"/>
      <c r="K21" s="143" t="n"/>
      <c r="L21" s="143" t="n"/>
      <c r="M21" s="143" t="n"/>
      <c r="N21" s="143" t="n"/>
      <c r="O21" s="143" t="n"/>
      <c r="P21" s="143" t="n"/>
      <c r="Q21" s="144" t="n"/>
    </row>
    <row r="22">
      <c r="A22" s="182" t="inlineStr">
        <is>
          <t xml:space="preserve">  ► CATEGORÍA: CANALES, BOTAGUAS Y CUMBRERAS METÁLICAS</t>
        </is>
      </c>
      <c r="B22" s="143" t="n"/>
      <c r="C22" s="143" t="n"/>
      <c r="D22" s="143" t="n"/>
      <c r="E22" s="143" t="n"/>
      <c r="F22" s="143" t="n"/>
      <c r="G22" s="143" t="n"/>
      <c r="H22" s="143" t="n"/>
      <c r="I22" s="143" t="n"/>
      <c r="J22" s="143" t="n"/>
      <c r="K22" s="143" t="n"/>
      <c r="L22" s="143" t="n"/>
      <c r="M22" s="143" t="n"/>
      <c r="N22" s="143" t="n"/>
      <c r="O22" s="143" t="n"/>
      <c r="P22" s="143" t="n"/>
      <c r="Q22" s="144" t="n"/>
    </row>
    <row r="23">
      <c r="A23" s="183" t="inlineStr">
        <is>
          <t xml:space="preserve">      • Subcategoría Especificada: Canales por Desarrollo (m)</t>
        </is>
      </c>
      <c r="B23" s="143" t="n"/>
      <c r="C23" s="143" t="n"/>
      <c r="D23" s="143" t="n"/>
      <c r="E23" s="143" t="n"/>
      <c r="F23" s="143" t="n"/>
      <c r="G23" s="143" t="n"/>
      <c r="H23" s="143" t="n"/>
      <c r="I23" s="143" t="n"/>
      <c r="J23" s="143" t="n"/>
      <c r="K23" s="143" t="n"/>
      <c r="L23" s="143" t="n"/>
      <c r="M23" s="143" t="n"/>
      <c r="N23" s="143" t="n"/>
      <c r="O23" s="143" t="n"/>
      <c r="P23" s="143" t="n"/>
      <c r="Q23" s="144" t="n"/>
    </row>
    <row r="24">
      <c r="A24" s="18" t="n">
        <v>13</v>
      </c>
      <c r="B24" s="19" t="inlineStr">
        <is>
          <t xml:space="preserve">        Canal de Hormigón con Impermeabilización 40 cm (m)</t>
        </is>
      </c>
      <c r="C24" s="20" t="inlineStr">
        <is>
          <t>Comercial / Industrial</t>
        </is>
      </c>
      <c r="D24" s="18" t="inlineStr">
        <is>
          <t>Canales H.A.</t>
        </is>
      </c>
      <c r="E24" s="18" t="inlineStr">
        <is>
          <t>m</t>
        </is>
      </c>
      <c r="F24" s="21" t="n">
        <v>10</v>
      </c>
      <c r="G24" s="22" t="n">
        <v>28</v>
      </c>
      <c r="H24" s="22" t="n">
        <v>29.4</v>
      </c>
      <c r="I24" s="18" t="inlineStr">
        <is>
          <t>Megametales</t>
        </is>
      </c>
      <c r="J24" s="22" t="n">
        <v>31.08</v>
      </c>
      <c r="K24" s="18" t="inlineStr">
        <is>
          <t>Kywi / Megakywi</t>
        </is>
      </c>
      <c r="L24" s="8">
        <f>F24*G24</f>
        <v/>
      </c>
      <c r="M24" s="145" t="inlineStr">
        <is>
          <t>A-B30-CAN-FND-40</t>
        </is>
      </c>
      <c r="N24" s="18" t="inlineStr">
        <is>
          <t>Arquitectura</t>
        </is>
      </c>
      <c r="O24" s="18" t="inlineStr">
        <is>
          <t>Estimado DION · criterio de mercado Guayaquil 2026 (no verificado en tienda)</t>
        </is>
      </c>
      <c r="P24" s="18" t="inlineStr">
        <is>
          <t>oct-2026 (est.)</t>
        </is>
      </c>
      <c r="Q24" s="18" t="n">
        <v>3</v>
      </c>
    </row>
    <row r="25">
      <c r="A25" s="184" t="n">
        <v>14</v>
      </c>
      <c r="B25" s="185" t="inlineStr">
        <is>
          <t xml:space="preserve">        Cumbrera Galvanizada Desarrollo 60 cm (m)</t>
        </is>
      </c>
      <c r="C25" s="186" t="inlineStr">
        <is>
          <t>Residencial / Comercial</t>
        </is>
      </c>
      <c r="D25" s="184" t="inlineStr">
        <is>
          <t>Cumbreras</t>
        </is>
      </c>
      <c r="E25" s="184" t="inlineStr">
        <is>
          <t>m</t>
        </is>
      </c>
      <c r="F25" s="187" t="n">
        <v>10</v>
      </c>
      <c r="G25" s="188" t="n">
        <v>8.5</v>
      </c>
      <c r="H25" s="188" t="n">
        <v>8.84</v>
      </c>
      <c r="I25" s="184" t="inlineStr">
        <is>
          <t>Megametales</t>
        </is>
      </c>
      <c r="J25" s="188" t="n">
        <v>9.18</v>
      </c>
      <c r="K25" s="184" t="inlineStr">
        <is>
          <t>Kywi / Megakywi</t>
        </is>
      </c>
      <c r="L25" s="189">
        <f>F25*G25</f>
        <v/>
      </c>
      <c r="M25" s="190" t="inlineStr">
        <is>
          <t>A-B30-CAN-CUM-GAL</t>
        </is>
      </c>
      <c r="N25" s="184" t="inlineStr">
        <is>
          <t>Arquitectura</t>
        </is>
      </c>
      <c r="O25" s="184" t="inlineStr">
        <is>
          <t>Estimado DION · criterio de mercado Guayaquil 2026 (no verificado en tienda)</t>
        </is>
      </c>
      <c r="P25" s="184" t="inlineStr">
        <is>
          <t>oct-2026 (est.)</t>
        </is>
      </c>
      <c r="Q25" s="184" t="n">
        <v>5</v>
      </c>
    </row>
    <row r="26">
      <c r="A26" s="18" t="n">
        <v>15</v>
      </c>
      <c r="B26" s="19" t="inlineStr">
        <is>
          <t xml:space="preserve">        Canal Acero Inoxidable Desarrollo 60 cm (m)</t>
        </is>
      </c>
      <c r="C26" s="20" t="inlineStr">
        <is>
          <t>Comercial</t>
        </is>
      </c>
      <c r="D26" s="18" t="inlineStr">
        <is>
          <t>Canales Inox</t>
        </is>
      </c>
      <c r="E26" s="18" t="inlineStr">
        <is>
          <t>m</t>
        </is>
      </c>
      <c r="F26" s="21" t="n">
        <v>10</v>
      </c>
      <c r="G26" s="22" t="n">
        <v>38</v>
      </c>
      <c r="H26" s="22" t="n">
        <v>39.14</v>
      </c>
      <c r="I26" s="18" t="inlineStr">
        <is>
          <t>Megametales</t>
        </is>
      </c>
      <c r="J26" s="22" t="n">
        <v>41.8</v>
      </c>
      <c r="K26" s="18" t="inlineStr">
        <is>
          <t>Kywi / Megakywi</t>
        </is>
      </c>
      <c r="L26" s="8">
        <f>F26*G26</f>
        <v/>
      </c>
      <c r="M26" s="145" t="inlineStr">
        <is>
          <t>A-B30-CAN-INX-060</t>
        </is>
      </c>
      <c r="N26" s="18" t="inlineStr">
        <is>
          <t>Arquitectura</t>
        </is>
      </c>
      <c r="O26" s="18" t="inlineStr">
        <is>
          <t>Estimado DION · criterio de mercado Guayaquil 2026 (no verificado en tienda)</t>
        </is>
      </c>
      <c r="P26" s="18" t="inlineStr">
        <is>
          <t>oct-2026 (est.)</t>
        </is>
      </c>
      <c r="Q26" s="18" t="n">
        <v>5</v>
      </c>
    </row>
    <row r="27">
      <c r="A27" s="181" t="inlineStr">
        <is>
          <t>EQUIPOS</t>
        </is>
      </c>
      <c r="B27" s="143" t="n"/>
      <c r="C27" s="143" t="n"/>
      <c r="D27" s="143" t="n"/>
      <c r="E27" s="143" t="n"/>
      <c r="F27" s="143" t="n"/>
      <c r="G27" s="143" t="n"/>
      <c r="H27" s="143" t="n"/>
      <c r="I27" s="143" t="n"/>
      <c r="J27" s="143" t="n"/>
      <c r="K27" s="143" t="n"/>
      <c r="L27" s="143" t="n"/>
      <c r="M27" s="143" t="n"/>
      <c r="N27" s="143" t="n"/>
      <c r="O27" s="143" t="n"/>
      <c r="P27" s="143" t="n"/>
      <c r="Q27" s="144" t="n"/>
    </row>
    <row r="28">
      <c r="A28" s="182" t="inlineStr">
        <is>
          <t xml:space="preserve">  ► CATEGORÍA: LUCERNARIOS, CLARABOYAS Y DUCTOS SOLARES</t>
        </is>
      </c>
      <c r="B28" s="143" t="n"/>
      <c r="C28" s="143" t="n"/>
      <c r="D28" s="143" t="n"/>
      <c r="E28" s="143" t="n"/>
      <c r="F28" s="143" t="n"/>
      <c r="G28" s="143" t="n"/>
      <c r="H28" s="143" t="n"/>
      <c r="I28" s="143" t="n"/>
      <c r="J28" s="143" t="n"/>
      <c r="K28" s="143" t="n"/>
      <c r="L28" s="143" t="n"/>
      <c r="M28" s="143" t="n"/>
      <c r="N28" s="143" t="n"/>
      <c r="O28" s="143" t="n"/>
      <c r="P28" s="143" t="n"/>
      <c r="Q28" s="144" t="n"/>
    </row>
    <row r="29">
      <c r="A29" s="183" t="inlineStr">
        <is>
          <t xml:space="preserve">      • Subcategoría Especificada: Por Tamaño</t>
        </is>
      </c>
      <c r="B29" s="143" t="n"/>
      <c r="C29" s="143" t="n"/>
      <c r="D29" s="143" t="n"/>
      <c r="E29" s="143" t="n"/>
      <c r="F29" s="143" t="n"/>
      <c r="G29" s="143" t="n"/>
      <c r="H29" s="143" t="n"/>
      <c r="I29" s="143" t="n"/>
      <c r="J29" s="143" t="n"/>
      <c r="K29" s="143" t="n"/>
      <c r="L29" s="143" t="n"/>
      <c r="M29" s="143" t="n"/>
      <c r="N29" s="143" t="n"/>
      <c r="O29" s="143" t="n"/>
      <c r="P29" s="143" t="n"/>
      <c r="Q29" s="144" t="n"/>
    </row>
    <row r="30">
      <c r="A30" s="184" t="n">
        <v>16</v>
      </c>
      <c r="B30" s="185" t="inlineStr">
        <is>
          <t xml:space="preserve">        Claraboya Policarbonato Domo 60x60 cm</t>
        </is>
      </c>
      <c r="C30" s="186" t="inlineStr">
        <is>
          <t>Residencial / Comercial</t>
        </is>
      </c>
      <c r="D30" s="184" t="inlineStr">
        <is>
          <t>Lucernarios</t>
        </is>
      </c>
      <c r="E30" s="184" t="inlineStr">
        <is>
          <t>U</t>
        </is>
      </c>
      <c r="F30" s="187" t="n">
        <v>1</v>
      </c>
      <c r="G30" s="188" t="n">
        <v>85</v>
      </c>
      <c r="H30" s="188" t="n">
        <v>86.7</v>
      </c>
      <c r="I30" s="184" t="inlineStr">
        <is>
          <t>Megametales</t>
        </is>
      </c>
      <c r="J30" s="188" t="n">
        <v>90.95</v>
      </c>
      <c r="K30" s="184" t="inlineStr">
        <is>
          <t>Kywi / Megakywi</t>
        </is>
      </c>
      <c r="L30" s="189">
        <f>F30*G30</f>
        <v/>
      </c>
      <c r="M30" s="190" t="inlineStr">
        <is>
          <t>A-B30-LUC-POL-060X060</t>
        </is>
      </c>
      <c r="N30" s="184" t="inlineStr">
        <is>
          <t>Arquitectura</t>
        </is>
      </c>
      <c r="O30" s="184" t="inlineStr">
        <is>
          <t>Estimado DION · criterio de mercado Guayaquil 2026 (no verificado en tienda)</t>
        </is>
      </c>
      <c r="P30" s="184" t="inlineStr">
        <is>
          <t>oct-2026 (est.)</t>
        </is>
      </c>
      <c r="Q30" s="184" t="n"/>
    </row>
    <row r="31">
      <c r="A31" s="18" t="n">
        <v>17</v>
      </c>
      <c r="B31" s="19" t="inlineStr">
        <is>
          <t xml:space="preserve">        Claraboya Domo 90x90 cm</t>
        </is>
      </c>
      <c r="C31" s="20" t="inlineStr">
        <is>
          <t>Residencial / Comercial</t>
        </is>
      </c>
      <c r="D31" s="18" t="inlineStr">
        <is>
          <t>Lucernarios</t>
        </is>
      </c>
      <c r="E31" s="18" t="inlineStr">
        <is>
          <t>U</t>
        </is>
      </c>
      <c r="F31" s="21" t="n">
        <v>1</v>
      </c>
      <c r="G31" s="22" t="n">
        <v>135</v>
      </c>
      <c r="H31" s="22" t="n">
        <v>140.4</v>
      </c>
      <c r="I31" s="18" t="inlineStr">
        <is>
          <t>Megametales</t>
        </is>
      </c>
      <c r="J31" s="22" t="n">
        <v>147.15</v>
      </c>
      <c r="K31" s="18" t="inlineStr">
        <is>
          <t>Kywi / Megakywi</t>
        </is>
      </c>
      <c r="L31" s="8">
        <f>F31*G31</f>
        <v/>
      </c>
      <c r="M31" s="145" t="inlineStr">
        <is>
          <t>A-B30-LUC-POL-090X090</t>
        </is>
      </c>
      <c r="N31" s="18" t="inlineStr">
        <is>
          <t>Arquitectura</t>
        </is>
      </c>
      <c r="O31" s="18" t="inlineStr">
        <is>
          <t>Estimado DION · criterio de mercado Guayaquil 2026 (no verificado en tienda)</t>
        </is>
      </c>
      <c r="P31" s="18" t="inlineStr">
        <is>
          <t>oct-2026 (est.)</t>
        </is>
      </c>
      <c r="Q31" s="18" t="n"/>
    </row>
    <row r="32">
      <c r="A32" s="184" t="n">
        <v>18</v>
      </c>
      <c r="B32" s="185" t="inlineStr">
        <is>
          <t xml:space="preserve">        Claraboya Domo 120x120 cm</t>
        </is>
      </c>
      <c r="C32" s="186" t="inlineStr">
        <is>
          <t>Residencial / Comercial</t>
        </is>
      </c>
      <c r="D32" s="184" t="inlineStr">
        <is>
          <t>Lucernarios</t>
        </is>
      </c>
      <c r="E32" s="184" t="inlineStr">
        <is>
          <t>U</t>
        </is>
      </c>
      <c r="F32" s="187" t="n">
        <v>1</v>
      </c>
      <c r="G32" s="188" t="n">
        <v>210</v>
      </c>
      <c r="H32" s="188" t="n">
        <v>218.4</v>
      </c>
      <c r="I32" s="184" t="inlineStr">
        <is>
          <t>Megametales</t>
        </is>
      </c>
      <c r="J32" s="188" t="n">
        <v>233.1</v>
      </c>
      <c r="K32" s="184" t="inlineStr">
        <is>
          <t>Kywi / Megakywi</t>
        </is>
      </c>
      <c r="L32" s="189">
        <f>F32*G32</f>
        <v/>
      </c>
      <c r="M32" s="190" t="inlineStr">
        <is>
          <t>A-B30-LUC-POL-120X120</t>
        </is>
      </c>
      <c r="N32" s="184" t="inlineStr">
        <is>
          <t>Arquitectura</t>
        </is>
      </c>
      <c r="O32" s="184" t="inlineStr">
        <is>
          <t>Estimado DION · criterio de mercado Guayaquil 2026 (no verificado en tienda)</t>
        </is>
      </c>
      <c r="P32" s="184" t="inlineStr">
        <is>
          <t>oct-2026 (est.)</t>
        </is>
      </c>
      <c r="Q32" s="184" t="n"/>
    </row>
    <row r="33">
      <c r="A33" s="18" t="n">
        <v>19</v>
      </c>
      <c r="B33" s="19" t="inlineStr">
        <is>
          <t xml:space="preserve">        Lucernario Policarbonato 120x240 cm</t>
        </is>
      </c>
      <c r="C33" s="20" t="inlineStr">
        <is>
          <t>Residencial / Comercial</t>
        </is>
      </c>
      <c r="D33" s="18" t="inlineStr">
        <is>
          <t>Lucernarios</t>
        </is>
      </c>
      <c r="E33" s="18" t="inlineStr">
        <is>
          <t>U</t>
        </is>
      </c>
      <c r="F33" s="21" t="n">
        <v>1</v>
      </c>
      <c r="G33" s="22" t="n">
        <v>360</v>
      </c>
      <c r="H33" s="22" t="n">
        <v>378</v>
      </c>
      <c r="I33" s="18" t="inlineStr">
        <is>
          <t>Megametales</t>
        </is>
      </c>
      <c r="J33" s="22" t="n">
        <v>388.8</v>
      </c>
      <c r="K33" s="18" t="inlineStr">
        <is>
          <t>Kywi / Megakywi</t>
        </is>
      </c>
      <c r="L33" s="8">
        <f>F33*G33</f>
        <v/>
      </c>
      <c r="M33" s="145" t="inlineStr">
        <is>
          <t>A-B30-LUC-POL-120X240</t>
        </is>
      </c>
      <c r="N33" s="18" t="inlineStr">
        <is>
          <t>Arquitectura</t>
        </is>
      </c>
      <c r="O33" s="18" t="inlineStr">
        <is>
          <t>Estimado DION · criterio de mercado Guayaquil 2026 (no verificado en tienda)</t>
        </is>
      </c>
      <c r="P33" s="18" t="inlineStr">
        <is>
          <t>oct-2026 (est.)</t>
        </is>
      </c>
      <c r="Q33" s="18" t="n"/>
    </row>
    <row r="34">
      <c r="A34" s="184" t="n">
        <v>20</v>
      </c>
      <c r="B34" s="185" t="inlineStr">
        <is>
          <t xml:space="preserve">        Ducto Solar Tubular Ø25 cm</t>
        </is>
      </c>
      <c r="C34" s="186" t="inlineStr">
        <is>
          <t>Residencial / Comercial</t>
        </is>
      </c>
      <c r="D34" s="184" t="inlineStr">
        <is>
          <t>Lucernarios</t>
        </is>
      </c>
      <c r="E34" s="184" t="inlineStr">
        <is>
          <t>U</t>
        </is>
      </c>
      <c r="F34" s="187" t="n">
        <v>1</v>
      </c>
      <c r="G34" s="188" t="n">
        <v>380</v>
      </c>
      <c r="H34" s="188" t="n">
        <v>395.2</v>
      </c>
      <c r="I34" s="184" t="inlineStr">
        <is>
          <t>Megametales</t>
        </is>
      </c>
      <c r="J34" s="188" t="n">
        <v>414.2</v>
      </c>
      <c r="K34" s="184" t="inlineStr">
        <is>
          <t>Kywi / Megakywi</t>
        </is>
      </c>
      <c r="L34" s="189">
        <f>F34*G34</f>
        <v/>
      </c>
      <c r="M34" s="190" t="inlineStr">
        <is>
          <t>A-B30-LUC-TUB-025</t>
        </is>
      </c>
      <c r="N34" s="184" t="inlineStr">
        <is>
          <t>Arquitectura</t>
        </is>
      </c>
      <c r="O34" s="184" t="inlineStr">
        <is>
          <t>Estimado DION · criterio de mercado Guayaquil 2026 (no verificado en tienda)</t>
        </is>
      </c>
      <c r="P34" s="184" t="inlineStr">
        <is>
          <t>oct-2026 (est.)</t>
        </is>
      </c>
      <c r="Q34" s="184" t="n"/>
    </row>
    <row r="35">
      <c r="A35" s="18" t="n">
        <v>21</v>
      </c>
      <c r="B35" s="19" t="inlineStr">
        <is>
          <t xml:space="preserve">        Ducto Solar Tubular Ø35 cm</t>
        </is>
      </c>
      <c r="C35" s="20" t="inlineStr">
        <is>
          <t>Residencial / Comercial</t>
        </is>
      </c>
      <c r="D35" s="18" t="inlineStr">
        <is>
          <t>Lucernarios</t>
        </is>
      </c>
      <c r="E35" s="18" t="inlineStr">
        <is>
          <t>U</t>
        </is>
      </c>
      <c r="F35" s="21" t="n">
        <v>0</v>
      </c>
      <c r="G35" s="22" t="n">
        <v>520</v>
      </c>
      <c r="H35" s="22" t="n">
        <v>540.8</v>
      </c>
      <c r="I35" s="18" t="inlineStr">
        <is>
          <t>Megametales</t>
        </is>
      </c>
      <c r="J35" s="22" t="n">
        <v>577.2</v>
      </c>
      <c r="K35" s="18" t="inlineStr">
        <is>
          <t>Kywi / Megakywi</t>
        </is>
      </c>
      <c r="L35" s="8">
        <f>F35*G35</f>
        <v/>
      </c>
      <c r="M35" s="145" t="inlineStr">
        <is>
          <t>A-B30-LUC-TUB-035</t>
        </is>
      </c>
      <c r="N35" s="18" t="inlineStr">
        <is>
          <t>Arquitectura</t>
        </is>
      </c>
      <c r="O35" s="18" t="inlineStr">
        <is>
          <t>Estimado DION · criterio de mercado Guayaquil 2026 (no verificado en tienda)</t>
        </is>
      </c>
      <c r="P35" s="18" t="inlineStr">
        <is>
          <t>oct-2026 (est.)</t>
        </is>
      </c>
      <c r="Q35" s="18" t="n"/>
    </row>
    <row r="36">
      <c r="A36" s="184" t="n">
        <v>22</v>
      </c>
      <c r="B36" s="185" t="inlineStr">
        <is>
          <t xml:space="preserve">        Escotilla de Acceso a Cubierta 80x120</t>
        </is>
      </c>
      <c r="C36" s="186" t="inlineStr">
        <is>
          <t>Residencial / Comercial</t>
        </is>
      </c>
      <c r="D36" s="184" t="inlineStr">
        <is>
          <t>Lucernarios</t>
        </is>
      </c>
      <c r="E36" s="184" t="inlineStr">
        <is>
          <t>U</t>
        </is>
      </c>
      <c r="F36" s="187" t="n">
        <v>0</v>
      </c>
      <c r="G36" s="188" t="n">
        <v>650</v>
      </c>
      <c r="H36" s="188" t="n">
        <v>669.5</v>
      </c>
      <c r="I36" s="184" t="inlineStr">
        <is>
          <t>Megametales</t>
        </is>
      </c>
      <c r="J36" s="188" t="n">
        <v>721.5</v>
      </c>
      <c r="K36" s="184" t="inlineStr">
        <is>
          <t>Kywi / Megakywi</t>
        </is>
      </c>
      <c r="L36" s="189">
        <f>F36*G36</f>
        <v/>
      </c>
      <c r="M36" s="190" t="inlineStr">
        <is>
          <t>A-B30-LUC-ESC-080X120</t>
        </is>
      </c>
      <c r="N36" s="184" t="inlineStr">
        <is>
          <t>Arquitectura</t>
        </is>
      </c>
      <c r="O36" s="184" t="inlineStr">
        <is>
          <t>Estimado DION · criterio de mercado Guayaquil 2026 (no verificado en tienda)</t>
        </is>
      </c>
      <c r="P36" s="184" t="inlineStr">
        <is>
          <t>oct-2026 (est.)</t>
        </is>
      </c>
      <c r="Q36" s="184" t="n"/>
    </row>
    <row r="37">
      <c r="A37" s="18" t="n">
        <v>23</v>
      </c>
      <c r="B37" s="19" t="inlineStr">
        <is>
          <t xml:space="preserve">        Exutorio / Ventana de Humos 120x120 Motorizada</t>
        </is>
      </c>
      <c r="C37" s="20" t="inlineStr">
        <is>
          <t>Residencial / Comercial</t>
        </is>
      </c>
      <c r="D37" s="18" t="inlineStr">
        <is>
          <t>Lucernarios</t>
        </is>
      </c>
      <c r="E37" s="18" t="inlineStr">
        <is>
          <t>U</t>
        </is>
      </c>
      <c r="F37" s="21" t="n">
        <v>0</v>
      </c>
      <c r="G37" s="22" t="n">
        <v>1850</v>
      </c>
      <c r="H37" s="22" t="n">
        <v>1887</v>
      </c>
      <c r="I37" s="18" t="inlineStr">
        <is>
          <t>Megametales</t>
        </is>
      </c>
      <c r="J37" s="22" t="n">
        <v>2053.5</v>
      </c>
      <c r="K37" s="18" t="inlineStr">
        <is>
          <t>Kywi / Megakywi</t>
        </is>
      </c>
      <c r="L37" s="8">
        <f>F37*G37</f>
        <v/>
      </c>
      <c r="M37" s="145" t="inlineStr">
        <is>
          <t>A-B30-LUC-HUM-120X120</t>
        </is>
      </c>
      <c r="N37" s="18" t="inlineStr">
        <is>
          <t>Arquitectura</t>
        </is>
      </c>
      <c r="O37" s="18" t="inlineStr">
        <is>
          <t>Estimado DION · criterio de mercado Guayaquil 2026 (no verificado en tienda)</t>
        </is>
      </c>
      <c r="P37" s="18" t="inlineStr">
        <is>
          <t>oct-2026 (est.)</t>
        </is>
      </c>
      <c r="Q37" s="18" t="n"/>
    </row>
    <row r="38">
      <c r="A38" s="181" t="inlineStr">
        <is>
          <t>CONEXIONES</t>
        </is>
      </c>
      <c r="B38" s="143" t="n"/>
      <c r="C38" s="143" t="n"/>
      <c r="D38" s="143" t="n"/>
      <c r="E38" s="143" t="n"/>
      <c r="F38" s="143" t="n"/>
      <c r="G38" s="143" t="n"/>
      <c r="H38" s="143" t="n"/>
      <c r="I38" s="143" t="n"/>
      <c r="J38" s="143" t="n"/>
      <c r="K38" s="143" t="n"/>
      <c r="L38" s="143" t="n"/>
      <c r="M38" s="143" t="n"/>
      <c r="N38" s="143" t="n"/>
      <c r="O38" s="143" t="n"/>
      <c r="P38" s="143" t="n"/>
      <c r="Q38" s="144" t="n"/>
    </row>
    <row r="39">
      <c r="A39" s="182" t="inlineStr">
        <is>
          <t xml:space="preserve">  ► CATEGORÍA: IMPERMEABILIZACIÓN</t>
        </is>
      </c>
      <c r="B39" s="143" t="n"/>
      <c r="C39" s="143" t="n"/>
      <c r="D39" s="143" t="n"/>
      <c r="E39" s="143" t="n"/>
      <c r="F39" s="143" t="n"/>
      <c r="G39" s="143" t="n"/>
      <c r="H39" s="143" t="n"/>
      <c r="I39" s="143" t="n"/>
      <c r="J39" s="143" t="n"/>
      <c r="K39" s="143" t="n"/>
      <c r="L39" s="143" t="n"/>
      <c r="M39" s="143" t="n"/>
      <c r="N39" s="143" t="n"/>
      <c r="O39" s="143" t="n"/>
      <c r="P39" s="143" t="n"/>
      <c r="Q39" s="144" t="n"/>
    </row>
    <row r="40">
      <c r="A40" s="183" t="inlineStr">
        <is>
          <t xml:space="preserve">      • Subcategoría Especificada: Membranas, Líquidos, Cementicios y Accesorios (m² material o aplicado)</t>
        </is>
      </c>
      <c r="B40" s="143" t="n"/>
      <c r="C40" s="143" t="n"/>
      <c r="D40" s="143" t="n"/>
      <c r="E40" s="143" t="n"/>
      <c r="F40" s="143" t="n"/>
      <c r="G40" s="143" t="n"/>
      <c r="H40" s="143" t="n"/>
      <c r="I40" s="143" t="n"/>
      <c r="J40" s="143" t="n"/>
      <c r="K40" s="143" t="n"/>
      <c r="L40" s="143" t="n"/>
      <c r="M40" s="143" t="n"/>
      <c r="N40" s="143" t="n"/>
      <c r="O40" s="143" t="n"/>
      <c r="P40" s="143" t="n"/>
      <c r="Q40" s="144" t="n"/>
    </row>
    <row r="41">
      <c r="A41" s="184" t="n">
        <v>24</v>
      </c>
      <c r="B41" s="185" t="inlineStr">
        <is>
          <t xml:space="preserve">        Membrana Asfáltica APP 3 mm Lámina Aluminio (m²)</t>
        </is>
      </c>
      <c r="C41" s="186" t="inlineStr">
        <is>
          <t>Residencial / Comercial</t>
        </is>
      </c>
      <c r="D41" s="184" t="inlineStr">
        <is>
          <t>Membranas Asfálticas</t>
        </is>
      </c>
      <c r="E41" s="184" t="inlineStr">
        <is>
          <t>m2</t>
        </is>
      </c>
      <c r="F41" s="187" t="n">
        <v>100</v>
      </c>
      <c r="G41" s="188" t="n">
        <v>6.8</v>
      </c>
      <c r="H41" s="188" t="n">
        <v>7</v>
      </c>
      <c r="I41" s="184" t="inlineStr">
        <is>
          <t>Megametales</t>
        </is>
      </c>
      <c r="J41" s="188" t="n">
        <v>7.28</v>
      </c>
      <c r="K41" s="184" t="inlineStr">
        <is>
          <t>Kywi / Megakywi</t>
        </is>
      </c>
      <c r="L41" s="189">
        <f>F41*G41</f>
        <v/>
      </c>
      <c r="M41" s="190" t="inlineStr">
        <is>
          <t>A-B30-IMP-APP-3</t>
        </is>
      </c>
      <c r="N41" s="184" t="inlineStr">
        <is>
          <t>Arquitectura</t>
        </is>
      </c>
      <c r="O41" s="184" t="inlineStr">
        <is>
          <t>Estimado DION · criterio de mercado Guayaquil 2026 (no verificado en tienda)</t>
        </is>
      </c>
      <c r="P41" s="184" t="inlineStr">
        <is>
          <t>oct-2026 (est.)</t>
        </is>
      </c>
      <c r="Q41" s="184" t="n">
        <v>12</v>
      </c>
    </row>
    <row r="42">
      <c r="A42" s="18" t="n">
        <v>25</v>
      </c>
      <c r="B42" s="19" t="inlineStr">
        <is>
          <t xml:space="preserve">        Membrana Asfáltica APP 4 mm Gravilla (m²)</t>
        </is>
      </c>
      <c r="C42" s="20" t="inlineStr">
        <is>
          <t>Residencial / Comercial</t>
        </is>
      </c>
      <c r="D42" s="18" t="inlineStr">
        <is>
          <t>Membranas Asfálticas</t>
        </is>
      </c>
      <c r="E42" s="18" t="inlineStr">
        <is>
          <t>m2</t>
        </is>
      </c>
      <c r="F42" s="21" t="n">
        <v>100</v>
      </c>
      <c r="G42" s="22" t="n">
        <v>8.5</v>
      </c>
      <c r="H42" s="22" t="n">
        <v>8.76</v>
      </c>
      <c r="I42" s="18" t="inlineStr">
        <is>
          <t>Megametales</t>
        </is>
      </c>
      <c r="J42" s="22" t="n">
        <v>9.1</v>
      </c>
      <c r="K42" s="18" t="inlineStr">
        <is>
          <t>Kywi / Megakywi</t>
        </is>
      </c>
      <c r="L42" s="8">
        <f>F42*G42</f>
        <v/>
      </c>
      <c r="M42" s="145" t="inlineStr">
        <is>
          <t>A-B30-IMP-APP-4</t>
        </is>
      </c>
      <c r="N42" s="18" t="inlineStr">
        <is>
          <t>Arquitectura</t>
        </is>
      </c>
      <c r="O42" s="18" t="inlineStr">
        <is>
          <t>Estimado DION · criterio de mercado Guayaquil 2026 (no verificado en tienda)</t>
        </is>
      </c>
      <c r="P42" s="18" t="inlineStr">
        <is>
          <t>oct-2026 (est.)</t>
        </is>
      </c>
      <c r="Q42" s="18" t="n">
        <v>12</v>
      </c>
    </row>
    <row r="43">
      <c r="A43" s="184" t="n">
        <v>26</v>
      </c>
      <c r="B43" s="185" t="inlineStr">
        <is>
          <t xml:space="preserve">        Membrana SBS 4 mm Elastomérica (m²)</t>
        </is>
      </c>
      <c r="C43" s="186" t="inlineStr">
        <is>
          <t>Comercial / Industrial</t>
        </is>
      </c>
      <c r="D43" s="184" t="inlineStr">
        <is>
          <t>Membranas Asfálticas</t>
        </is>
      </c>
      <c r="E43" s="184" t="inlineStr">
        <is>
          <t>m2</t>
        </is>
      </c>
      <c r="F43" s="187" t="n">
        <v>100</v>
      </c>
      <c r="G43" s="188" t="n">
        <v>10.5</v>
      </c>
      <c r="H43" s="188" t="n">
        <v>10.81</v>
      </c>
      <c r="I43" s="184" t="inlineStr">
        <is>
          <t>Megametales</t>
        </is>
      </c>
      <c r="J43" s="188" t="n">
        <v>11.34</v>
      </c>
      <c r="K43" s="184" t="inlineStr">
        <is>
          <t>Kywi / Megakywi</t>
        </is>
      </c>
      <c r="L43" s="189">
        <f>F43*G43</f>
        <v/>
      </c>
      <c r="M43" s="190" t="inlineStr">
        <is>
          <t>A-B30-IMP-SBS-4</t>
        </is>
      </c>
      <c r="N43" s="184" t="inlineStr">
        <is>
          <t>Arquitectura</t>
        </is>
      </c>
      <c r="O43" s="184" t="inlineStr">
        <is>
          <t>Estimado DION · criterio de mercado Guayaquil 2026 (no verificado en tienda)</t>
        </is>
      </c>
      <c r="P43" s="184" t="inlineStr">
        <is>
          <t>oct-2026 (est.)</t>
        </is>
      </c>
      <c r="Q43" s="184" t="n">
        <v>12</v>
      </c>
    </row>
    <row r="44">
      <c r="A44" s="18" t="n">
        <v>27</v>
      </c>
      <c r="B44" s="19" t="inlineStr">
        <is>
          <t xml:space="preserve">        Primer Asfáltico Base Solvente (Galón)</t>
        </is>
      </c>
      <c r="C44" s="20" t="inlineStr">
        <is>
          <t>Residencial / Comercial</t>
        </is>
      </c>
      <c r="D44" s="18" t="inlineStr">
        <is>
          <t>Imprimantes</t>
        </is>
      </c>
      <c r="E44" s="18" t="inlineStr">
        <is>
          <t>Galón</t>
        </is>
      </c>
      <c r="F44" s="21" t="n">
        <v>4</v>
      </c>
      <c r="G44" s="22" t="n">
        <v>12</v>
      </c>
      <c r="H44" s="22" t="n">
        <v>12.6</v>
      </c>
      <c r="I44" s="18" t="inlineStr">
        <is>
          <t>Megametales</t>
        </is>
      </c>
      <c r="J44" s="22" t="n">
        <v>13.08</v>
      </c>
      <c r="K44" s="18" t="inlineStr">
        <is>
          <t>Kywi / Megakywi</t>
        </is>
      </c>
      <c r="L44" s="8">
        <f>F44*G44</f>
        <v/>
      </c>
      <c r="M44" s="145" t="inlineStr">
        <is>
          <t>A-B30-IMP-PUL</t>
        </is>
      </c>
      <c r="N44" s="18" t="inlineStr">
        <is>
          <t>Arquitectura</t>
        </is>
      </c>
      <c r="O44" s="18" t="inlineStr">
        <is>
          <t>Estimado DION · criterio de mercado Guayaquil 2026 (no verificado en tienda)</t>
        </is>
      </c>
      <c r="P44" s="18" t="inlineStr">
        <is>
          <t>oct-2026 (est.)</t>
        </is>
      </c>
      <c r="Q44" s="18" t="n">
        <v>5</v>
      </c>
    </row>
    <row r="45">
      <c r="A45" s="184" t="n">
        <v>28</v>
      </c>
      <c r="B45" s="185" t="inlineStr">
        <is>
          <t xml:space="preserve">        Impermeabilizante Acrílico Elastomérico Blanco (Caneca 20 L)</t>
        </is>
      </c>
      <c r="C45" s="186" t="inlineStr">
        <is>
          <t>Residencial / Comercial</t>
        </is>
      </c>
      <c r="D45" s="184" t="inlineStr">
        <is>
          <t>Impermeabilizantes Líquidos</t>
        </is>
      </c>
      <c r="E45" s="184" t="inlineStr">
        <is>
          <t>Caneca</t>
        </is>
      </c>
      <c r="F45" s="187" t="n">
        <v>2</v>
      </c>
      <c r="G45" s="188" t="n">
        <v>95</v>
      </c>
      <c r="H45" s="188" t="n">
        <v>97.84999999999999</v>
      </c>
      <c r="I45" s="184" t="inlineStr">
        <is>
          <t>Megametales</t>
        </is>
      </c>
      <c r="J45" s="188" t="n">
        <v>102.6</v>
      </c>
      <c r="K45" s="184" t="inlineStr">
        <is>
          <t>Kywi / Megakywi</t>
        </is>
      </c>
      <c r="L45" s="189">
        <f>F45*G45</f>
        <v/>
      </c>
      <c r="M45" s="190" t="inlineStr">
        <is>
          <t>A-B30-IMP-ACR</t>
        </is>
      </c>
      <c r="N45" s="184" t="inlineStr">
        <is>
          <t>Arquitectura</t>
        </is>
      </c>
      <c r="O45" s="184" t="inlineStr">
        <is>
          <t>Estimado DION · criterio de mercado Guayaquil 2026 (no verificado en tienda)</t>
        </is>
      </c>
      <c r="P45" s="184" t="inlineStr">
        <is>
          <t>oct-2026 (est.)</t>
        </is>
      </c>
      <c r="Q45" s="184" t="n">
        <v>10</v>
      </c>
    </row>
    <row r="46">
      <c r="A46" s="18" t="n">
        <v>29</v>
      </c>
      <c r="B46" s="19" t="inlineStr">
        <is>
          <t xml:space="preserve">        Impermeabilizante Cementicio Bicomponente (Kit 25 kg)</t>
        </is>
      </c>
      <c r="C46" s="20" t="inlineStr">
        <is>
          <t>Residencial / Comercial</t>
        </is>
      </c>
      <c r="D46" s="18" t="inlineStr">
        <is>
          <t>Cementicios</t>
        </is>
      </c>
      <c r="E46" s="18" t="inlineStr">
        <is>
          <t>Kit</t>
        </is>
      </c>
      <c r="F46" s="21" t="n">
        <v>4</v>
      </c>
      <c r="G46" s="22" t="n">
        <v>42</v>
      </c>
      <c r="H46" s="22" t="n">
        <v>44.1</v>
      </c>
      <c r="I46" s="18" t="inlineStr">
        <is>
          <t>Megametales</t>
        </is>
      </c>
      <c r="J46" s="22" t="n">
        <v>46.62</v>
      </c>
      <c r="K46" s="18" t="inlineStr">
        <is>
          <t>Kywi / Megakywi</t>
        </is>
      </c>
      <c r="L46" s="8">
        <f>F46*G46</f>
        <v/>
      </c>
      <c r="M46" s="145" t="inlineStr">
        <is>
          <t>A-B30-IMP-CEM</t>
        </is>
      </c>
      <c r="N46" s="18" t="inlineStr">
        <is>
          <t>Arquitectura</t>
        </is>
      </c>
      <c r="O46" s="18" t="inlineStr">
        <is>
          <t>Estimado DION · criterio de mercado Guayaquil 2026 (no verificado en tienda)</t>
        </is>
      </c>
      <c r="P46" s="18" t="inlineStr">
        <is>
          <t>oct-2026 (est.)</t>
        </is>
      </c>
      <c r="Q46" s="18" t="n">
        <v>5</v>
      </c>
    </row>
    <row r="47">
      <c r="A47" s="184" t="n">
        <v>30</v>
      </c>
      <c r="B47" s="185" t="inlineStr">
        <is>
          <t xml:space="preserve">        Membrana PVC 1.2 mm (m², aplicado)</t>
        </is>
      </c>
      <c r="C47" s="186" t="inlineStr">
        <is>
          <t>Comercial / Industrial</t>
        </is>
      </c>
      <c r="D47" s="184" t="inlineStr">
        <is>
          <t>Membranas Sintéticas</t>
        </is>
      </c>
      <c r="E47" s="184" t="inlineStr">
        <is>
          <t>m2</t>
        </is>
      </c>
      <c r="F47" s="187" t="n">
        <v>100</v>
      </c>
      <c r="G47" s="188" t="n">
        <v>16</v>
      </c>
      <c r="H47" s="188" t="n">
        <v>16.8</v>
      </c>
      <c r="I47" s="184" t="inlineStr">
        <is>
          <t>Megametales</t>
        </is>
      </c>
      <c r="J47" s="188" t="n">
        <v>17.6</v>
      </c>
      <c r="K47" s="184" t="inlineStr">
        <is>
          <t>Kywi / Megakywi</t>
        </is>
      </c>
      <c r="L47" s="189">
        <f>F47*G47</f>
        <v/>
      </c>
      <c r="M47" s="190" t="inlineStr">
        <is>
          <t>A-B30-IMP-PVC-1P2</t>
        </is>
      </c>
      <c r="N47" s="184" t="inlineStr">
        <is>
          <t>Arquitectura</t>
        </is>
      </c>
      <c r="O47" s="184" t="inlineStr">
        <is>
          <t>Estimado DION · criterio de mercado Guayaquil 2026 (no verificado en tienda)</t>
        </is>
      </c>
      <c r="P47" s="184" t="inlineStr">
        <is>
          <t>oct-2026 (est.)</t>
        </is>
      </c>
      <c r="Q47" s="184" t="n"/>
    </row>
    <row r="48">
      <c r="A48" s="18" t="n">
        <v>31</v>
      </c>
      <c r="B48" s="19" t="inlineStr">
        <is>
          <t xml:space="preserve">        Membrana TPO 1.5 mm (m², aplicado)</t>
        </is>
      </c>
      <c r="C48" s="20" t="inlineStr">
        <is>
          <t>Comercial / Industrial</t>
        </is>
      </c>
      <c r="D48" s="18" t="inlineStr">
        <is>
          <t>Membranas Sintéticas</t>
        </is>
      </c>
      <c r="E48" s="18" t="inlineStr">
        <is>
          <t>m2</t>
        </is>
      </c>
      <c r="F48" s="21" t="n">
        <v>100</v>
      </c>
      <c r="G48" s="22" t="n">
        <v>19</v>
      </c>
      <c r="H48" s="22" t="n">
        <v>19.76</v>
      </c>
      <c r="I48" s="18" t="inlineStr">
        <is>
          <t>Megametales</t>
        </is>
      </c>
      <c r="J48" s="22" t="n">
        <v>20.52</v>
      </c>
      <c r="K48" s="18" t="inlineStr">
        <is>
          <t>Kywi / Megakywi</t>
        </is>
      </c>
      <c r="L48" s="8">
        <f>F48*G48</f>
        <v/>
      </c>
      <c r="M48" s="145" t="inlineStr">
        <is>
          <t>A-B30-IMP-TPO-1P5</t>
        </is>
      </c>
      <c r="N48" s="18" t="inlineStr">
        <is>
          <t>Arquitectura</t>
        </is>
      </c>
      <c r="O48" s="18" t="inlineStr">
        <is>
          <t>Estimado DION · criterio de mercado Guayaquil 2026 (no verificado en tienda)</t>
        </is>
      </c>
      <c r="P48" s="18" t="inlineStr">
        <is>
          <t>oct-2026 (est.)</t>
        </is>
      </c>
      <c r="Q48" s="18" t="n"/>
    </row>
    <row r="49">
      <c r="A49" s="184" t="n">
        <v>32</v>
      </c>
      <c r="B49" s="185" t="inlineStr">
        <is>
          <t xml:space="preserve">        Membrana EPDM 1.14 mm (m², aplicado)</t>
        </is>
      </c>
      <c r="C49" s="186" t="inlineStr">
        <is>
          <t>Comercial / Industrial</t>
        </is>
      </c>
      <c r="D49" s="184" t="inlineStr">
        <is>
          <t>Membranas Sintéticas</t>
        </is>
      </c>
      <c r="E49" s="184" t="inlineStr">
        <is>
          <t>m2</t>
        </is>
      </c>
      <c r="F49" s="187" t="n">
        <v>50</v>
      </c>
      <c r="G49" s="188" t="n">
        <v>21</v>
      </c>
      <c r="H49" s="188" t="n">
        <v>21.63</v>
      </c>
      <c r="I49" s="184" t="inlineStr">
        <is>
          <t>Megametales</t>
        </is>
      </c>
      <c r="J49" s="188" t="n">
        <v>22.47</v>
      </c>
      <c r="K49" s="184" t="inlineStr">
        <is>
          <t>Kywi / Megakywi</t>
        </is>
      </c>
      <c r="L49" s="189">
        <f>F49*G49</f>
        <v/>
      </c>
      <c r="M49" s="190" t="inlineStr">
        <is>
          <t>A-B30-IMP-EPD</t>
        </is>
      </c>
      <c r="N49" s="184" t="inlineStr">
        <is>
          <t>Arquitectura</t>
        </is>
      </c>
      <c r="O49" s="184" t="inlineStr">
        <is>
          <t>Estimado DION · criterio de mercado Guayaquil 2026 (no verificado en tienda)</t>
        </is>
      </c>
      <c r="P49" s="184" t="inlineStr">
        <is>
          <t>oct-2026 (est.)</t>
        </is>
      </c>
      <c r="Q49" s="184" t="n"/>
    </row>
    <row r="50">
      <c r="A50" s="18" t="n">
        <v>33</v>
      </c>
      <c r="B50" s="19" t="inlineStr">
        <is>
          <t xml:space="preserve">        Manto Bentonítico (Muros Enterrados) (m²)</t>
        </is>
      </c>
      <c r="C50" s="20" t="inlineStr">
        <is>
          <t>Comercial / Industrial</t>
        </is>
      </c>
      <c r="D50" s="18" t="inlineStr">
        <is>
          <t>Bentoníticos</t>
        </is>
      </c>
      <c r="E50" s="18" t="inlineStr">
        <is>
          <t>m2</t>
        </is>
      </c>
      <c r="F50" s="21" t="n">
        <v>50</v>
      </c>
      <c r="G50" s="22" t="n">
        <v>14</v>
      </c>
      <c r="H50" s="22" t="n">
        <v>14.56</v>
      </c>
      <c r="I50" s="18" t="inlineStr">
        <is>
          <t>Megametales</t>
        </is>
      </c>
      <c r="J50" s="22" t="n">
        <v>15.26</v>
      </c>
      <c r="K50" s="18" t="inlineStr">
        <is>
          <t>Kywi / Megakywi</t>
        </is>
      </c>
      <c r="L50" s="8">
        <f>F50*G50</f>
        <v/>
      </c>
      <c r="M50" s="145" t="inlineStr">
        <is>
          <t>A-B30-IMP-BEN</t>
        </is>
      </c>
      <c r="N50" s="18" t="inlineStr">
        <is>
          <t>Arquitectura</t>
        </is>
      </c>
      <c r="O50" s="18" t="inlineStr">
        <is>
          <t>Estimado DION · criterio de mercado Guayaquil 2026 (no verificado en tienda)</t>
        </is>
      </c>
      <c r="P50" s="18" t="inlineStr">
        <is>
          <t>oct-2026 (est.)</t>
        </is>
      </c>
      <c r="Q50" s="18" t="n">
        <v>10</v>
      </c>
    </row>
    <row r="51">
      <c r="A51" s="184" t="n">
        <v>34</v>
      </c>
      <c r="B51" s="185" t="inlineStr">
        <is>
          <t xml:space="preserve">        Impermeabilizante Cristalizante (Kit 25 kg)</t>
        </is>
      </c>
      <c r="C51" s="186" t="inlineStr">
        <is>
          <t>Comercial / Industrial</t>
        </is>
      </c>
      <c r="D51" s="184" t="inlineStr">
        <is>
          <t>Cristalizantes</t>
        </is>
      </c>
      <c r="E51" s="184" t="inlineStr">
        <is>
          <t>Kit</t>
        </is>
      </c>
      <c r="F51" s="187" t="n">
        <v>4</v>
      </c>
      <c r="G51" s="188" t="n">
        <v>68</v>
      </c>
      <c r="H51" s="188" t="n">
        <v>71.40000000000001</v>
      </c>
      <c r="I51" s="184" t="inlineStr">
        <is>
          <t>Megametales</t>
        </is>
      </c>
      <c r="J51" s="188" t="n">
        <v>74.8</v>
      </c>
      <c r="K51" s="184" t="inlineStr">
        <is>
          <t>Kywi / Megakywi</t>
        </is>
      </c>
      <c r="L51" s="189">
        <f>F51*G51</f>
        <v/>
      </c>
      <c r="M51" s="190" t="inlineStr">
        <is>
          <t>A-B30-IMP-CRI</t>
        </is>
      </c>
      <c r="N51" s="184" t="inlineStr">
        <is>
          <t>Arquitectura</t>
        </is>
      </c>
      <c r="O51" s="184" t="inlineStr">
        <is>
          <t>Estimado DION · criterio de mercado Guayaquil 2026 (no verificado en tienda)</t>
        </is>
      </c>
      <c r="P51" s="184" t="inlineStr">
        <is>
          <t>oct-2026 (est.)</t>
        </is>
      </c>
      <c r="Q51" s="184" t="n">
        <v>5</v>
      </c>
    </row>
    <row r="52">
      <c r="A52" s="18" t="n">
        <v>35</v>
      </c>
      <c r="B52" s="19" t="inlineStr">
        <is>
          <t xml:space="preserve">        Poliurea Proyectada (m², aplicado)</t>
        </is>
      </c>
      <c r="C52" s="20" t="inlineStr">
        <is>
          <t>Industrial</t>
        </is>
      </c>
      <c r="D52" s="18" t="inlineStr">
        <is>
          <t>Poliureas</t>
        </is>
      </c>
      <c r="E52" s="18" t="inlineStr">
        <is>
          <t>m2</t>
        </is>
      </c>
      <c r="F52" s="21" t="n">
        <v>50</v>
      </c>
      <c r="G52" s="22" t="n">
        <v>38</v>
      </c>
      <c r="H52" s="22" t="n">
        <v>38.76</v>
      </c>
      <c r="I52" s="18" t="inlineStr">
        <is>
          <t>Megametales</t>
        </is>
      </c>
      <c r="J52" s="22" t="n">
        <v>41.42</v>
      </c>
      <c r="K52" s="18" t="inlineStr">
        <is>
          <t>Kywi / Megakywi</t>
        </is>
      </c>
      <c r="L52" s="8">
        <f>F52*G52</f>
        <v/>
      </c>
      <c r="M52" s="145" t="inlineStr">
        <is>
          <t>A-B30-IMP-PEA</t>
        </is>
      </c>
      <c r="N52" s="18" t="inlineStr">
        <is>
          <t>Arquitectura</t>
        </is>
      </c>
      <c r="O52" s="18" t="inlineStr">
        <is>
          <t>Estimado DION · criterio de mercado Guayaquil 2026 (no verificado en tienda)</t>
        </is>
      </c>
      <c r="P52" s="18" t="inlineStr">
        <is>
          <t>oct-2026 (est.)</t>
        </is>
      </c>
      <c r="Q52" s="18" t="n"/>
    </row>
    <row r="53">
      <c r="A53" s="184" t="n">
        <v>36</v>
      </c>
      <c r="B53" s="185" t="inlineStr">
        <is>
          <t xml:space="preserve">        Malla de Poliéster de Refuerzo (Rollo 1x50 m)</t>
        </is>
      </c>
      <c r="C53" s="186" t="inlineStr">
        <is>
          <t>Residencial / Comercial</t>
        </is>
      </c>
      <c r="D53" s="184" t="inlineStr">
        <is>
          <t>Mallas Refuerzo</t>
        </is>
      </c>
      <c r="E53" s="184" t="inlineStr">
        <is>
          <t>Rollo</t>
        </is>
      </c>
      <c r="F53" s="187" t="n">
        <v>1</v>
      </c>
      <c r="G53" s="188" t="n">
        <v>45</v>
      </c>
      <c r="H53" s="188" t="n">
        <v>47.25</v>
      </c>
      <c r="I53" s="184" t="inlineStr">
        <is>
          <t>Megametales</t>
        </is>
      </c>
      <c r="J53" s="188" t="n">
        <v>48.15</v>
      </c>
      <c r="K53" s="184" t="inlineStr">
        <is>
          <t>Kywi / Megakywi</t>
        </is>
      </c>
      <c r="L53" s="189">
        <f>F53*G53</f>
        <v/>
      </c>
      <c r="M53" s="190" t="inlineStr">
        <is>
          <t>A-B30-IMP-MAL-POL</t>
        </is>
      </c>
      <c r="N53" s="184" t="inlineStr">
        <is>
          <t>Arquitectura</t>
        </is>
      </c>
      <c r="O53" s="184" t="inlineStr">
        <is>
          <t>Estimado DION · criterio de mercado Guayaquil 2026 (no verificado en tienda)</t>
        </is>
      </c>
      <c r="P53" s="184" t="inlineStr">
        <is>
          <t>oct-2026 (est.)</t>
        </is>
      </c>
      <c r="Q53" s="184" t="n">
        <v>10</v>
      </c>
    </row>
    <row r="54">
      <c r="A54" s="18" t="n">
        <v>37</v>
      </c>
      <c r="B54" s="19" t="inlineStr">
        <is>
          <t xml:space="preserve">        Sellador Asfáltico / Mastic (Galón)</t>
        </is>
      </c>
      <c r="C54" s="20" t="inlineStr">
        <is>
          <t>Residencial / Comercial</t>
        </is>
      </c>
      <c r="D54" s="18" t="inlineStr">
        <is>
          <t>Selladores</t>
        </is>
      </c>
      <c r="E54" s="18" t="inlineStr">
        <is>
          <t>Galón</t>
        </is>
      </c>
      <c r="F54" s="21" t="n">
        <v>2</v>
      </c>
      <c r="G54" s="22" t="n">
        <v>14</v>
      </c>
      <c r="H54" s="22" t="n">
        <v>14.28</v>
      </c>
      <c r="I54" s="18" t="inlineStr">
        <is>
          <t>Megametales</t>
        </is>
      </c>
      <c r="J54" s="22" t="n">
        <v>15.26</v>
      </c>
      <c r="K54" s="18" t="inlineStr">
        <is>
          <t>Kywi / Megakywi</t>
        </is>
      </c>
      <c r="L54" s="8">
        <f>F54*G54</f>
        <v/>
      </c>
      <c r="M54" s="145" t="inlineStr">
        <is>
          <t>A-B30-IMP-SEL-ASF</t>
        </is>
      </c>
      <c r="N54" s="18" t="inlineStr">
        <is>
          <t>Arquitectura</t>
        </is>
      </c>
      <c r="O54" s="18" t="inlineStr">
        <is>
          <t>Estimado DION · criterio de mercado Guayaquil 2026 (no verificado en tienda)</t>
        </is>
      </c>
      <c r="P54" s="18" t="inlineStr">
        <is>
          <t>oct-2026 (est.)</t>
        </is>
      </c>
      <c r="Q54" s="18" t="n">
        <v>5</v>
      </c>
    </row>
    <row r="55">
      <c r="A55" s="181" t="inlineStr">
        <is>
          <t>EQUIPOS ESPECIALIZADOS</t>
        </is>
      </c>
      <c r="B55" s="143" t="n"/>
      <c r="C55" s="143" t="n"/>
      <c r="D55" s="143" t="n"/>
      <c r="E55" s="143" t="n"/>
      <c r="F55" s="143" t="n"/>
      <c r="G55" s="143" t="n"/>
      <c r="H55" s="143" t="n"/>
      <c r="I55" s="143" t="n"/>
      <c r="J55" s="143" t="n"/>
      <c r="K55" s="143" t="n"/>
      <c r="L55" s="143" t="n"/>
      <c r="M55" s="143" t="n"/>
      <c r="N55" s="143" t="n"/>
      <c r="O55" s="143" t="n"/>
      <c r="P55" s="143" t="n"/>
      <c r="Q55" s="144" t="n"/>
    </row>
    <row r="56">
      <c r="A56" s="182" t="inlineStr">
        <is>
          <t xml:space="preserve">  ► CATEGORÍA: CUBIERTAS METÁLICAS, SÁNDWICH, TEJAS Y POLICARBONATO</t>
        </is>
      </c>
      <c r="B56" s="143" t="n"/>
      <c r="C56" s="143" t="n"/>
      <c r="D56" s="143" t="n"/>
      <c r="E56" s="143" t="n"/>
      <c r="F56" s="143" t="n"/>
      <c r="G56" s="143" t="n"/>
      <c r="H56" s="143" t="n"/>
      <c r="I56" s="143" t="n"/>
      <c r="J56" s="143" t="n"/>
      <c r="K56" s="143" t="n"/>
      <c r="L56" s="143" t="n"/>
      <c r="M56" s="143" t="n"/>
      <c r="N56" s="143" t="n"/>
      <c r="O56" s="143" t="n"/>
      <c r="P56" s="143" t="n"/>
      <c r="Q56" s="144" t="n"/>
    </row>
    <row r="57">
      <c r="A57" s="183" t="inlineStr">
        <is>
          <t xml:space="preserve">      • Subcategoría Especificada: Por Material y Espesor (Material m² salvo indicación)</t>
        </is>
      </c>
      <c r="B57" s="143" t="n"/>
      <c r="C57" s="143" t="n"/>
      <c r="D57" s="143" t="n"/>
      <c r="E57" s="143" t="n"/>
      <c r="F57" s="143" t="n"/>
      <c r="G57" s="143" t="n"/>
      <c r="H57" s="143" t="n"/>
      <c r="I57" s="143" t="n"/>
      <c r="J57" s="143" t="n"/>
      <c r="K57" s="143" t="n"/>
      <c r="L57" s="143" t="n"/>
      <c r="M57" s="143" t="n"/>
      <c r="N57" s="143" t="n"/>
      <c r="O57" s="143" t="n"/>
      <c r="P57" s="143" t="n"/>
      <c r="Q57" s="144" t="n"/>
    </row>
    <row r="58">
      <c r="A58" s="184" t="n">
        <v>38</v>
      </c>
      <c r="B58" s="185" t="inlineStr">
        <is>
          <t xml:space="preserve">        Plancha Galvalume / Zinc Ondulada 0.30 mm (m²)</t>
        </is>
      </c>
      <c r="C58" s="186" t="inlineStr">
        <is>
          <t>Residencial</t>
        </is>
      </c>
      <c r="D58" s="184" t="inlineStr">
        <is>
          <t>Cubierta Metálica</t>
        </is>
      </c>
      <c r="E58" s="184" t="inlineStr">
        <is>
          <t>m2</t>
        </is>
      </c>
      <c r="F58" s="187" t="n">
        <v>100</v>
      </c>
      <c r="G58" s="188" t="n">
        <v>6.2</v>
      </c>
      <c r="H58" s="188" t="n">
        <v>6.51</v>
      </c>
      <c r="I58" s="184" t="inlineStr">
        <is>
          <t>Megametales</t>
        </is>
      </c>
      <c r="J58" s="188" t="n">
        <v>6.82</v>
      </c>
      <c r="K58" s="184" t="inlineStr">
        <is>
          <t>Kywi / Megakywi</t>
        </is>
      </c>
      <c r="L58" s="189">
        <f>F58*G58</f>
        <v/>
      </c>
      <c r="M58" s="190" t="inlineStr">
        <is>
          <t>A-B30-CUB-ZNC-0P30</t>
        </is>
      </c>
      <c r="N58" s="184" t="inlineStr">
        <is>
          <t>Arquitectura</t>
        </is>
      </c>
      <c r="O58" s="184" t="inlineStr">
        <is>
          <t>Estimado DION · criterio de mercado Guayaquil 2026 (no verificado en tienda)</t>
        </is>
      </c>
      <c r="P58" s="184" t="inlineStr">
        <is>
          <t>oct-2026 (est.)</t>
        </is>
      </c>
      <c r="Q58" s="184" t="n">
        <v>8</v>
      </c>
    </row>
    <row r="59">
      <c r="A59" s="18" t="n">
        <v>39</v>
      </c>
      <c r="B59" s="19" t="inlineStr">
        <is>
          <t xml:space="preserve">        Plancha Galvalume Trapezoidal 0.35 mm (m²)</t>
        </is>
      </c>
      <c r="C59" s="20" t="inlineStr">
        <is>
          <t>Residencial / Comercial</t>
        </is>
      </c>
      <c r="D59" s="18" t="inlineStr">
        <is>
          <t>Cubierta Metálica</t>
        </is>
      </c>
      <c r="E59" s="18" t="inlineStr">
        <is>
          <t>m2</t>
        </is>
      </c>
      <c r="F59" s="21" t="n">
        <v>100</v>
      </c>
      <c r="G59" s="22" t="n">
        <v>7.1</v>
      </c>
      <c r="H59" s="22" t="n">
        <v>7.31</v>
      </c>
      <c r="I59" s="18" t="inlineStr">
        <is>
          <t>Megametales</t>
        </is>
      </c>
      <c r="J59" s="22" t="n">
        <v>7.74</v>
      </c>
      <c r="K59" s="18" t="inlineStr">
        <is>
          <t>Kywi / Megakywi</t>
        </is>
      </c>
      <c r="L59" s="8">
        <f>F59*G59</f>
        <v/>
      </c>
      <c r="M59" s="145" t="inlineStr">
        <is>
          <t>A-B30-CUB-ZNC-0P35</t>
        </is>
      </c>
      <c r="N59" s="18" t="inlineStr">
        <is>
          <t>Arquitectura</t>
        </is>
      </c>
      <c r="O59" s="18" t="inlineStr">
        <is>
          <t>Estimado DION · criterio de mercado Guayaquil 2026 (no verificado en tienda)</t>
        </is>
      </c>
      <c r="P59" s="18" t="inlineStr">
        <is>
          <t>oct-2026 (est.)</t>
        </is>
      </c>
      <c r="Q59" s="18" t="n">
        <v>8</v>
      </c>
    </row>
    <row r="60">
      <c r="A60" s="184" t="n">
        <v>40</v>
      </c>
      <c r="B60" s="185" t="inlineStr">
        <is>
          <t xml:space="preserve">        Plancha Galvalume Trapezoidal 0.40 mm (m²)</t>
        </is>
      </c>
      <c r="C60" s="186" t="inlineStr">
        <is>
          <t>Residencial / Comercial</t>
        </is>
      </c>
      <c r="D60" s="184" t="inlineStr">
        <is>
          <t>Cubierta Metálica</t>
        </is>
      </c>
      <c r="E60" s="184" t="inlineStr">
        <is>
          <t>m2</t>
        </is>
      </c>
      <c r="F60" s="187" t="n">
        <v>100</v>
      </c>
      <c r="G60" s="188" t="n">
        <v>8.199999999999999</v>
      </c>
      <c r="H60" s="188" t="n">
        <v>8.529999999999999</v>
      </c>
      <c r="I60" s="184" t="inlineStr">
        <is>
          <t>Megametales</t>
        </is>
      </c>
      <c r="J60" s="188" t="n">
        <v>8.859999999999999</v>
      </c>
      <c r="K60" s="184" t="inlineStr">
        <is>
          <t>Kywi / Megakywi</t>
        </is>
      </c>
      <c r="L60" s="189">
        <f>F60*G60</f>
        <v/>
      </c>
      <c r="M60" s="190" t="inlineStr">
        <is>
          <t>A-B30-CUB-ZNC-0P40</t>
        </is>
      </c>
      <c r="N60" s="184" t="inlineStr">
        <is>
          <t>Arquitectura</t>
        </is>
      </c>
      <c r="O60" s="184" t="inlineStr">
        <is>
          <t>Estimado DION · criterio de mercado Guayaquil 2026 (no verificado en tienda)</t>
        </is>
      </c>
      <c r="P60" s="184" t="inlineStr">
        <is>
          <t>oct-2026 (est.)</t>
        </is>
      </c>
      <c r="Q60" s="184" t="n">
        <v>8</v>
      </c>
    </row>
    <row r="61">
      <c r="A61" s="18" t="n">
        <v>41</v>
      </c>
      <c r="B61" s="19" t="inlineStr">
        <is>
          <t xml:space="preserve">        Plancha Galvalume Prepintada 0.45 mm (m²)</t>
        </is>
      </c>
      <c r="C61" s="20" t="inlineStr">
        <is>
          <t>Comercial / Industrial</t>
        </is>
      </c>
      <c r="D61" s="18" t="inlineStr">
        <is>
          <t>Cubierta Metálica</t>
        </is>
      </c>
      <c r="E61" s="18" t="inlineStr">
        <is>
          <t>m2</t>
        </is>
      </c>
      <c r="F61" s="21" t="n">
        <v>100</v>
      </c>
      <c r="G61" s="22" t="n">
        <v>9.800000000000001</v>
      </c>
      <c r="H61" s="22" t="n">
        <v>10</v>
      </c>
      <c r="I61" s="18" t="inlineStr">
        <is>
          <t>Megametales</t>
        </is>
      </c>
      <c r="J61" s="22" t="n">
        <v>10.58</v>
      </c>
      <c r="K61" s="18" t="inlineStr">
        <is>
          <t>Kywi / Megakywi</t>
        </is>
      </c>
      <c r="L61" s="8">
        <f>F61*G61</f>
        <v/>
      </c>
      <c r="M61" s="145" t="inlineStr">
        <is>
          <t>A-B30-CUB-ZNC-0P45</t>
        </is>
      </c>
      <c r="N61" s="18" t="inlineStr">
        <is>
          <t>Arquitectura</t>
        </is>
      </c>
      <c r="O61" s="18" t="inlineStr">
        <is>
          <t>Estimado DION · criterio de mercado Guayaquil 2026 (no verificado en tienda)</t>
        </is>
      </c>
      <c r="P61" s="18" t="inlineStr">
        <is>
          <t>oct-2026 (est.)</t>
        </is>
      </c>
      <c r="Q61" s="18" t="n">
        <v>8</v>
      </c>
    </row>
    <row r="62">
      <c r="A62" s="184" t="n">
        <v>42</v>
      </c>
      <c r="B62" s="185" t="inlineStr">
        <is>
          <t xml:space="preserve">        Plancha Galvalume Prepintada 0.50 mm (m²)</t>
        </is>
      </c>
      <c r="C62" s="186" t="inlineStr">
        <is>
          <t>Comercial / Industrial</t>
        </is>
      </c>
      <c r="D62" s="184" t="inlineStr">
        <is>
          <t>Cubierta Metálica</t>
        </is>
      </c>
      <c r="E62" s="184" t="inlineStr">
        <is>
          <t>m2</t>
        </is>
      </c>
      <c r="F62" s="187" t="n">
        <v>100</v>
      </c>
      <c r="G62" s="188" t="n">
        <v>11.2</v>
      </c>
      <c r="H62" s="188" t="n">
        <v>11.42</v>
      </c>
      <c r="I62" s="184" t="inlineStr">
        <is>
          <t>Megametales</t>
        </is>
      </c>
      <c r="J62" s="188" t="n">
        <v>12.43</v>
      </c>
      <c r="K62" s="184" t="inlineStr">
        <is>
          <t>Kywi / Megakywi</t>
        </is>
      </c>
      <c r="L62" s="189">
        <f>F62*G62</f>
        <v/>
      </c>
      <c r="M62" s="190" t="inlineStr">
        <is>
          <t>A-B30-CUB-ZNC-0P50</t>
        </is>
      </c>
      <c r="N62" s="184" t="inlineStr">
        <is>
          <t>Arquitectura</t>
        </is>
      </c>
      <c r="O62" s="184" t="inlineStr">
        <is>
          <t>Estimado DION · criterio de mercado Guayaquil 2026 (no verificado en tienda)</t>
        </is>
      </c>
      <c r="P62" s="184" t="inlineStr">
        <is>
          <t>oct-2026 (est.)</t>
        </is>
      </c>
      <c r="Q62" s="184" t="n">
        <v>8</v>
      </c>
    </row>
    <row r="63">
      <c r="A63" s="18" t="n">
        <v>43</v>
      </c>
      <c r="B63" s="19" t="inlineStr">
        <is>
          <t xml:space="preserve">        Panel Sándwich PUR/PIR 30 mm (m²)</t>
        </is>
      </c>
      <c r="C63" s="20" t="inlineStr">
        <is>
          <t>Comercial / Industrial</t>
        </is>
      </c>
      <c r="D63" s="18" t="inlineStr">
        <is>
          <t>Panel Sándwich</t>
        </is>
      </c>
      <c r="E63" s="18" t="inlineStr">
        <is>
          <t>m2</t>
        </is>
      </c>
      <c r="F63" s="21" t="n">
        <v>100</v>
      </c>
      <c r="G63" s="22" t="n">
        <v>26</v>
      </c>
      <c r="H63" s="22" t="n">
        <v>26.78</v>
      </c>
      <c r="I63" s="18" t="inlineStr">
        <is>
          <t>Megametales</t>
        </is>
      </c>
      <c r="J63" s="22" t="n">
        <v>28.08</v>
      </c>
      <c r="K63" s="18" t="inlineStr">
        <is>
          <t>Kywi / Megakywi</t>
        </is>
      </c>
      <c r="L63" s="8">
        <f>F63*G63</f>
        <v/>
      </c>
      <c r="M63" s="145" t="inlineStr">
        <is>
          <t>A-B30-CUB-PSW-030</t>
        </is>
      </c>
      <c r="N63" s="18" t="inlineStr">
        <is>
          <t>Arquitectura</t>
        </is>
      </c>
      <c r="O63" s="18" t="inlineStr">
        <is>
          <t>Estimado DION · criterio de mercado Guayaquil 2026 (no verificado en tienda)</t>
        </is>
      </c>
      <c r="P63" s="18" t="inlineStr">
        <is>
          <t>oct-2026 (est.)</t>
        </is>
      </c>
      <c r="Q63" s="18" t="n">
        <v>5</v>
      </c>
    </row>
    <row r="64">
      <c r="A64" s="184" t="n">
        <v>44</v>
      </c>
      <c r="B64" s="185" t="inlineStr">
        <is>
          <t xml:space="preserve">        Panel Sándwich PIR 50 mm (m²)</t>
        </is>
      </c>
      <c r="C64" s="186" t="inlineStr">
        <is>
          <t>Comercial / Industrial</t>
        </is>
      </c>
      <c r="D64" s="184" t="inlineStr">
        <is>
          <t>Panel Sándwich</t>
        </is>
      </c>
      <c r="E64" s="184" t="inlineStr">
        <is>
          <t>m2</t>
        </is>
      </c>
      <c r="F64" s="187" t="n">
        <v>100</v>
      </c>
      <c r="G64" s="188" t="n">
        <v>31</v>
      </c>
      <c r="H64" s="188" t="n">
        <v>31.93</v>
      </c>
      <c r="I64" s="184" t="inlineStr">
        <is>
          <t>Megametales</t>
        </is>
      </c>
      <c r="J64" s="188" t="n">
        <v>33.17</v>
      </c>
      <c r="K64" s="184" t="inlineStr">
        <is>
          <t>Kywi / Megakywi</t>
        </is>
      </c>
      <c r="L64" s="189">
        <f>F64*G64</f>
        <v/>
      </c>
      <c r="M64" s="190" t="inlineStr">
        <is>
          <t>A-B30-CUB-PSW-050</t>
        </is>
      </c>
      <c r="N64" s="184" t="inlineStr">
        <is>
          <t>Arquitectura</t>
        </is>
      </c>
      <c r="O64" s="184" t="inlineStr">
        <is>
          <t>Estimado DION · criterio de mercado Guayaquil 2026 (no verificado en tienda)</t>
        </is>
      </c>
      <c r="P64" s="184" t="inlineStr">
        <is>
          <t>oct-2026 (est.)</t>
        </is>
      </c>
      <c r="Q64" s="184" t="n">
        <v>5</v>
      </c>
    </row>
    <row r="65">
      <c r="A65" s="18" t="n">
        <v>45</v>
      </c>
      <c r="B65" s="19" t="inlineStr">
        <is>
          <t xml:space="preserve">        Panel Sándwich PIR 75 mm (m²)</t>
        </is>
      </c>
      <c r="C65" s="20" t="inlineStr">
        <is>
          <t>Industrial / Frigorífico</t>
        </is>
      </c>
      <c r="D65" s="18" t="inlineStr">
        <is>
          <t>Panel Sándwich</t>
        </is>
      </c>
      <c r="E65" s="18" t="inlineStr">
        <is>
          <t>m2</t>
        </is>
      </c>
      <c r="F65" s="21" t="n">
        <v>100</v>
      </c>
      <c r="G65" s="22" t="n">
        <v>38</v>
      </c>
      <c r="H65" s="22" t="n">
        <v>39.52</v>
      </c>
      <c r="I65" s="18" t="inlineStr">
        <is>
          <t>Megametales</t>
        </is>
      </c>
      <c r="J65" s="22" t="n">
        <v>41.42</v>
      </c>
      <c r="K65" s="18" t="inlineStr">
        <is>
          <t>Kywi / Megakywi</t>
        </is>
      </c>
      <c r="L65" s="8">
        <f>F65*G65</f>
        <v/>
      </c>
      <c r="M65" s="145" t="inlineStr">
        <is>
          <t>A-B30-CUB-PSW-075</t>
        </is>
      </c>
      <c r="N65" s="18" t="inlineStr">
        <is>
          <t>Arquitectura</t>
        </is>
      </c>
      <c r="O65" s="18" t="inlineStr">
        <is>
          <t>Estimado DION · criterio de mercado Guayaquil 2026 (no verificado en tienda)</t>
        </is>
      </c>
      <c r="P65" s="18" t="inlineStr">
        <is>
          <t>oct-2026 (est.)</t>
        </is>
      </c>
      <c r="Q65" s="18" t="n">
        <v>5</v>
      </c>
    </row>
    <row r="66">
      <c r="A66" s="184" t="n">
        <v>46</v>
      </c>
      <c r="B66" s="185" t="inlineStr">
        <is>
          <t xml:space="preserve">        Panel Sándwich PIR 100 mm Frigorífico (m²)</t>
        </is>
      </c>
      <c r="C66" s="186" t="inlineStr">
        <is>
          <t>Industrial / Frigorífico</t>
        </is>
      </c>
      <c r="D66" s="184" t="inlineStr">
        <is>
          <t>Panel Sándwich</t>
        </is>
      </c>
      <c r="E66" s="184" t="inlineStr">
        <is>
          <t>m2</t>
        </is>
      </c>
      <c r="F66" s="187" t="n">
        <v>100</v>
      </c>
      <c r="G66" s="188" t="n">
        <v>46</v>
      </c>
      <c r="H66" s="188" t="n">
        <v>48.3</v>
      </c>
      <c r="I66" s="184" t="inlineStr">
        <is>
          <t>Megametales</t>
        </is>
      </c>
      <c r="J66" s="188" t="n">
        <v>51.06</v>
      </c>
      <c r="K66" s="184" t="inlineStr">
        <is>
          <t>Kywi / Megakywi</t>
        </is>
      </c>
      <c r="L66" s="189">
        <f>F66*G66</f>
        <v/>
      </c>
      <c r="M66" s="190" t="inlineStr">
        <is>
          <t>A-B30-CUB-PSW-100</t>
        </is>
      </c>
      <c r="N66" s="184" t="inlineStr">
        <is>
          <t>Arquitectura</t>
        </is>
      </c>
      <c r="O66" s="184" t="inlineStr">
        <is>
          <t>Estimado DION · criterio de mercado Guayaquil 2026 (no verificado en tienda)</t>
        </is>
      </c>
      <c r="P66" s="184" t="inlineStr">
        <is>
          <t>oct-2026 (est.)</t>
        </is>
      </c>
      <c r="Q66" s="184" t="n">
        <v>5</v>
      </c>
    </row>
    <row r="67">
      <c r="A67" s="18" t="n">
        <v>47</v>
      </c>
      <c r="B67" s="19" t="inlineStr">
        <is>
          <t xml:space="preserve">        Teja Colonial de Arcilla (m²)</t>
        </is>
      </c>
      <c r="C67" s="20" t="inlineStr">
        <is>
          <t>Residencial</t>
        </is>
      </c>
      <c r="D67" s="18" t="inlineStr">
        <is>
          <t>Tejas</t>
        </is>
      </c>
      <c r="E67" s="18" t="inlineStr">
        <is>
          <t>m2</t>
        </is>
      </c>
      <c r="F67" s="21" t="n">
        <v>100</v>
      </c>
      <c r="G67" s="22" t="n">
        <v>18</v>
      </c>
      <c r="H67" s="22" t="n">
        <v>18.54</v>
      </c>
      <c r="I67" s="18" t="inlineStr">
        <is>
          <t>Megametales</t>
        </is>
      </c>
      <c r="J67" s="22" t="n">
        <v>19.62</v>
      </c>
      <c r="K67" s="18" t="inlineStr">
        <is>
          <t>Kywi / Megakywi</t>
        </is>
      </c>
      <c r="L67" s="8">
        <f>F67*G67</f>
        <v/>
      </c>
      <c r="M67" s="145" t="inlineStr">
        <is>
          <t>A-B30-CUB-TEJ-COL</t>
        </is>
      </c>
      <c r="N67" s="18" t="inlineStr">
        <is>
          <t>Arquitectura</t>
        </is>
      </c>
      <c r="O67" s="18" t="inlineStr">
        <is>
          <t>Estimado DION · criterio de mercado Guayaquil 2026 (no verificado en tienda)</t>
        </is>
      </c>
      <c r="P67" s="18" t="inlineStr">
        <is>
          <t>oct-2026 (est.)</t>
        </is>
      </c>
      <c r="Q67" s="18" t="n">
        <v>10</v>
      </c>
    </row>
    <row r="68">
      <c r="A68" s="184" t="n">
        <v>48</v>
      </c>
      <c r="B68" s="185" t="inlineStr">
        <is>
          <t xml:space="preserve">        Teja Asfáltica Shingle (m²)</t>
        </is>
      </c>
      <c r="C68" s="186" t="inlineStr">
        <is>
          <t>Residencial</t>
        </is>
      </c>
      <c r="D68" s="184" t="inlineStr">
        <is>
          <t>Tejas</t>
        </is>
      </c>
      <c r="E68" s="184" t="inlineStr">
        <is>
          <t>m2</t>
        </is>
      </c>
      <c r="F68" s="187" t="n">
        <v>100</v>
      </c>
      <c r="G68" s="188" t="n">
        <v>16</v>
      </c>
      <c r="H68" s="188" t="n">
        <v>16.32</v>
      </c>
      <c r="I68" s="184" t="inlineStr">
        <is>
          <t>Megametales</t>
        </is>
      </c>
      <c r="J68" s="188" t="n">
        <v>17.12</v>
      </c>
      <c r="K68" s="184" t="inlineStr">
        <is>
          <t>Kywi / Megakywi</t>
        </is>
      </c>
      <c r="L68" s="189">
        <f>F68*G68</f>
        <v/>
      </c>
      <c r="M68" s="190" t="inlineStr">
        <is>
          <t>A-B30-CUB-TEJ-ASF</t>
        </is>
      </c>
      <c r="N68" s="184" t="inlineStr">
        <is>
          <t>Arquitectura</t>
        </is>
      </c>
      <c r="O68" s="184" t="inlineStr">
        <is>
          <t>Estimado DION · criterio de mercado Guayaquil 2026 (no verificado en tienda)</t>
        </is>
      </c>
      <c r="P68" s="184" t="inlineStr">
        <is>
          <t>oct-2026 (est.)</t>
        </is>
      </c>
      <c r="Q68" s="184" t="n">
        <v>10</v>
      </c>
    </row>
    <row r="69">
      <c r="A69" s="18" t="n">
        <v>49</v>
      </c>
      <c r="B69" s="19" t="inlineStr">
        <is>
          <t xml:space="preserve">        Policarbonato Alveolar 6 mm (m²)</t>
        </is>
      </c>
      <c r="C69" s="20" t="inlineStr">
        <is>
          <t>Residencial / Comercial</t>
        </is>
      </c>
      <c r="D69" s="18" t="inlineStr">
        <is>
          <t>Policarbonato</t>
        </is>
      </c>
      <c r="E69" s="18" t="inlineStr">
        <is>
          <t>m2</t>
        </is>
      </c>
      <c r="F69" s="21" t="n">
        <v>100</v>
      </c>
      <c r="G69" s="22" t="n">
        <v>11.5</v>
      </c>
      <c r="H69" s="22" t="n">
        <v>11.73</v>
      </c>
      <c r="I69" s="18" t="inlineStr">
        <is>
          <t>Megametales</t>
        </is>
      </c>
      <c r="J69" s="22" t="n">
        <v>12.65</v>
      </c>
      <c r="K69" s="18" t="inlineStr">
        <is>
          <t>Kywi / Megakywi</t>
        </is>
      </c>
      <c r="L69" s="8">
        <f>F69*G69</f>
        <v/>
      </c>
      <c r="M69" s="145" t="inlineStr">
        <is>
          <t>A-B30-CUB-POL-006</t>
        </is>
      </c>
      <c r="N69" s="18" t="inlineStr">
        <is>
          <t>Arquitectura</t>
        </is>
      </c>
      <c r="O69" s="18" t="inlineStr">
        <is>
          <t>Estimado DION · criterio de mercado Guayaquil 2026 (no verificado en tienda)</t>
        </is>
      </c>
      <c r="P69" s="18" t="inlineStr">
        <is>
          <t>oct-2026 (est.)</t>
        </is>
      </c>
      <c r="Q69" s="18" t="n">
        <v>10</v>
      </c>
    </row>
    <row r="70">
      <c r="A70" s="184" t="n">
        <v>50</v>
      </c>
      <c r="B70" s="185" t="inlineStr">
        <is>
          <t xml:space="preserve">        Policarbonato Alveolar 8 mm (m²)</t>
        </is>
      </c>
      <c r="C70" s="186" t="inlineStr">
        <is>
          <t>Residencial / Comercial</t>
        </is>
      </c>
      <c r="D70" s="184" t="inlineStr">
        <is>
          <t>Policarbonato</t>
        </is>
      </c>
      <c r="E70" s="184" t="inlineStr">
        <is>
          <t>m2</t>
        </is>
      </c>
      <c r="F70" s="187" t="n">
        <v>100</v>
      </c>
      <c r="G70" s="188" t="n">
        <v>14</v>
      </c>
      <c r="H70" s="188" t="n">
        <v>14.56</v>
      </c>
      <c r="I70" s="184" t="inlineStr">
        <is>
          <t>Megametales</t>
        </is>
      </c>
      <c r="J70" s="188" t="n">
        <v>15.54</v>
      </c>
      <c r="K70" s="184" t="inlineStr">
        <is>
          <t>Kywi / Megakywi</t>
        </is>
      </c>
      <c r="L70" s="189">
        <f>F70*G70</f>
        <v/>
      </c>
      <c r="M70" s="190" t="inlineStr">
        <is>
          <t>A-B30-CUB-POL-008</t>
        </is>
      </c>
      <c r="N70" s="184" t="inlineStr">
        <is>
          <t>Arquitectura</t>
        </is>
      </c>
      <c r="O70" s="184" t="inlineStr">
        <is>
          <t>Estimado DION · criterio de mercado Guayaquil 2026 (no verificado en tienda)</t>
        </is>
      </c>
      <c r="P70" s="184" t="inlineStr">
        <is>
          <t>oct-2026 (est.)</t>
        </is>
      </c>
      <c r="Q70" s="184" t="n">
        <v>10</v>
      </c>
    </row>
    <row r="71">
      <c r="A71" s="18" t="n">
        <v>51</v>
      </c>
      <c r="B71" s="19" t="inlineStr">
        <is>
          <t xml:space="preserve">        Policarbonato Alveolar 10 mm (m²)</t>
        </is>
      </c>
      <c r="C71" s="20" t="inlineStr">
        <is>
          <t>Residencial / Comercial</t>
        </is>
      </c>
      <c r="D71" s="18" t="inlineStr">
        <is>
          <t>Policarbonato</t>
        </is>
      </c>
      <c r="E71" s="18" t="inlineStr">
        <is>
          <t>m2</t>
        </is>
      </c>
      <c r="F71" s="21" t="n">
        <v>100</v>
      </c>
      <c r="G71" s="22" t="n">
        <v>17</v>
      </c>
      <c r="H71" s="22" t="n">
        <v>17.51</v>
      </c>
      <c r="I71" s="18" t="inlineStr">
        <is>
          <t>Megametales</t>
        </is>
      </c>
      <c r="J71" s="22" t="n">
        <v>18.87</v>
      </c>
      <c r="K71" s="18" t="inlineStr">
        <is>
          <t>Kywi / Megakywi</t>
        </is>
      </c>
      <c r="L71" s="8">
        <f>F71*G71</f>
        <v/>
      </c>
      <c r="M71" s="145" t="inlineStr">
        <is>
          <t>A-B30-CUB-POL-010</t>
        </is>
      </c>
      <c r="N71" s="18" t="inlineStr">
        <is>
          <t>Arquitectura</t>
        </is>
      </c>
      <c r="O71" s="18" t="inlineStr">
        <is>
          <t>Estimado DION · criterio de mercado Guayaquil 2026 (no verificado en tienda)</t>
        </is>
      </c>
      <c r="P71" s="18" t="inlineStr">
        <is>
          <t>oct-2026 (est.)</t>
        </is>
      </c>
      <c r="Q71" s="18" t="n">
        <v>10</v>
      </c>
    </row>
    <row r="72">
      <c r="A72" s="184" t="n">
        <v>52</v>
      </c>
      <c r="B72" s="185" t="inlineStr">
        <is>
          <t xml:space="preserve">        Cubierta de Vidrio Laminado Inclinada (m², instalada)</t>
        </is>
      </c>
      <c r="C72" s="186" t="inlineStr">
        <is>
          <t>Comercial</t>
        </is>
      </c>
      <c r="D72" s="184" t="inlineStr">
        <is>
          <t>Cubierta Vidrio</t>
        </is>
      </c>
      <c r="E72" s="184" t="inlineStr">
        <is>
          <t>m2</t>
        </is>
      </c>
      <c r="F72" s="187" t="n">
        <v>100</v>
      </c>
      <c r="G72" s="188" t="n">
        <v>145</v>
      </c>
      <c r="H72" s="188" t="n">
        <v>152.25</v>
      </c>
      <c r="I72" s="184" t="inlineStr">
        <is>
          <t>Megametales</t>
        </is>
      </c>
      <c r="J72" s="188" t="n">
        <v>159.5</v>
      </c>
      <c r="K72" s="184" t="inlineStr">
        <is>
          <t>Kywi / Megakywi</t>
        </is>
      </c>
      <c r="L72" s="189">
        <f>F72*G72</f>
        <v/>
      </c>
      <c r="M72" s="190" t="inlineStr">
        <is>
          <t>A-B30-CUB-VLM-INC</t>
        </is>
      </c>
      <c r="N72" s="184" t="inlineStr">
        <is>
          <t>Arquitectura</t>
        </is>
      </c>
      <c r="O72" s="184" t="inlineStr">
        <is>
          <t>Estimado DION · criterio de mercado Guayaquil 2026 (no verificado en tienda)</t>
        </is>
      </c>
      <c r="P72" s="184" t="inlineStr">
        <is>
          <t>oct-2026 (est.)</t>
        </is>
      </c>
      <c r="Q72" s="184" t="n"/>
    </row>
    <row r="73">
      <c r="A73" s="18" t="n">
        <v>53</v>
      </c>
      <c r="B73" s="19" t="inlineStr">
        <is>
          <t xml:space="preserve">        Cubierta Verde Extensiva Completa (m²)</t>
        </is>
      </c>
      <c r="C73" s="20" t="inlineStr">
        <is>
          <t>Residencial / Comercial</t>
        </is>
      </c>
      <c r="D73" s="18" t="inlineStr">
        <is>
          <t>Cubierta Verde</t>
        </is>
      </c>
      <c r="E73" s="18" t="inlineStr">
        <is>
          <t>m2</t>
        </is>
      </c>
      <c r="F73" s="21" t="n">
        <v>100</v>
      </c>
      <c r="G73" s="22" t="n">
        <v>85</v>
      </c>
      <c r="H73" s="22" t="n">
        <v>89.25</v>
      </c>
      <c r="I73" s="18" t="inlineStr">
        <is>
          <t>Megametales</t>
        </is>
      </c>
      <c r="J73" s="22" t="n">
        <v>93.5</v>
      </c>
      <c r="K73" s="18" t="inlineStr">
        <is>
          <t>Kywi / Megakywi</t>
        </is>
      </c>
      <c r="L73" s="8">
        <f>F73*G73</f>
        <v/>
      </c>
      <c r="M73" s="145" t="inlineStr">
        <is>
          <t>A-B30-CUB-VEG-EXT</t>
        </is>
      </c>
      <c r="N73" s="18" t="inlineStr">
        <is>
          <t>Arquitectura</t>
        </is>
      </c>
      <c r="O73" s="18" t="inlineStr">
        <is>
          <t>Estimado DION · criterio de mercado Guayaquil 2026 (no verificado en tienda)</t>
        </is>
      </c>
      <c r="P73" s="18" t="inlineStr">
        <is>
          <t>oct-2026 (est.)</t>
        </is>
      </c>
      <c r="Q73" s="18" t="n"/>
    </row>
    <row r="74">
      <c r="A74" s="184" t="n">
        <v>54</v>
      </c>
      <c r="B74" s="185" t="inlineStr">
        <is>
          <t xml:space="preserve">        Membrana Tensada PTFE / PVC (m², instalada)</t>
        </is>
      </c>
      <c r="C74" s="186" t="inlineStr">
        <is>
          <t>Comercial / Espacio Público</t>
        </is>
      </c>
      <c r="D74" s="184" t="inlineStr">
        <is>
          <t>Membranas Tensadas</t>
        </is>
      </c>
      <c r="E74" s="184" t="inlineStr">
        <is>
          <t>m2</t>
        </is>
      </c>
      <c r="F74" s="187" t="n">
        <v>100</v>
      </c>
      <c r="G74" s="188" t="n">
        <v>125</v>
      </c>
      <c r="H74" s="188" t="n">
        <v>130</v>
      </c>
      <c r="I74" s="184" t="inlineStr">
        <is>
          <t>Megametales</t>
        </is>
      </c>
      <c r="J74" s="188" t="n">
        <v>137.5</v>
      </c>
      <c r="K74" s="184" t="inlineStr">
        <is>
          <t>Kywi / Megakywi</t>
        </is>
      </c>
      <c r="L74" s="189">
        <f>F74*G74</f>
        <v/>
      </c>
      <c r="M74" s="190" t="inlineStr">
        <is>
          <t>A-B30-CUB-MEM-PTF</t>
        </is>
      </c>
      <c r="N74" s="184" t="inlineStr">
        <is>
          <t>Arquitectura</t>
        </is>
      </c>
      <c r="O74" s="184" t="inlineStr">
        <is>
          <t>Estimado DION · criterio de mercado Guayaquil 2026 (no verificado en tienda)</t>
        </is>
      </c>
      <c r="P74" s="184" t="inlineStr">
        <is>
          <t>oct-2026 (est.)</t>
        </is>
      </c>
      <c r="Q74" s="184" t="n"/>
    </row>
    <row r="75">
      <c r="A75" s="18" t="n">
        <v>55</v>
      </c>
      <c r="B75" s="19" t="inlineStr">
        <is>
          <t xml:space="preserve">        Cubierta de Caña Guadúa / Bambú (m²)</t>
        </is>
      </c>
      <c r="C75" s="20" t="inlineStr">
        <is>
          <t>Residencial / Turismo</t>
        </is>
      </c>
      <c r="D75" s="18" t="inlineStr">
        <is>
          <t>Cubiertas Naturales</t>
        </is>
      </c>
      <c r="E75" s="18" t="inlineStr">
        <is>
          <t>m2</t>
        </is>
      </c>
      <c r="F75" s="21" t="n">
        <v>100</v>
      </c>
      <c r="G75" s="22" t="n">
        <v>22</v>
      </c>
      <c r="H75" s="22" t="n">
        <v>22.88</v>
      </c>
      <c r="I75" s="18" t="inlineStr">
        <is>
          <t>Megametales</t>
        </is>
      </c>
      <c r="J75" s="22" t="n">
        <v>24.2</v>
      </c>
      <c r="K75" s="18" t="inlineStr">
        <is>
          <t>Kywi / Megakywi</t>
        </is>
      </c>
      <c r="L75" s="8">
        <f>F75*G75</f>
        <v/>
      </c>
      <c r="M75" s="145" t="inlineStr">
        <is>
          <t>A-B30-CUB-CAN-BAM</t>
        </is>
      </c>
      <c r="N75" s="18" t="inlineStr">
        <is>
          <t>Arquitectura</t>
        </is>
      </c>
      <c r="O75" s="18" t="inlineStr">
        <is>
          <t>Estimado DION · criterio de mercado Guayaquil 2026 (no verificado en tienda)</t>
        </is>
      </c>
      <c r="P75" s="18" t="inlineStr">
        <is>
          <t>oct-2026 (est.)</t>
        </is>
      </c>
      <c r="Q75" s="18" t="n">
        <v>5</v>
      </c>
    </row>
    <row r="76">
      <c r="A76" s="10" t="n"/>
      <c r="B76" s="147" t="inlineStr">
        <is>
          <t>TOTAL BASE DE DATOS CUBIERTAS E IMPERMEABILIZACIÓN (ESTIMADO)</t>
        </is>
      </c>
      <c r="C76" s="148" t="n"/>
      <c r="D76" s="148" t="n"/>
      <c r="E76" s="148" t="n"/>
      <c r="F76" s="148" t="n"/>
      <c r="G76" s="148" t="n"/>
      <c r="H76" s="148" t="n"/>
      <c r="I76" s="148" t="n"/>
      <c r="J76" s="148" t="n"/>
      <c r="K76" s="148" t="n"/>
      <c r="L76" s="30">
        <f>SUM(L6:L75)</f>
        <v/>
      </c>
      <c r="M76" s="30" t="n"/>
      <c r="N76" s="30" t="n"/>
      <c r="O76" s="30" t="n"/>
      <c r="P76" s="30" t="n"/>
      <c r="Q76" s="30" t="n"/>
    </row>
  </sheetData>
  <mergeCells count="16">
    <mergeCell ref="A8:Q8"/>
    <mergeCell ref="B76:K76"/>
    <mergeCell ref="A6:Q6"/>
    <mergeCell ref="A22:Q22"/>
    <mergeCell ref="A40:Q40"/>
    <mergeCell ref="A56:Q56"/>
    <mergeCell ref="A27:Q27"/>
    <mergeCell ref="A21:Q21"/>
    <mergeCell ref="A39:Q39"/>
    <mergeCell ref="A55:Q55"/>
    <mergeCell ref="A29:Q29"/>
    <mergeCell ref="A7:Q7"/>
    <mergeCell ref="A57:Q57"/>
    <mergeCell ref="A38:Q38"/>
    <mergeCell ref="A28:Q28"/>
    <mergeCell ref="A23:Q23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9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8" customWidth="1" min="2" max="2"/>
    <col width="30" customWidth="1" min="3" max="3"/>
    <col width="32" customWidth="1" min="4" max="4"/>
    <col width="8" customWidth="1" min="5" max="5"/>
    <col width="10" customWidth="1" min="6" max="6"/>
    <col width="15" customWidth="1" min="7" max="7"/>
    <col width="16" customWidth="1" min="8" max="8"/>
    <col width="22" customWidth="1" min="9" max="9"/>
    <col width="16" customWidth="1" min="10" max="10"/>
    <col width="20" customWidth="1" min="11" max="11"/>
    <col width="16" customWidth="1" min="12" max="12"/>
    <col width="27" customWidth="1" min="13" max="13"/>
    <col width="30" customWidth="1" min="14" max="14"/>
    <col width="44" customWidth="1" min="15" max="15"/>
    <col width="15" customWidth="1" min="16" max="16"/>
    <col width="14" customWidth="1" min="17" max="17"/>
  </cols>
  <sheetData>
    <row r="1">
      <c r="A1" s="1" t="inlineStr">
        <is>
          <t>BASE DE DATOS COMPLETA DE CATALOGACIÓN: CARPINTERÍA ALUMINIO Y VIDRIO</t>
        </is>
      </c>
    </row>
    <row r="2">
      <c r="A2" s="2" t="inlineStr">
        <is>
          <t>Estructura Jerárquica Homogénea: Accesorios &gt; Tuberías &gt; Equipos &gt; Conexiones &gt; Equipos Especializados | Degradé por Niveles (Ecuador - USD)</t>
        </is>
      </c>
    </row>
    <row r="3">
      <c r="A3" s="13" t="inlineStr">
        <is>
          <t>« Volver al Índice General</t>
        </is>
      </c>
    </row>
    <row r="5" ht="30" customHeight="1">
      <c r="A5" s="4" t="inlineStr">
        <is>
          <t>Item</t>
        </is>
      </c>
      <c r="B5" s="4" t="inlineStr">
        <is>
          <t>Descripción de Accesorio / Ítem Especificado</t>
        </is>
      </c>
      <c r="C5" s="4" t="inlineStr">
        <is>
          <t>Clasificación / Ámbito de Uso
(Residencial/Comercial/Industrial)</t>
        </is>
      </c>
      <c r="D5" s="4" t="inlineStr">
        <is>
          <t>Tipo / Familia</t>
        </is>
      </c>
      <c r="E5" s="4" t="inlineStr">
        <is>
          <t>Unidad</t>
        </is>
      </c>
      <c r="F5" s="4" t="inlineStr">
        <is>
          <t>Cant.</t>
        </is>
      </c>
      <c r="G5" s="4" t="inlineStr">
        <is>
          <t>P. Ref. Est. ($)</t>
        </is>
      </c>
      <c r="H5" s="4" t="inlineStr">
        <is>
          <t>P. Unit. Local A ($)
(Megametales)</t>
        </is>
      </c>
      <c r="I5" s="4" t="inlineStr">
        <is>
          <t>Local A
Especificado</t>
        </is>
      </c>
      <c r="J5" s="4" t="inlineStr">
        <is>
          <t>P. Unit. Local B ($)
(Kywi / Megakywi)</t>
        </is>
      </c>
      <c r="K5" s="4" t="inlineStr">
        <is>
          <t>Local B
Especificado</t>
        </is>
      </c>
      <c r="L5" s="4" t="inlineStr">
        <is>
          <t>Subtotal Est. ($)</t>
        </is>
      </c>
      <c r="M5" s="4" t="inlineStr">
        <is>
          <t>Código DION</t>
        </is>
      </c>
      <c r="N5" s="4" t="inlineStr">
        <is>
          <t>Disciplina</t>
        </is>
      </c>
      <c r="O5" s="4" t="inlineStr">
        <is>
          <t>Fuente del precio</t>
        </is>
      </c>
      <c r="P5" s="4" t="inlineStr">
        <is>
          <t>Fecha precio</t>
        </is>
      </c>
      <c r="Q5" s="4" t="inlineStr">
        <is>
          <t>Rendimiento /
desperdicio %</t>
        </is>
      </c>
    </row>
    <row r="6">
      <c r="A6" s="191" t="inlineStr">
        <is>
          <t>ACCESORIOS</t>
        </is>
      </c>
      <c r="B6" s="143" t="n"/>
      <c r="C6" s="143" t="n"/>
      <c r="D6" s="143" t="n"/>
      <c r="E6" s="143" t="n"/>
      <c r="F6" s="143" t="n"/>
      <c r="G6" s="143" t="n"/>
      <c r="H6" s="143" t="n"/>
      <c r="I6" s="143" t="n"/>
      <c r="J6" s="143" t="n"/>
      <c r="K6" s="143" t="n"/>
      <c r="L6" s="143" t="n"/>
      <c r="M6" s="143" t="n"/>
      <c r="N6" s="143" t="n"/>
      <c r="O6" s="143" t="n"/>
      <c r="P6" s="143" t="n"/>
      <c r="Q6" s="144" t="n"/>
    </row>
    <row r="7">
      <c r="A7" s="192" t="inlineStr">
        <is>
          <t xml:space="preserve">  ► CATEGORÍA: HERRAJES Y ACCESORIOS DE ALUMINIO</t>
        </is>
      </c>
      <c r="B7" s="143" t="n"/>
      <c r="C7" s="143" t="n"/>
      <c r="D7" s="143" t="n"/>
      <c r="E7" s="143" t="n"/>
      <c r="F7" s="143" t="n"/>
      <c r="G7" s="143" t="n"/>
      <c r="H7" s="143" t="n"/>
      <c r="I7" s="143" t="n"/>
      <c r="J7" s="143" t="n"/>
      <c r="K7" s="143" t="n"/>
      <c r="L7" s="143" t="n"/>
      <c r="M7" s="143" t="n"/>
      <c r="N7" s="143" t="n"/>
      <c r="O7" s="143" t="n"/>
      <c r="P7" s="143" t="n"/>
      <c r="Q7" s="144" t="n"/>
    </row>
    <row r="8">
      <c r="A8" s="193" t="inlineStr">
        <is>
          <t xml:space="preserve">      • Subcategoría Especificada: Rodamientos, Cierres, Felpas, Empaques y Selladores</t>
        </is>
      </c>
      <c r="B8" s="143" t="n"/>
      <c r="C8" s="143" t="n"/>
      <c r="D8" s="143" t="n"/>
      <c r="E8" s="143" t="n"/>
      <c r="F8" s="143" t="n"/>
      <c r="G8" s="143" t="n"/>
      <c r="H8" s="143" t="n"/>
      <c r="I8" s="143" t="n"/>
      <c r="J8" s="143" t="n"/>
      <c r="K8" s="143" t="n"/>
      <c r="L8" s="143" t="n"/>
      <c r="M8" s="143" t="n"/>
      <c r="N8" s="143" t="n"/>
      <c r="O8" s="143" t="n"/>
      <c r="P8" s="143" t="n"/>
      <c r="Q8" s="144" t="n"/>
    </row>
    <row r="9">
      <c r="A9" s="18" t="n">
        <v>1</v>
      </c>
      <c r="B9" s="19" t="inlineStr">
        <is>
          <t xml:space="preserve">        Rodamiento / Garrucha para Ventana Corrediza (Par)</t>
        </is>
      </c>
      <c r="C9" s="20" t="inlineStr">
        <is>
          <t>Residencial / Comercial</t>
        </is>
      </c>
      <c r="D9" s="18" t="inlineStr">
        <is>
          <t>Rodamientos</t>
        </is>
      </c>
      <c r="E9" s="18" t="inlineStr">
        <is>
          <t>Par</t>
        </is>
      </c>
      <c r="F9" s="21" t="n">
        <v>10</v>
      </c>
      <c r="G9" s="22" t="n">
        <v>3.2</v>
      </c>
      <c r="H9" s="22" t="n">
        <v>3.33</v>
      </c>
      <c r="I9" s="18" t="inlineStr">
        <is>
          <t>Megametales</t>
        </is>
      </c>
      <c r="J9" s="22" t="n">
        <v>3.42</v>
      </c>
      <c r="K9" s="18" t="inlineStr">
        <is>
          <t>Kywi / Megakywi</t>
        </is>
      </c>
      <c r="L9" s="8">
        <f>F9*G9</f>
        <v/>
      </c>
      <c r="M9" s="145" t="inlineStr">
        <is>
          <t>A-B20-ALU-ROD-COR</t>
        </is>
      </c>
      <c r="N9" s="18" t="inlineStr">
        <is>
          <t>Arquitectura</t>
        </is>
      </c>
      <c r="O9" s="18" t="inlineStr">
        <is>
          <t>Estimado DION · criterio de mercado Guayaquil 2026 (no verificado en tienda)</t>
        </is>
      </c>
      <c r="P9" s="18" t="inlineStr">
        <is>
          <t>oct-2026 (est.)</t>
        </is>
      </c>
      <c r="Q9" s="18" t="n"/>
    </row>
    <row r="10">
      <c r="A10" s="194" t="n">
        <v>2</v>
      </c>
      <c r="B10" s="195" t="inlineStr">
        <is>
          <t xml:space="preserve">        Cierre Picaporte para Corrediza</t>
        </is>
      </c>
      <c r="C10" s="196" t="inlineStr">
        <is>
          <t>Residencial / Comercial</t>
        </is>
      </c>
      <c r="D10" s="194" t="inlineStr">
        <is>
          <t>Cierres</t>
        </is>
      </c>
      <c r="E10" s="194" t="inlineStr">
        <is>
          <t>U</t>
        </is>
      </c>
      <c r="F10" s="197" t="n">
        <v>10</v>
      </c>
      <c r="G10" s="198" t="n">
        <v>3.8</v>
      </c>
      <c r="H10" s="198" t="n">
        <v>3.99</v>
      </c>
      <c r="I10" s="194" t="inlineStr">
        <is>
          <t>Megametales</t>
        </is>
      </c>
      <c r="J10" s="198" t="n">
        <v>4.22</v>
      </c>
      <c r="K10" s="194" t="inlineStr">
        <is>
          <t>Kywi / Megakywi</t>
        </is>
      </c>
      <c r="L10" s="199">
        <f>F10*G10</f>
        <v/>
      </c>
      <c r="M10" s="200" t="inlineStr">
        <is>
          <t>A-B20-ALU-CIE-PIC</t>
        </is>
      </c>
      <c r="N10" s="194" t="inlineStr">
        <is>
          <t>Arquitectura</t>
        </is>
      </c>
      <c r="O10" s="194" t="inlineStr">
        <is>
          <t>Estimado DION · criterio de mercado Guayaquil 2026 (no verificado en tienda)</t>
        </is>
      </c>
      <c r="P10" s="194" t="inlineStr">
        <is>
          <t>oct-2026 (est.)</t>
        </is>
      </c>
      <c r="Q10" s="194" t="n"/>
    </row>
    <row r="11">
      <c r="A11" s="18" t="n">
        <v>3</v>
      </c>
      <c r="B11" s="19" t="inlineStr">
        <is>
          <t xml:space="preserve">        Manija de Cierre para Proyectable</t>
        </is>
      </c>
      <c r="C11" s="20" t="inlineStr">
        <is>
          <t>Residencial / Comercial</t>
        </is>
      </c>
      <c r="D11" s="18" t="inlineStr">
        <is>
          <t>Cierres</t>
        </is>
      </c>
      <c r="E11" s="18" t="inlineStr">
        <is>
          <t>U</t>
        </is>
      </c>
      <c r="F11" s="21" t="n">
        <v>6</v>
      </c>
      <c r="G11" s="22" t="n">
        <v>6.5</v>
      </c>
      <c r="H11" s="22" t="n">
        <v>6.63</v>
      </c>
      <c r="I11" s="18" t="inlineStr">
        <is>
          <t>Megametales</t>
        </is>
      </c>
      <c r="J11" s="22" t="n">
        <v>7.09</v>
      </c>
      <c r="K11" s="18" t="inlineStr">
        <is>
          <t>Kywi / Megakywi</t>
        </is>
      </c>
      <c r="L11" s="8">
        <f>F11*G11</f>
        <v/>
      </c>
      <c r="M11" s="145" t="inlineStr">
        <is>
          <t>A-B20-ALU-CIE-MAN</t>
        </is>
      </c>
      <c r="N11" s="18" t="inlineStr">
        <is>
          <t>Arquitectura</t>
        </is>
      </c>
      <c r="O11" s="18" t="inlineStr">
        <is>
          <t>Estimado DION · criterio de mercado Guayaquil 2026 (no verificado en tienda)</t>
        </is>
      </c>
      <c r="P11" s="18" t="inlineStr">
        <is>
          <t>oct-2026 (est.)</t>
        </is>
      </c>
      <c r="Q11" s="18" t="n"/>
    </row>
    <row r="12">
      <c r="A12" s="194" t="n">
        <v>4</v>
      </c>
      <c r="B12" s="195" t="inlineStr">
        <is>
          <t xml:space="preserve">        Brazo Proyectable Acero Inox 12" (Par)</t>
        </is>
      </c>
      <c r="C12" s="196" t="inlineStr">
        <is>
          <t>Residencial / Comercial</t>
        </is>
      </c>
      <c r="D12" s="194" t="inlineStr">
        <is>
          <t>Brazos</t>
        </is>
      </c>
      <c r="E12" s="194" t="inlineStr">
        <is>
          <t>Par</t>
        </is>
      </c>
      <c r="F12" s="197" t="n">
        <v>6</v>
      </c>
      <c r="G12" s="198" t="n">
        <v>9.5</v>
      </c>
      <c r="H12" s="198" t="n">
        <v>9.970000000000001</v>
      </c>
      <c r="I12" s="194" t="inlineStr">
        <is>
          <t>Megametales</t>
        </is>
      </c>
      <c r="J12" s="198" t="n">
        <v>10.55</v>
      </c>
      <c r="K12" s="194" t="inlineStr">
        <is>
          <t>Kywi / Megakywi</t>
        </is>
      </c>
      <c r="L12" s="199">
        <f>F12*G12</f>
        <v/>
      </c>
      <c r="M12" s="200" t="inlineStr">
        <is>
          <t>A-B20-ALU-BRA-PRY</t>
        </is>
      </c>
      <c r="N12" s="194" t="inlineStr">
        <is>
          <t>Arquitectura</t>
        </is>
      </c>
      <c r="O12" s="194" t="inlineStr">
        <is>
          <t>Estimado DION · criterio de mercado Guayaquil 2026 (no verificado en tienda)</t>
        </is>
      </c>
      <c r="P12" s="194" t="inlineStr">
        <is>
          <t>oct-2026 (est.)</t>
        </is>
      </c>
      <c r="Q12" s="194" t="n"/>
    </row>
    <row r="13">
      <c r="A13" s="18" t="n">
        <v>5</v>
      </c>
      <c r="B13" s="19" t="inlineStr">
        <is>
          <t xml:space="preserve">        Felpa Pelusa 5 mm (m)</t>
        </is>
      </c>
      <c r="C13" s="20" t="inlineStr">
        <is>
          <t>Residencial / Comercial</t>
        </is>
      </c>
      <c r="D13" s="18" t="inlineStr">
        <is>
          <t>Felpas</t>
        </is>
      </c>
      <c r="E13" s="18" t="inlineStr">
        <is>
          <t>m</t>
        </is>
      </c>
      <c r="F13" s="21" t="n">
        <v>100</v>
      </c>
      <c r="G13" s="22" t="n">
        <v>0.12</v>
      </c>
      <c r="H13" s="22" t="n">
        <v>0.12</v>
      </c>
      <c r="I13" s="18" t="inlineStr">
        <is>
          <t>Megametales</t>
        </is>
      </c>
      <c r="J13" s="22" t="n">
        <v>0.13</v>
      </c>
      <c r="K13" s="18" t="inlineStr">
        <is>
          <t>Kywi / Megakywi</t>
        </is>
      </c>
      <c r="L13" s="8">
        <f>F13*G13</f>
        <v/>
      </c>
      <c r="M13" s="145" t="inlineStr">
        <is>
          <t>A-B20-ALU-FEL</t>
        </is>
      </c>
      <c r="N13" s="18" t="inlineStr">
        <is>
          <t>Arquitectura</t>
        </is>
      </c>
      <c r="O13" s="18" t="inlineStr">
        <is>
          <t>Estimado DION · criterio de mercado Guayaquil 2026 (no verificado en tienda)</t>
        </is>
      </c>
      <c r="P13" s="18" t="inlineStr">
        <is>
          <t>oct-2026 (est.)</t>
        </is>
      </c>
      <c r="Q13" s="18" t="n">
        <v>10</v>
      </c>
    </row>
    <row r="14">
      <c r="A14" s="194" t="n">
        <v>6</v>
      </c>
      <c r="B14" s="195" t="inlineStr">
        <is>
          <t xml:space="preserve">        Empaque / Vinil para Vidrio (m)</t>
        </is>
      </c>
      <c r="C14" s="196" t="inlineStr">
        <is>
          <t>Residencial / Comercial</t>
        </is>
      </c>
      <c r="D14" s="194" t="inlineStr">
        <is>
          <t>Empaques</t>
        </is>
      </c>
      <c r="E14" s="194" t="inlineStr">
        <is>
          <t>m</t>
        </is>
      </c>
      <c r="F14" s="197" t="n">
        <v>100</v>
      </c>
      <c r="G14" s="198" t="n">
        <v>0.18</v>
      </c>
      <c r="H14" s="198" t="n">
        <v>0.19</v>
      </c>
      <c r="I14" s="194" t="inlineStr">
        <is>
          <t>Megametales</t>
        </is>
      </c>
      <c r="J14" s="198" t="n">
        <v>0.2</v>
      </c>
      <c r="K14" s="194" t="inlineStr">
        <is>
          <t>Kywi / Megakywi</t>
        </is>
      </c>
      <c r="L14" s="199">
        <f>F14*G14</f>
        <v/>
      </c>
      <c r="M14" s="200" t="inlineStr">
        <is>
          <t>A-B20-ALU-EMP-VIN</t>
        </is>
      </c>
      <c r="N14" s="194" t="inlineStr">
        <is>
          <t>Arquitectura</t>
        </is>
      </c>
      <c r="O14" s="194" t="inlineStr">
        <is>
          <t>Estimado DION · criterio de mercado Guayaquil 2026 (no verificado en tienda)</t>
        </is>
      </c>
      <c r="P14" s="194" t="inlineStr">
        <is>
          <t>oct-2026 (est.)</t>
        </is>
      </c>
      <c r="Q14" s="194" t="n">
        <v>10</v>
      </c>
    </row>
    <row r="15">
      <c r="A15" s="18" t="n">
        <v>7</v>
      </c>
      <c r="B15" s="19" t="inlineStr">
        <is>
          <t xml:space="preserve">        Silicón Estructural Negro (Cartucho)</t>
        </is>
      </c>
      <c r="C15" s="20" t="inlineStr">
        <is>
          <t>Residencial / Comercial</t>
        </is>
      </c>
      <c r="D15" s="18" t="inlineStr">
        <is>
          <t>Selladores</t>
        </is>
      </c>
      <c r="E15" s="18" t="inlineStr">
        <is>
          <t>U</t>
        </is>
      </c>
      <c r="F15" s="21" t="n">
        <v>10</v>
      </c>
      <c r="G15" s="22" t="n">
        <v>9.5</v>
      </c>
      <c r="H15" s="22" t="n">
        <v>9.69</v>
      </c>
      <c r="I15" s="18" t="inlineStr">
        <is>
          <t>Megametales</t>
        </is>
      </c>
      <c r="J15" s="22" t="n">
        <v>10.17</v>
      </c>
      <c r="K15" s="18" t="inlineStr">
        <is>
          <t>Kywi / Megakywi</t>
        </is>
      </c>
      <c r="L15" s="8">
        <f>F15*G15</f>
        <v/>
      </c>
      <c r="M15" s="145" t="inlineStr">
        <is>
          <t>A-B20-ALU-SIL-EST</t>
        </is>
      </c>
      <c r="N15" s="18" t="inlineStr">
        <is>
          <t>Arquitectura</t>
        </is>
      </c>
      <c r="O15" s="18" t="inlineStr">
        <is>
          <t>Estimado DION · criterio de mercado Guayaquil 2026 (no verificado en tienda)</t>
        </is>
      </c>
      <c r="P15" s="18" t="inlineStr">
        <is>
          <t>oct-2026 (est.)</t>
        </is>
      </c>
      <c r="Q15" s="18" t="n">
        <v>5</v>
      </c>
    </row>
    <row r="16">
      <c r="A16" s="194" t="n">
        <v>8</v>
      </c>
      <c r="B16" s="195" t="inlineStr">
        <is>
          <t xml:space="preserve">        Silicón Neutro Transparente (Cartucho)</t>
        </is>
      </c>
      <c r="C16" s="196" t="inlineStr">
        <is>
          <t>Residencial / Comercial</t>
        </is>
      </c>
      <c r="D16" s="194" t="inlineStr">
        <is>
          <t>Selladores</t>
        </is>
      </c>
      <c r="E16" s="194" t="inlineStr">
        <is>
          <t>U</t>
        </is>
      </c>
      <c r="F16" s="197" t="n">
        <v>10</v>
      </c>
      <c r="G16" s="198" t="n">
        <v>5.2</v>
      </c>
      <c r="H16" s="198" t="n">
        <v>5.41</v>
      </c>
      <c r="I16" s="194" t="inlineStr">
        <is>
          <t>Megametales</t>
        </is>
      </c>
      <c r="J16" s="198" t="n">
        <v>5.62</v>
      </c>
      <c r="K16" s="194" t="inlineStr">
        <is>
          <t>Kywi / Megakywi</t>
        </is>
      </c>
      <c r="L16" s="199">
        <f>F16*G16</f>
        <v/>
      </c>
      <c r="M16" s="200" t="inlineStr">
        <is>
          <t>A-B20-ALU-SIL-NEU</t>
        </is>
      </c>
      <c r="N16" s="194" t="inlineStr">
        <is>
          <t>Arquitectura</t>
        </is>
      </c>
      <c r="O16" s="194" t="inlineStr">
        <is>
          <t>Estimado DION · criterio de mercado Guayaquil 2026 (no verificado en tienda)</t>
        </is>
      </c>
      <c r="P16" s="194" t="inlineStr">
        <is>
          <t>oct-2026 (est.)</t>
        </is>
      </c>
      <c r="Q16" s="194" t="n">
        <v>5</v>
      </c>
    </row>
    <row r="17">
      <c r="A17" s="18" t="n">
        <v>9</v>
      </c>
      <c r="B17" s="19" t="inlineStr">
        <is>
          <t xml:space="preserve">        Tornillos y Tacos para Marco (Ciento)</t>
        </is>
      </c>
      <c r="C17" s="20" t="inlineStr">
        <is>
          <t>Residencial / Comercial</t>
        </is>
      </c>
      <c r="D17" s="18" t="inlineStr">
        <is>
          <t>Tornillería</t>
        </is>
      </c>
      <c r="E17" s="18" t="inlineStr">
        <is>
          <t>Ciento</t>
        </is>
      </c>
      <c r="F17" s="21" t="n">
        <v>2</v>
      </c>
      <c r="G17" s="22" t="n">
        <v>4.5</v>
      </c>
      <c r="H17" s="22" t="n">
        <v>4.73</v>
      </c>
      <c r="I17" s="18" t="inlineStr">
        <is>
          <t>Megametales</t>
        </is>
      </c>
      <c r="J17" s="22" t="n">
        <v>4.91</v>
      </c>
      <c r="K17" s="18" t="inlineStr">
        <is>
          <t>Kywi / Megakywi</t>
        </is>
      </c>
      <c r="L17" s="8">
        <f>F17*G17</f>
        <v/>
      </c>
      <c r="M17" s="145" t="inlineStr">
        <is>
          <t>A-B20-ALU-TOR-ALM</t>
        </is>
      </c>
      <c r="N17" s="18" t="inlineStr">
        <is>
          <t>Arquitectura</t>
        </is>
      </c>
      <c r="O17" s="18" t="inlineStr">
        <is>
          <t>Estimado DION · criterio de mercado Guayaquil 2026 (no verificado en tienda)</t>
        </is>
      </c>
      <c r="P17" s="18" t="inlineStr">
        <is>
          <t>oct-2026 (est.)</t>
        </is>
      </c>
      <c r="Q17" s="18" t="n">
        <v>5</v>
      </c>
    </row>
    <row r="18">
      <c r="A18" s="194" t="n">
        <v>10</v>
      </c>
      <c r="B18" s="195" t="inlineStr">
        <is>
          <t xml:space="preserve">        Cerradura para Puerta de Aluminio con Cilindro</t>
        </is>
      </c>
      <c r="C18" s="196" t="inlineStr">
        <is>
          <t>Residencial / Comercial</t>
        </is>
      </c>
      <c r="D18" s="194" t="inlineStr">
        <is>
          <t>Cerraduras</t>
        </is>
      </c>
      <c r="E18" s="194" t="inlineStr">
        <is>
          <t>U</t>
        </is>
      </c>
      <c r="F18" s="197" t="n">
        <v>2</v>
      </c>
      <c r="G18" s="198" t="n">
        <v>28</v>
      </c>
      <c r="H18" s="198" t="n">
        <v>29.4</v>
      </c>
      <c r="I18" s="194" t="inlineStr">
        <is>
          <t>Megametales</t>
        </is>
      </c>
      <c r="J18" s="198" t="n">
        <v>30.24</v>
      </c>
      <c r="K18" s="194" t="inlineStr">
        <is>
          <t>Kywi / Megakywi</t>
        </is>
      </c>
      <c r="L18" s="199">
        <f>F18*G18</f>
        <v/>
      </c>
      <c r="M18" s="200" t="inlineStr">
        <is>
          <t>A-B20-ALU-CER-PUE</t>
        </is>
      </c>
      <c r="N18" s="194" t="inlineStr">
        <is>
          <t>Arquitectura</t>
        </is>
      </c>
      <c r="O18" s="194" t="inlineStr">
        <is>
          <t>Estimado DION · criterio de mercado Guayaquil 2026 (no verificado en tienda)</t>
        </is>
      </c>
      <c r="P18" s="194" t="inlineStr">
        <is>
          <t>oct-2026 (est.)</t>
        </is>
      </c>
      <c r="Q18" s="194" t="n"/>
    </row>
    <row r="19">
      <c r="A19" s="18" t="n">
        <v>11</v>
      </c>
      <c r="B19" s="19" t="inlineStr">
        <is>
          <t xml:space="preserve">        Bisagra Pivotante / Freno Hidráulico de Piso</t>
        </is>
      </c>
      <c r="C19" s="20" t="inlineStr">
        <is>
          <t>Residencial / Comercial</t>
        </is>
      </c>
      <c r="D19" s="18" t="inlineStr">
        <is>
          <t>Pivotes</t>
        </is>
      </c>
      <c r="E19" s="18" t="inlineStr">
        <is>
          <t>U</t>
        </is>
      </c>
      <c r="F19" s="21" t="n">
        <v>1</v>
      </c>
      <c r="G19" s="22" t="n">
        <v>145</v>
      </c>
      <c r="H19" s="22" t="n">
        <v>152.25</v>
      </c>
      <c r="I19" s="18" t="inlineStr">
        <is>
          <t>Megametales</t>
        </is>
      </c>
      <c r="J19" s="22" t="n">
        <v>158.05</v>
      </c>
      <c r="K19" s="18" t="inlineStr">
        <is>
          <t>Kywi / Megakywi</t>
        </is>
      </c>
      <c r="L19" s="8">
        <f>F19*G19</f>
        <v/>
      </c>
      <c r="M19" s="145" t="inlineStr">
        <is>
          <t>A-B20-ALU-BIS-PIV</t>
        </is>
      </c>
      <c r="N19" s="18" t="inlineStr">
        <is>
          <t>Arquitectura</t>
        </is>
      </c>
      <c r="O19" s="18" t="inlineStr">
        <is>
          <t>Estimado DION · criterio de mercado Guayaquil 2026 (no verificado en tienda)</t>
        </is>
      </c>
      <c r="P19" s="18" t="inlineStr">
        <is>
          <t>oct-2026 (est.)</t>
        </is>
      </c>
      <c r="Q19" s="18" t="n"/>
    </row>
    <row r="20">
      <c r="A20" s="194" t="n">
        <v>12</v>
      </c>
      <c r="B20" s="195" t="inlineStr">
        <is>
          <t xml:space="preserve">        Jaladera Acero Inox 60 cm (Par)</t>
        </is>
      </c>
      <c r="C20" s="196" t="inlineStr">
        <is>
          <t>Residencial / Comercial</t>
        </is>
      </c>
      <c r="D20" s="194" t="inlineStr">
        <is>
          <t>Jaladeras</t>
        </is>
      </c>
      <c r="E20" s="194" t="inlineStr">
        <is>
          <t>Par</t>
        </is>
      </c>
      <c r="F20" s="197" t="n">
        <v>2</v>
      </c>
      <c r="G20" s="198" t="n">
        <v>38</v>
      </c>
      <c r="H20" s="198" t="n">
        <v>39.52</v>
      </c>
      <c r="I20" s="194" t="inlineStr">
        <is>
          <t>Megametales</t>
        </is>
      </c>
      <c r="J20" s="198" t="n">
        <v>42.18</v>
      </c>
      <c r="K20" s="194" t="inlineStr">
        <is>
          <t>Kywi / Megakywi</t>
        </is>
      </c>
      <c r="L20" s="199">
        <f>F20*G20</f>
        <v/>
      </c>
      <c r="M20" s="200" t="inlineStr">
        <is>
          <t>A-B20-ALU-JAL-TIR</t>
        </is>
      </c>
      <c r="N20" s="194" t="inlineStr">
        <is>
          <t>Arquitectura</t>
        </is>
      </c>
      <c r="O20" s="194" t="inlineStr">
        <is>
          <t>Estimado DION · criterio de mercado Guayaquil 2026 (no verificado en tienda)</t>
        </is>
      </c>
      <c r="P20" s="194" t="inlineStr">
        <is>
          <t>oct-2026 (est.)</t>
        </is>
      </c>
      <c r="Q20" s="194" t="n"/>
    </row>
    <row r="21">
      <c r="A21" s="191" t="inlineStr">
        <is>
          <t>TUBERÍAS</t>
        </is>
      </c>
      <c r="B21" s="143" t="n"/>
      <c r="C21" s="143" t="n"/>
      <c r="D21" s="143" t="n"/>
      <c r="E21" s="143" t="n"/>
      <c r="F21" s="143" t="n"/>
      <c r="G21" s="143" t="n"/>
      <c r="H21" s="143" t="n"/>
      <c r="I21" s="143" t="n"/>
      <c r="J21" s="143" t="n"/>
      <c r="K21" s="143" t="n"/>
      <c r="L21" s="143" t="n"/>
      <c r="M21" s="143" t="n"/>
      <c r="N21" s="143" t="n"/>
      <c r="O21" s="143" t="n"/>
      <c r="P21" s="143" t="n"/>
      <c r="Q21" s="144" t="n"/>
    </row>
    <row r="22">
      <c r="A22" s="192" t="inlineStr">
        <is>
          <t xml:space="preserve">  ► CATEGORÍA: PERFILERÍA DE ALUMINIO</t>
        </is>
      </c>
      <c r="B22" s="143" t="n"/>
      <c r="C22" s="143" t="n"/>
      <c r="D22" s="143" t="n"/>
      <c r="E22" s="143" t="n"/>
      <c r="F22" s="143" t="n"/>
      <c r="G22" s="143" t="n"/>
      <c r="H22" s="143" t="n"/>
      <c r="I22" s="143" t="n"/>
      <c r="J22" s="143" t="n"/>
      <c r="K22" s="143" t="n"/>
      <c r="L22" s="143" t="n"/>
      <c r="M22" s="143" t="n"/>
      <c r="N22" s="143" t="n"/>
      <c r="O22" s="143" t="n"/>
      <c r="P22" s="143" t="n"/>
      <c r="Q22" s="144" t="n"/>
    </row>
    <row r="23">
      <c r="A23" s="193" t="inlineStr">
        <is>
          <t xml:space="preserve">      • Subcategoría Especificada: Perfiles por Serie (Tira 6.40 m)</t>
        </is>
      </c>
      <c r="B23" s="143" t="n"/>
      <c r="C23" s="143" t="n"/>
      <c r="D23" s="143" t="n"/>
      <c r="E23" s="143" t="n"/>
      <c r="F23" s="143" t="n"/>
      <c r="G23" s="143" t="n"/>
      <c r="H23" s="143" t="n"/>
      <c r="I23" s="143" t="n"/>
      <c r="J23" s="143" t="n"/>
      <c r="K23" s="143" t="n"/>
      <c r="L23" s="143" t="n"/>
      <c r="M23" s="143" t="n"/>
      <c r="N23" s="143" t="n"/>
      <c r="O23" s="143" t="n"/>
      <c r="P23" s="143" t="n"/>
      <c r="Q23" s="144" t="n"/>
    </row>
    <row r="24">
      <c r="A24" s="18" t="n">
        <v>13</v>
      </c>
      <c r="B24" s="19" t="inlineStr">
        <is>
          <t xml:space="preserve">        Perfil Aluminio Serie 20 Corrediza Liviana Natural (6.4 m)</t>
        </is>
      </c>
      <c r="C24" s="20" t="inlineStr">
        <is>
          <t>Residencial / Comercial</t>
        </is>
      </c>
      <c r="D24" s="18" t="inlineStr">
        <is>
          <t>Perfiles Corrediza</t>
        </is>
      </c>
      <c r="E24" s="18" t="inlineStr">
        <is>
          <t>U</t>
        </is>
      </c>
      <c r="F24" s="21" t="n">
        <v>10</v>
      </c>
      <c r="G24" s="22" t="n">
        <v>14</v>
      </c>
      <c r="H24" s="22" t="n">
        <v>14.56</v>
      </c>
      <c r="I24" s="18" t="inlineStr">
        <is>
          <t>Megametales</t>
        </is>
      </c>
      <c r="J24" s="22" t="n">
        <v>15.4</v>
      </c>
      <c r="K24" s="18" t="inlineStr">
        <is>
          <t>Kywi / Megakywi</t>
        </is>
      </c>
      <c r="L24" s="8">
        <f>F24*G24</f>
        <v/>
      </c>
      <c r="M24" s="145" t="inlineStr">
        <is>
          <t>A-B20-ALU-PER-S20</t>
        </is>
      </c>
      <c r="N24" s="18" t="inlineStr">
        <is>
          <t>Arquitectura</t>
        </is>
      </c>
      <c r="O24" s="18" t="inlineStr">
        <is>
          <t>Estimado DION · criterio de mercado Guayaquil 2026 (no verificado en tienda)</t>
        </is>
      </c>
      <c r="P24" s="18" t="inlineStr">
        <is>
          <t>oct-2026 (est.)</t>
        </is>
      </c>
      <c r="Q24" s="18" t="n">
        <v>5</v>
      </c>
    </row>
    <row r="25">
      <c r="A25" s="194" t="n">
        <v>14</v>
      </c>
      <c r="B25" s="195" t="inlineStr">
        <is>
          <t xml:space="preserve">        Perfil Aluminio Serie 25 Corrediza Natural (6.4 m)</t>
        </is>
      </c>
      <c r="C25" s="196" t="inlineStr">
        <is>
          <t>Residencial / Comercial</t>
        </is>
      </c>
      <c r="D25" s="194" t="inlineStr">
        <is>
          <t>Perfiles Corrediza</t>
        </is>
      </c>
      <c r="E25" s="194" t="inlineStr">
        <is>
          <t>U</t>
        </is>
      </c>
      <c r="F25" s="197" t="n">
        <v>10</v>
      </c>
      <c r="G25" s="198" t="n">
        <v>18</v>
      </c>
      <c r="H25" s="198" t="n">
        <v>18.9</v>
      </c>
      <c r="I25" s="194" t="inlineStr">
        <is>
          <t>Megametales</t>
        </is>
      </c>
      <c r="J25" s="198" t="n">
        <v>19.26</v>
      </c>
      <c r="K25" s="194" t="inlineStr">
        <is>
          <t>Kywi / Megakywi</t>
        </is>
      </c>
      <c r="L25" s="199">
        <f>F25*G25</f>
        <v/>
      </c>
      <c r="M25" s="200" t="inlineStr">
        <is>
          <t>A-B20-ALU-PER-S25</t>
        </is>
      </c>
      <c r="N25" s="194" t="inlineStr">
        <is>
          <t>Arquitectura</t>
        </is>
      </c>
      <c r="O25" s="194" t="inlineStr">
        <is>
          <t>Estimado DION · criterio de mercado Guayaquil 2026 (no verificado en tienda)</t>
        </is>
      </c>
      <c r="P25" s="194" t="inlineStr">
        <is>
          <t>oct-2026 (est.)</t>
        </is>
      </c>
      <c r="Q25" s="194" t="n">
        <v>5</v>
      </c>
    </row>
    <row r="26">
      <c r="A26" s="18" t="n">
        <v>15</v>
      </c>
      <c r="B26" s="19" t="inlineStr">
        <is>
          <t xml:space="preserve">        Perfil Aluminio Serie 80 Pesada (6.4 m)</t>
        </is>
      </c>
      <c r="C26" s="20" t="inlineStr">
        <is>
          <t>Residencial / Comercial</t>
        </is>
      </c>
      <c r="D26" s="18" t="inlineStr">
        <is>
          <t>Perfiles Corrediza</t>
        </is>
      </c>
      <c r="E26" s="18" t="inlineStr">
        <is>
          <t>U</t>
        </is>
      </c>
      <c r="F26" s="21" t="n">
        <v>10</v>
      </c>
      <c r="G26" s="22" t="n">
        <v>29</v>
      </c>
      <c r="H26" s="22" t="n">
        <v>29.87</v>
      </c>
      <c r="I26" s="18" t="inlineStr">
        <is>
          <t>Megametales</t>
        </is>
      </c>
      <c r="J26" s="22" t="n">
        <v>32.19</v>
      </c>
      <c r="K26" s="18" t="inlineStr">
        <is>
          <t>Kywi / Megakywi</t>
        </is>
      </c>
      <c r="L26" s="8">
        <f>F26*G26</f>
        <v/>
      </c>
      <c r="M26" s="145" t="inlineStr">
        <is>
          <t>A-B20-ALU-PER-S80</t>
        </is>
      </c>
      <c r="N26" s="18" t="inlineStr">
        <is>
          <t>Arquitectura</t>
        </is>
      </c>
      <c r="O26" s="18" t="inlineStr">
        <is>
          <t>Estimado DION · criterio de mercado Guayaquil 2026 (no verificado en tienda)</t>
        </is>
      </c>
      <c r="P26" s="18" t="inlineStr">
        <is>
          <t>oct-2026 (est.)</t>
        </is>
      </c>
      <c r="Q26" s="18" t="n">
        <v>5</v>
      </c>
    </row>
    <row r="27">
      <c r="A27" s="194" t="n">
        <v>16</v>
      </c>
      <c r="B27" s="195" t="inlineStr">
        <is>
          <t xml:space="preserve">        Perfil Proyectable Serie 40 (6.4 m)</t>
        </is>
      </c>
      <c r="C27" s="196" t="inlineStr">
        <is>
          <t>Residencial / Comercial</t>
        </is>
      </c>
      <c r="D27" s="194" t="inlineStr">
        <is>
          <t>Perfiles Proyectable</t>
        </is>
      </c>
      <c r="E27" s="194" t="inlineStr">
        <is>
          <t>U</t>
        </is>
      </c>
      <c r="F27" s="197" t="n">
        <v>10</v>
      </c>
      <c r="G27" s="198" t="n">
        <v>22</v>
      </c>
      <c r="H27" s="198" t="n">
        <v>23.1</v>
      </c>
      <c r="I27" s="194" t="inlineStr">
        <is>
          <t>Megametales</t>
        </is>
      </c>
      <c r="J27" s="198" t="n">
        <v>23.98</v>
      </c>
      <c r="K27" s="194" t="inlineStr">
        <is>
          <t>Kywi / Megakywi</t>
        </is>
      </c>
      <c r="L27" s="199">
        <f>F27*G27</f>
        <v/>
      </c>
      <c r="M27" s="200" t="inlineStr">
        <is>
          <t>A-B20-ALU-PER-PRY</t>
        </is>
      </c>
      <c r="N27" s="194" t="inlineStr">
        <is>
          <t>Arquitectura</t>
        </is>
      </c>
      <c r="O27" s="194" t="inlineStr">
        <is>
          <t>Estimado DION · criterio de mercado Guayaquil 2026 (no verificado en tienda)</t>
        </is>
      </c>
      <c r="P27" s="194" t="inlineStr">
        <is>
          <t>oct-2026 (est.)</t>
        </is>
      </c>
      <c r="Q27" s="194" t="n">
        <v>5</v>
      </c>
    </row>
    <row r="28">
      <c r="A28" s="18" t="n">
        <v>17</v>
      </c>
      <c r="B28" s="19" t="inlineStr">
        <is>
          <t xml:space="preserve">        Tubo de Aluminio 1¾x4" (6.4 m)</t>
        </is>
      </c>
      <c r="C28" s="20" t="inlineStr">
        <is>
          <t>Residencial / Comercial</t>
        </is>
      </c>
      <c r="D28" s="18" t="inlineStr">
        <is>
          <t>Tubos Aluminio</t>
        </is>
      </c>
      <c r="E28" s="18" t="inlineStr">
        <is>
          <t>U</t>
        </is>
      </c>
      <c r="F28" s="21" t="n">
        <v>10</v>
      </c>
      <c r="G28" s="22" t="n">
        <v>38</v>
      </c>
      <c r="H28" s="22" t="n">
        <v>39.52</v>
      </c>
      <c r="I28" s="18" t="inlineStr">
        <is>
          <t>Megametales</t>
        </is>
      </c>
      <c r="J28" s="22" t="n">
        <v>41.42</v>
      </c>
      <c r="K28" s="18" t="inlineStr">
        <is>
          <t>Kywi / Megakywi</t>
        </is>
      </c>
      <c r="L28" s="8">
        <f>F28*G28</f>
        <v/>
      </c>
      <c r="M28" s="145" t="inlineStr">
        <is>
          <t>A-B20-ALU-PER-TUB</t>
        </is>
      </c>
      <c r="N28" s="18" t="inlineStr">
        <is>
          <t>Arquitectura</t>
        </is>
      </c>
      <c r="O28" s="18" t="inlineStr">
        <is>
          <t>Estimado DION · criterio de mercado Guayaquil 2026 (no verificado en tienda)</t>
        </is>
      </c>
      <c r="P28" s="18" t="inlineStr">
        <is>
          <t>oct-2026 (est.)</t>
        </is>
      </c>
      <c r="Q28" s="18" t="n">
        <v>5</v>
      </c>
    </row>
    <row r="29">
      <c r="A29" s="194" t="n">
        <v>18</v>
      </c>
      <c r="B29" s="195" t="inlineStr">
        <is>
          <t xml:space="preserve">        Ángulo de Aluminio 1x1" (6.4 m)</t>
        </is>
      </c>
      <c r="C29" s="196" t="inlineStr">
        <is>
          <t>Residencial / Comercial</t>
        </is>
      </c>
      <c r="D29" s="194" t="inlineStr">
        <is>
          <t>Ángulos</t>
        </is>
      </c>
      <c r="E29" s="194" t="inlineStr">
        <is>
          <t>U</t>
        </is>
      </c>
      <c r="F29" s="197" t="n">
        <v>10</v>
      </c>
      <c r="G29" s="198" t="n">
        <v>9.5</v>
      </c>
      <c r="H29" s="198" t="n">
        <v>9.789999999999999</v>
      </c>
      <c r="I29" s="194" t="inlineStr">
        <is>
          <t>Megametales</t>
        </is>
      </c>
      <c r="J29" s="198" t="n">
        <v>10.45</v>
      </c>
      <c r="K29" s="194" t="inlineStr">
        <is>
          <t>Kywi / Megakywi</t>
        </is>
      </c>
      <c r="L29" s="199">
        <f>F29*G29</f>
        <v/>
      </c>
      <c r="M29" s="200" t="inlineStr">
        <is>
          <t>A-B20-ALU-PER-ANG</t>
        </is>
      </c>
      <c r="N29" s="194" t="inlineStr">
        <is>
          <t>Arquitectura</t>
        </is>
      </c>
      <c r="O29" s="194" t="inlineStr">
        <is>
          <t>Estimado DION · criterio de mercado Guayaquil 2026 (no verificado en tienda)</t>
        </is>
      </c>
      <c r="P29" s="194" t="inlineStr">
        <is>
          <t>oct-2026 (est.)</t>
        </is>
      </c>
      <c r="Q29" s="194" t="n">
        <v>5</v>
      </c>
    </row>
    <row r="30">
      <c r="A30" s="18" t="n">
        <v>19</v>
      </c>
      <c r="B30" s="19" t="inlineStr">
        <is>
          <t xml:space="preserve">        Recargo Anodizado Negro / Champagne (por tira)</t>
        </is>
      </c>
      <c r="C30" s="20" t="inlineStr">
        <is>
          <t>Residencial / Comercial</t>
        </is>
      </c>
      <c r="D30" s="18" t="inlineStr">
        <is>
          <t>Acabados</t>
        </is>
      </c>
      <c r="E30" s="18" t="inlineStr">
        <is>
          <t>U</t>
        </is>
      </c>
      <c r="F30" s="21" t="n">
        <v>10</v>
      </c>
      <c r="G30" s="22" t="n">
        <v>6</v>
      </c>
      <c r="H30" s="22" t="n">
        <v>6.3</v>
      </c>
      <c r="I30" s="18" t="inlineStr">
        <is>
          <t>Megametales</t>
        </is>
      </c>
      <c r="J30" s="22" t="n">
        <v>6.54</v>
      </c>
      <c r="K30" s="18" t="inlineStr">
        <is>
          <t>Kywi / Megakywi</t>
        </is>
      </c>
      <c r="L30" s="8">
        <f>F30*G30</f>
        <v/>
      </c>
      <c r="M30" s="145" t="inlineStr">
        <is>
          <t>A-B20-ALU-PER-NEG</t>
        </is>
      </c>
      <c r="N30" s="18" t="inlineStr">
        <is>
          <t>Arquitectura</t>
        </is>
      </c>
      <c r="O30" s="18" t="inlineStr">
        <is>
          <t>Estimado DION · criterio de mercado Guayaquil 2026 (no verificado en tienda)</t>
        </is>
      </c>
      <c r="P30" s="18" t="inlineStr">
        <is>
          <t>oct-2026 (est.)</t>
        </is>
      </c>
      <c r="Q30" s="18" t="n">
        <v>5</v>
      </c>
    </row>
    <row r="31">
      <c r="A31" s="194" t="n">
        <v>20</v>
      </c>
      <c r="B31" s="195" t="inlineStr">
        <is>
          <t xml:space="preserve">        Recargo Acabado Madera Sublimado (por tira)</t>
        </is>
      </c>
      <c r="C31" s="196" t="inlineStr">
        <is>
          <t>Residencial / Comercial</t>
        </is>
      </c>
      <c r="D31" s="194" t="inlineStr">
        <is>
          <t>Acabados</t>
        </is>
      </c>
      <c r="E31" s="194" t="inlineStr">
        <is>
          <t>U</t>
        </is>
      </c>
      <c r="F31" s="197" t="n">
        <v>10</v>
      </c>
      <c r="G31" s="198" t="n">
        <v>12</v>
      </c>
      <c r="H31" s="198" t="n">
        <v>12.48</v>
      </c>
      <c r="I31" s="194" t="inlineStr">
        <is>
          <t>Megametales</t>
        </is>
      </c>
      <c r="J31" s="198" t="n">
        <v>13.08</v>
      </c>
      <c r="K31" s="194" t="inlineStr">
        <is>
          <t>Kywi / Megakywi</t>
        </is>
      </c>
      <c r="L31" s="199">
        <f>F31*G31</f>
        <v/>
      </c>
      <c r="M31" s="200" t="inlineStr">
        <is>
          <t>A-B20-ALU-PER-MAD</t>
        </is>
      </c>
      <c r="N31" s="194" t="inlineStr">
        <is>
          <t>Arquitectura</t>
        </is>
      </c>
      <c r="O31" s="194" t="inlineStr">
        <is>
          <t>Estimado DION · criterio de mercado Guayaquil 2026 (no verificado en tienda)</t>
        </is>
      </c>
      <c r="P31" s="194" t="inlineStr">
        <is>
          <t>oct-2026 (est.)</t>
        </is>
      </c>
      <c r="Q31" s="194" t="n">
        <v>5</v>
      </c>
    </row>
    <row r="32">
      <c r="A32" s="191" t="inlineStr">
        <is>
          <t>EQUIPOS</t>
        </is>
      </c>
      <c r="B32" s="143" t="n"/>
      <c r="C32" s="143" t="n"/>
      <c r="D32" s="143" t="n"/>
      <c r="E32" s="143" t="n"/>
      <c r="F32" s="143" t="n"/>
      <c r="G32" s="143" t="n"/>
      <c r="H32" s="143" t="n"/>
      <c r="I32" s="143" t="n"/>
      <c r="J32" s="143" t="n"/>
      <c r="K32" s="143" t="n"/>
      <c r="L32" s="143" t="n"/>
      <c r="M32" s="143" t="n"/>
      <c r="N32" s="143" t="n"/>
      <c r="O32" s="143" t="n"/>
      <c r="P32" s="143" t="n"/>
      <c r="Q32" s="144" t="n"/>
    </row>
    <row r="33">
      <c r="A33" s="192" t="inlineStr">
        <is>
          <t xml:space="preserve">  ► CATEGORÍA: VENTANAS DE ALUMINIO (INSTALADAS)</t>
        </is>
      </c>
      <c r="B33" s="143" t="n"/>
      <c r="C33" s="143" t="n"/>
      <c r="D33" s="143" t="n"/>
      <c r="E33" s="143" t="n"/>
      <c r="F33" s="143" t="n"/>
      <c r="G33" s="143" t="n"/>
      <c r="H33" s="143" t="n"/>
      <c r="I33" s="143" t="n"/>
      <c r="J33" s="143" t="n"/>
      <c r="K33" s="143" t="n"/>
      <c r="L33" s="143" t="n"/>
      <c r="M33" s="143" t="n"/>
      <c r="N33" s="143" t="n"/>
      <c r="O33" s="143" t="n"/>
      <c r="P33" s="143" t="n"/>
      <c r="Q33" s="144" t="n"/>
    </row>
    <row r="34">
      <c r="A34" s="193" t="inlineStr">
        <is>
          <t xml:space="preserve">      • Subcategoría Especificada: Por Tipo y Tamaño Comercial (Incluye Vidrio 6 mm)</t>
        </is>
      </c>
      <c r="B34" s="143" t="n"/>
      <c r="C34" s="143" t="n"/>
      <c r="D34" s="143" t="n"/>
      <c r="E34" s="143" t="n"/>
      <c r="F34" s="143" t="n"/>
      <c r="G34" s="143" t="n"/>
      <c r="H34" s="143" t="n"/>
      <c r="I34" s="143" t="n"/>
      <c r="J34" s="143" t="n"/>
      <c r="K34" s="143" t="n"/>
      <c r="L34" s="143" t="n"/>
      <c r="M34" s="143" t="n"/>
      <c r="N34" s="143" t="n"/>
      <c r="O34" s="143" t="n"/>
      <c r="P34" s="143" t="n"/>
      <c r="Q34" s="144" t="n"/>
    </row>
    <row r="35">
      <c r="A35" s="18" t="n">
        <v>21</v>
      </c>
      <c r="B35" s="19" t="inlineStr">
        <is>
          <t xml:space="preserve">        Ventana Corrediza Aluminio 100x100 cm Vidrio Claro 6 mm</t>
        </is>
      </c>
      <c r="C35" s="20" t="inlineStr">
        <is>
          <t>Residencial / Comercial</t>
        </is>
      </c>
      <c r="D35" s="18" t="inlineStr">
        <is>
          <t>Ventanas Corredizas</t>
        </is>
      </c>
      <c r="E35" s="18" t="inlineStr">
        <is>
          <t>U</t>
        </is>
      </c>
      <c r="F35" s="21" t="n">
        <v>2</v>
      </c>
      <c r="G35" s="22" t="n">
        <v>78</v>
      </c>
      <c r="H35" s="22" t="n">
        <v>80.34</v>
      </c>
      <c r="I35" s="18" t="inlineStr">
        <is>
          <t>Megametales</t>
        </is>
      </c>
      <c r="J35" s="22" t="n">
        <v>83.45999999999999</v>
      </c>
      <c r="K35" s="18" t="inlineStr">
        <is>
          <t>Kywi / Megakywi</t>
        </is>
      </c>
      <c r="L35" s="8">
        <f>F35*G35</f>
        <v/>
      </c>
      <c r="M35" s="145" t="inlineStr">
        <is>
          <t>A-B20-VEN-COR-ALM-100X100</t>
        </is>
      </c>
      <c r="N35" s="18" t="inlineStr">
        <is>
          <t>Arquitectura</t>
        </is>
      </c>
      <c r="O35" s="18" t="inlineStr">
        <is>
          <t>Estimado DION · criterio de mercado Guayaquil 2026 (no verificado en tienda)</t>
        </is>
      </c>
      <c r="P35" s="18" t="inlineStr">
        <is>
          <t>oct-2026 (est.)</t>
        </is>
      </c>
      <c r="Q35" s="18" t="n"/>
    </row>
    <row r="36">
      <c r="A36" s="194" t="n">
        <v>22</v>
      </c>
      <c r="B36" s="195" t="inlineStr">
        <is>
          <t xml:space="preserve">        Ventana Corrediza Aluminio 120x100 cm Vidrio Claro 6 mm</t>
        </is>
      </c>
      <c r="C36" s="196" t="inlineStr">
        <is>
          <t>Residencial / Comercial</t>
        </is>
      </c>
      <c r="D36" s="194" t="inlineStr">
        <is>
          <t>Ventanas Corredizas</t>
        </is>
      </c>
      <c r="E36" s="194" t="inlineStr">
        <is>
          <t>U</t>
        </is>
      </c>
      <c r="F36" s="197" t="n">
        <v>2</v>
      </c>
      <c r="G36" s="198" t="n">
        <v>93.59999999999999</v>
      </c>
      <c r="H36" s="198" t="n">
        <v>96.41</v>
      </c>
      <c r="I36" s="194" t="inlineStr">
        <is>
          <t>Megametales</t>
        </is>
      </c>
      <c r="J36" s="198" t="n">
        <v>102.96</v>
      </c>
      <c r="K36" s="194" t="inlineStr">
        <is>
          <t>Kywi / Megakywi</t>
        </is>
      </c>
      <c r="L36" s="199">
        <f>F36*G36</f>
        <v/>
      </c>
      <c r="M36" s="200" t="inlineStr">
        <is>
          <t>A-B20-VEN-COR-ALM-120X100</t>
        </is>
      </c>
      <c r="N36" s="194" t="inlineStr">
        <is>
          <t>Arquitectura</t>
        </is>
      </c>
      <c r="O36" s="194" t="inlineStr">
        <is>
          <t>Estimado DION · criterio de mercado Guayaquil 2026 (no verificado en tienda)</t>
        </is>
      </c>
      <c r="P36" s="194" t="inlineStr">
        <is>
          <t>oct-2026 (est.)</t>
        </is>
      </c>
      <c r="Q36" s="194" t="n"/>
    </row>
    <row r="37">
      <c r="A37" s="18" t="n">
        <v>23</v>
      </c>
      <c r="B37" s="19" t="inlineStr">
        <is>
          <t xml:space="preserve">        Ventana Corrediza Aluminio 120x120 cm Vidrio Claro 6 mm</t>
        </is>
      </c>
      <c r="C37" s="20" t="inlineStr">
        <is>
          <t>Residencial / Comercial</t>
        </is>
      </c>
      <c r="D37" s="18" t="inlineStr">
        <is>
          <t>Ventanas Corredizas</t>
        </is>
      </c>
      <c r="E37" s="18" t="inlineStr">
        <is>
          <t>U</t>
        </is>
      </c>
      <c r="F37" s="21" t="n">
        <v>2</v>
      </c>
      <c r="G37" s="22" t="n">
        <v>112.32</v>
      </c>
      <c r="H37" s="22" t="n">
        <v>114.57</v>
      </c>
      <c r="I37" s="18" t="inlineStr">
        <is>
          <t>Megametales</t>
        </is>
      </c>
      <c r="J37" s="22" t="n">
        <v>124.68</v>
      </c>
      <c r="K37" s="18" t="inlineStr">
        <is>
          <t>Kywi / Megakywi</t>
        </is>
      </c>
      <c r="L37" s="8">
        <f>F37*G37</f>
        <v/>
      </c>
      <c r="M37" s="145" t="inlineStr">
        <is>
          <t>A-B20-VEN-COR-ALM-120X120</t>
        </is>
      </c>
      <c r="N37" s="18" t="inlineStr">
        <is>
          <t>Arquitectura</t>
        </is>
      </c>
      <c r="O37" s="18" t="inlineStr">
        <is>
          <t>Estimado DION · criterio de mercado Guayaquil 2026 (no verificado en tienda)</t>
        </is>
      </c>
      <c r="P37" s="18" t="inlineStr">
        <is>
          <t>oct-2026 (est.)</t>
        </is>
      </c>
      <c r="Q37" s="18" t="n"/>
    </row>
    <row r="38">
      <c r="A38" s="194" t="n">
        <v>24</v>
      </c>
      <c r="B38" s="195" t="inlineStr">
        <is>
          <t xml:space="preserve">        Ventana Corrediza Aluminio 150x120 cm Vidrio Claro 6 mm</t>
        </is>
      </c>
      <c r="C38" s="196" t="inlineStr">
        <is>
          <t>Residencial / Comercial</t>
        </is>
      </c>
      <c r="D38" s="194" t="inlineStr">
        <is>
          <t>Ventanas Corredizas</t>
        </is>
      </c>
      <c r="E38" s="194" t="inlineStr">
        <is>
          <t>U</t>
        </is>
      </c>
      <c r="F38" s="197" t="n">
        <v>2</v>
      </c>
      <c r="G38" s="198" t="n">
        <v>140.4</v>
      </c>
      <c r="H38" s="198" t="n">
        <v>146.02</v>
      </c>
      <c r="I38" s="194" t="inlineStr">
        <is>
          <t>Megametales</t>
        </is>
      </c>
      <c r="J38" s="198" t="n">
        <v>154.44</v>
      </c>
      <c r="K38" s="194" t="inlineStr">
        <is>
          <t>Kywi / Megakywi</t>
        </is>
      </c>
      <c r="L38" s="199">
        <f>F38*G38</f>
        <v/>
      </c>
      <c r="M38" s="200" t="inlineStr">
        <is>
          <t>A-B20-VEN-COR-ALM-150X120</t>
        </is>
      </c>
      <c r="N38" s="194" t="inlineStr">
        <is>
          <t>Arquitectura</t>
        </is>
      </c>
      <c r="O38" s="194" t="inlineStr">
        <is>
          <t>Estimado DION · criterio de mercado Guayaquil 2026 (no verificado en tienda)</t>
        </is>
      </c>
      <c r="P38" s="194" t="inlineStr">
        <is>
          <t>oct-2026 (est.)</t>
        </is>
      </c>
      <c r="Q38" s="194" t="n"/>
    </row>
    <row r="39">
      <c r="A39" s="18" t="n">
        <v>25</v>
      </c>
      <c r="B39" s="19" t="inlineStr">
        <is>
          <t xml:space="preserve">        Ventana Corrediza Aluminio 150x150 cm Vidrio Claro 6 mm</t>
        </is>
      </c>
      <c r="C39" s="20" t="inlineStr">
        <is>
          <t>Residencial / Comercial</t>
        </is>
      </c>
      <c r="D39" s="18" t="inlineStr">
        <is>
          <t>Ventanas Corredizas</t>
        </is>
      </c>
      <c r="E39" s="18" t="inlineStr">
        <is>
          <t>U</t>
        </is>
      </c>
      <c r="F39" s="21" t="n">
        <v>2</v>
      </c>
      <c r="G39" s="22" t="n">
        <v>175.5</v>
      </c>
      <c r="H39" s="22" t="n">
        <v>179.01</v>
      </c>
      <c r="I39" s="18" t="inlineStr">
        <is>
          <t>Megametales</t>
        </is>
      </c>
      <c r="J39" s="22" t="n">
        <v>187.79</v>
      </c>
      <c r="K39" s="18" t="inlineStr">
        <is>
          <t>Kywi / Megakywi</t>
        </is>
      </c>
      <c r="L39" s="8">
        <f>F39*G39</f>
        <v/>
      </c>
      <c r="M39" s="145" t="inlineStr">
        <is>
          <t>A-B20-VEN-COR-ALM-150X150</t>
        </is>
      </c>
      <c r="N39" s="18" t="inlineStr">
        <is>
          <t>Arquitectura</t>
        </is>
      </c>
      <c r="O39" s="18" t="inlineStr">
        <is>
          <t>Estimado DION · criterio de mercado Guayaquil 2026 (no verificado en tienda)</t>
        </is>
      </c>
      <c r="P39" s="18" t="inlineStr">
        <is>
          <t>oct-2026 (est.)</t>
        </is>
      </c>
      <c r="Q39" s="18" t="n"/>
    </row>
    <row r="40">
      <c r="A40" s="194" t="n">
        <v>26</v>
      </c>
      <c r="B40" s="195" t="inlineStr">
        <is>
          <t xml:space="preserve">        Ventana Corrediza Aluminio 180x150 cm Vidrio Claro 6 mm</t>
        </is>
      </c>
      <c r="C40" s="196" t="inlineStr">
        <is>
          <t>Residencial / Comercial</t>
        </is>
      </c>
      <c r="D40" s="194" t="inlineStr">
        <is>
          <t>Ventanas Corredizas</t>
        </is>
      </c>
      <c r="E40" s="194" t="inlineStr">
        <is>
          <t>U</t>
        </is>
      </c>
      <c r="F40" s="197" t="n">
        <v>2</v>
      </c>
      <c r="G40" s="198" t="n">
        <v>210.6</v>
      </c>
      <c r="H40" s="198" t="n">
        <v>219.02</v>
      </c>
      <c r="I40" s="194" t="inlineStr">
        <is>
          <t>Megametales</t>
        </is>
      </c>
      <c r="J40" s="198" t="n">
        <v>227.45</v>
      </c>
      <c r="K40" s="194" t="inlineStr">
        <is>
          <t>Kywi / Megakywi</t>
        </is>
      </c>
      <c r="L40" s="199">
        <f>F40*G40</f>
        <v/>
      </c>
      <c r="M40" s="200" t="inlineStr">
        <is>
          <t>A-B20-VEN-COR-ALM-180X150</t>
        </is>
      </c>
      <c r="N40" s="194" t="inlineStr">
        <is>
          <t>Arquitectura</t>
        </is>
      </c>
      <c r="O40" s="194" t="inlineStr">
        <is>
          <t>Estimado DION · criterio de mercado Guayaquil 2026 (no verificado en tienda)</t>
        </is>
      </c>
      <c r="P40" s="194" t="inlineStr">
        <is>
          <t>oct-2026 (est.)</t>
        </is>
      </c>
      <c r="Q40" s="194" t="n"/>
    </row>
    <row r="41">
      <c r="A41" s="18" t="n">
        <v>27</v>
      </c>
      <c r="B41" s="19" t="inlineStr">
        <is>
          <t xml:space="preserve">        Ventana Corrediza Aluminio 200x150 cm Vidrio Claro 6 mm</t>
        </is>
      </c>
      <c r="C41" s="20" t="inlineStr">
        <is>
          <t>Residencial / Comercial</t>
        </is>
      </c>
      <c r="D41" s="18" t="inlineStr">
        <is>
          <t>Ventanas Corredizas</t>
        </is>
      </c>
      <c r="E41" s="18" t="inlineStr">
        <is>
          <t>U</t>
        </is>
      </c>
      <c r="F41" s="21" t="n">
        <v>2</v>
      </c>
      <c r="G41" s="22" t="n">
        <v>234</v>
      </c>
      <c r="H41" s="22" t="n">
        <v>238.68</v>
      </c>
      <c r="I41" s="18" t="inlineStr">
        <is>
          <t>Megametales</t>
        </is>
      </c>
      <c r="J41" s="22" t="n">
        <v>250.38</v>
      </c>
      <c r="K41" s="18" t="inlineStr">
        <is>
          <t>Kywi / Megakywi</t>
        </is>
      </c>
      <c r="L41" s="8">
        <f>F41*G41</f>
        <v/>
      </c>
      <c r="M41" s="145" t="inlineStr">
        <is>
          <t>A-B20-VEN-COR-ALM-200X150</t>
        </is>
      </c>
      <c r="N41" s="18" t="inlineStr">
        <is>
          <t>Arquitectura</t>
        </is>
      </c>
      <c r="O41" s="18" t="inlineStr">
        <is>
          <t>Estimado DION · criterio de mercado Guayaquil 2026 (no verificado en tienda)</t>
        </is>
      </c>
      <c r="P41" s="18" t="inlineStr">
        <is>
          <t>oct-2026 (est.)</t>
        </is>
      </c>
      <c r="Q41" s="18" t="n"/>
    </row>
    <row r="42">
      <c r="A42" s="194" t="n">
        <v>28</v>
      </c>
      <c r="B42" s="195" t="inlineStr">
        <is>
          <t xml:space="preserve">        Ventana Corrediza Aluminio 240x150 cm Vidrio Claro 6 mm</t>
        </is>
      </c>
      <c r="C42" s="196" t="inlineStr">
        <is>
          <t>Residencial / Comercial</t>
        </is>
      </c>
      <c r="D42" s="194" t="inlineStr">
        <is>
          <t>Ventanas Corredizas</t>
        </is>
      </c>
      <c r="E42" s="194" t="inlineStr">
        <is>
          <t>U</t>
        </is>
      </c>
      <c r="F42" s="197" t="n">
        <v>2</v>
      </c>
      <c r="G42" s="198" t="n">
        <v>280.8</v>
      </c>
      <c r="H42" s="198" t="n">
        <v>286.42</v>
      </c>
      <c r="I42" s="194" t="inlineStr">
        <is>
          <t>Megametales</t>
        </is>
      </c>
      <c r="J42" s="198" t="n">
        <v>306.07</v>
      </c>
      <c r="K42" s="194" t="inlineStr">
        <is>
          <t>Kywi / Megakywi</t>
        </is>
      </c>
      <c r="L42" s="199">
        <f>F42*G42</f>
        <v/>
      </c>
      <c r="M42" s="200" t="inlineStr">
        <is>
          <t>A-B20-VEN-COR-ALM-240X150</t>
        </is>
      </c>
      <c r="N42" s="194" t="inlineStr">
        <is>
          <t>Arquitectura</t>
        </is>
      </c>
      <c r="O42" s="194" t="inlineStr">
        <is>
          <t>Estimado DION · criterio de mercado Guayaquil 2026 (no verificado en tienda)</t>
        </is>
      </c>
      <c r="P42" s="194" t="inlineStr">
        <is>
          <t>oct-2026 (est.)</t>
        </is>
      </c>
      <c r="Q42" s="194" t="n"/>
    </row>
    <row r="43">
      <c r="A43" s="18" t="n">
        <v>29</v>
      </c>
      <c r="B43" s="19" t="inlineStr">
        <is>
          <t xml:space="preserve">        Ventana Corrediza Aluminio 300x150 cm Vidrio Claro 6 mm</t>
        </is>
      </c>
      <c r="C43" s="20" t="inlineStr">
        <is>
          <t>Residencial / Comercial</t>
        </is>
      </c>
      <c r="D43" s="18" t="inlineStr">
        <is>
          <t>Ventanas Corredizas</t>
        </is>
      </c>
      <c r="E43" s="18" t="inlineStr">
        <is>
          <t>U</t>
        </is>
      </c>
      <c r="F43" s="21" t="n">
        <v>2</v>
      </c>
      <c r="G43" s="22" t="n">
        <v>351</v>
      </c>
      <c r="H43" s="22" t="n">
        <v>361.53</v>
      </c>
      <c r="I43" s="18" t="inlineStr">
        <is>
          <t>Megametales</t>
        </is>
      </c>
      <c r="J43" s="22" t="n">
        <v>386.1</v>
      </c>
      <c r="K43" s="18" t="inlineStr">
        <is>
          <t>Kywi / Megakywi</t>
        </is>
      </c>
      <c r="L43" s="8">
        <f>F43*G43</f>
        <v/>
      </c>
      <c r="M43" s="145" t="inlineStr">
        <is>
          <t>A-B20-VEN-COR-ALM-300X150</t>
        </is>
      </c>
      <c r="N43" s="18" t="inlineStr">
        <is>
          <t>Arquitectura</t>
        </is>
      </c>
      <c r="O43" s="18" t="inlineStr">
        <is>
          <t>Estimado DION · criterio de mercado Guayaquil 2026 (no verificado en tienda)</t>
        </is>
      </c>
      <c r="P43" s="18" t="inlineStr">
        <is>
          <t>oct-2026 (est.)</t>
        </is>
      </c>
      <c r="Q43" s="18" t="n"/>
    </row>
    <row r="44">
      <c r="A44" s="194" t="n">
        <v>30</v>
      </c>
      <c r="B44" s="195" t="inlineStr">
        <is>
          <t xml:space="preserve">        Ventana Proyectable Aluminio 60x40 cm</t>
        </is>
      </c>
      <c r="C44" s="196" t="inlineStr">
        <is>
          <t>Residencial / Comercial</t>
        </is>
      </c>
      <c r="D44" s="194" t="inlineStr">
        <is>
          <t>Ventanas Proyectables</t>
        </is>
      </c>
      <c r="E44" s="194" t="inlineStr">
        <is>
          <t>U</t>
        </is>
      </c>
      <c r="F44" s="197" t="n">
        <v>2</v>
      </c>
      <c r="G44" s="198" t="n">
        <v>47.8</v>
      </c>
      <c r="H44" s="198" t="n">
        <v>49.71</v>
      </c>
      <c r="I44" s="194" t="inlineStr">
        <is>
          <t>Megametales</t>
        </is>
      </c>
      <c r="J44" s="198" t="n">
        <v>51.62</v>
      </c>
      <c r="K44" s="194" t="inlineStr">
        <is>
          <t>Kywi / Megakywi</t>
        </is>
      </c>
      <c r="L44" s="199">
        <f>F44*G44</f>
        <v/>
      </c>
      <c r="M44" s="200" t="inlineStr">
        <is>
          <t>A-B20-VEN-PRY-ALM-060X040</t>
        </is>
      </c>
      <c r="N44" s="194" t="inlineStr">
        <is>
          <t>Arquitectura</t>
        </is>
      </c>
      <c r="O44" s="194" t="inlineStr">
        <is>
          <t>Estimado DION · criterio de mercado Guayaquil 2026 (no verificado en tienda)</t>
        </is>
      </c>
      <c r="P44" s="194" t="inlineStr">
        <is>
          <t>oct-2026 (est.)</t>
        </is>
      </c>
      <c r="Q44" s="194" t="n"/>
    </row>
    <row r="45">
      <c r="A45" s="18" t="n">
        <v>31</v>
      </c>
      <c r="B45" s="19" t="inlineStr">
        <is>
          <t xml:space="preserve">        Ventana Proyectable Aluminio 60x60 cm</t>
        </is>
      </c>
      <c r="C45" s="20" t="inlineStr">
        <is>
          <t>Residencial / Comercial</t>
        </is>
      </c>
      <c r="D45" s="18" t="inlineStr">
        <is>
          <t>Ventanas Proyectables</t>
        </is>
      </c>
      <c r="E45" s="18" t="inlineStr">
        <is>
          <t>U</t>
        </is>
      </c>
      <c r="F45" s="21" t="n">
        <v>2</v>
      </c>
      <c r="G45" s="22" t="n">
        <v>59.2</v>
      </c>
      <c r="H45" s="22" t="n">
        <v>60.38</v>
      </c>
      <c r="I45" s="18" t="inlineStr">
        <is>
          <t>Megametales</t>
        </is>
      </c>
      <c r="J45" s="22" t="n">
        <v>64.53</v>
      </c>
      <c r="K45" s="18" t="inlineStr">
        <is>
          <t>Kywi / Megakywi</t>
        </is>
      </c>
      <c r="L45" s="8">
        <f>F45*G45</f>
        <v/>
      </c>
      <c r="M45" s="145" t="inlineStr">
        <is>
          <t>A-B20-VEN-PRY-ALM-060X060</t>
        </is>
      </c>
      <c r="N45" s="18" t="inlineStr">
        <is>
          <t>Arquitectura</t>
        </is>
      </c>
      <c r="O45" s="18" t="inlineStr">
        <is>
          <t>Estimado DION · criterio de mercado Guayaquil 2026 (no verificado en tienda)</t>
        </is>
      </c>
      <c r="P45" s="18" t="inlineStr">
        <is>
          <t>oct-2026 (est.)</t>
        </is>
      </c>
      <c r="Q45" s="18" t="n"/>
    </row>
    <row r="46">
      <c r="A46" s="194" t="n">
        <v>32</v>
      </c>
      <c r="B46" s="195" t="inlineStr">
        <is>
          <t xml:space="preserve">        Ventana Proyectable Aluminio 80x60 cm</t>
        </is>
      </c>
      <c r="C46" s="196" t="inlineStr">
        <is>
          <t>Residencial / Comercial</t>
        </is>
      </c>
      <c r="D46" s="194" t="inlineStr">
        <is>
          <t>Ventanas Proyectables</t>
        </is>
      </c>
      <c r="E46" s="194" t="inlineStr">
        <is>
          <t>U</t>
        </is>
      </c>
      <c r="F46" s="197" t="n">
        <v>2</v>
      </c>
      <c r="G46" s="198" t="n">
        <v>70.59999999999999</v>
      </c>
      <c r="H46" s="198" t="n">
        <v>73.42</v>
      </c>
      <c r="I46" s="194" t="inlineStr">
        <is>
          <t>Megametales</t>
        </is>
      </c>
      <c r="J46" s="198" t="n">
        <v>76.25</v>
      </c>
      <c r="K46" s="194" t="inlineStr">
        <is>
          <t>Kywi / Megakywi</t>
        </is>
      </c>
      <c r="L46" s="199">
        <f>F46*G46</f>
        <v/>
      </c>
      <c r="M46" s="200" t="inlineStr">
        <is>
          <t>A-B20-VEN-PRY-ALM-080X060</t>
        </is>
      </c>
      <c r="N46" s="194" t="inlineStr">
        <is>
          <t>Arquitectura</t>
        </is>
      </c>
      <c r="O46" s="194" t="inlineStr">
        <is>
          <t>Estimado DION · criterio de mercado Guayaquil 2026 (no verificado en tienda)</t>
        </is>
      </c>
      <c r="P46" s="194" t="inlineStr">
        <is>
          <t>oct-2026 (est.)</t>
        </is>
      </c>
      <c r="Q46" s="194" t="n"/>
    </row>
    <row r="47">
      <c r="A47" s="18" t="n">
        <v>33</v>
      </c>
      <c r="B47" s="19" t="inlineStr">
        <is>
          <t xml:space="preserve">        Ventana Proyectable Aluminio 100x60 cm</t>
        </is>
      </c>
      <c r="C47" s="20" t="inlineStr">
        <is>
          <t>Residencial / Comercial</t>
        </is>
      </c>
      <c r="D47" s="18" t="inlineStr">
        <is>
          <t>Ventanas Proyectables</t>
        </is>
      </c>
      <c r="E47" s="18" t="inlineStr">
        <is>
          <t>U</t>
        </is>
      </c>
      <c r="F47" s="21" t="n">
        <v>2</v>
      </c>
      <c r="G47" s="22" t="n">
        <v>82</v>
      </c>
      <c r="H47" s="22" t="n">
        <v>86.09999999999999</v>
      </c>
      <c r="I47" s="18" t="inlineStr">
        <is>
          <t>Megametales</t>
        </is>
      </c>
      <c r="J47" s="22" t="n">
        <v>87.73999999999999</v>
      </c>
      <c r="K47" s="18" t="inlineStr">
        <is>
          <t>Kywi / Megakywi</t>
        </is>
      </c>
      <c r="L47" s="8">
        <f>F47*G47</f>
        <v/>
      </c>
      <c r="M47" s="145" t="inlineStr">
        <is>
          <t>A-B20-VEN-PRY-ALM-100X060</t>
        </is>
      </c>
      <c r="N47" s="18" t="inlineStr">
        <is>
          <t>Arquitectura</t>
        </is>
      </c>
      <c r="O47" s="18" t="inlineStr">
        <is>
          <t>Estimado DION · criterio de mercado Guayaquil 2026 (no verificado en tienda)</t>
        </is>
      </c>
      <c r="P47" s="18" t="inlineStr">
        <is>
          <t>oct-2026 (est.)</t>
        </is>
      </c>
      <c r="Q47" s="18" t="n"/>
    </row>
    <row r="48">
      <c r="A48" s="194" t="n">
        <v>34</v>
      </c>
      <c r="B48" s="195" t="inlineStr">
        <is>
          <t xml:space="preserve">        Ventana Proyectable Aluminio 120x60 cm</t>
        </is>
      </c>
      <c r="C48" s="196" t="inlineStr">
        <is>
          <t>Residencial / Comercial</t>
        </is>
      </c>
      <c r="D48" s="194" t="inlineStr">
        <is>
          <t>Ventanas Proyectables</t>
        </is>
      </c>
      <c r="E48" s="194" t="inlineStr">
        <is>
          <t>U</t>
        </is>
      </c>
      <c r="F48" s="197" t="n">
        <v>2</v>
      </c>
      <c r="G48" s="198" t="n">
        <v>93.40000000000001</v>
      </c>
      <c r="H48" s="198" t="n">
        <v>97.14</v>
      </c>
      <c r="I48" s="194" t="inlineStr">
        <is>
          <t>Megametales</t>
        </is>
      </c>
      <c r="J48" s="198" t="n">
        <v>102.74</v>
      </c>
      <c r="K48" s="194" t="inlineStr">
        <is>
          <t>Kywi / Megakywi</t>
        </is>
      </c>
      <c r="L48" s="199">
        <f>F48*G48</f>
        <v/>
      </c>
      <c r="M48" s="200" t="inlineStr">
        <is>
          <t>A-B20-VEN-PRY-ALM-120X060</t>
        </is>
      </c>
      <c r="N48" s="194" t="inlineStr">
        <is>
          <t>Arquitectura</t>
        </is>
      </c>
      <c r="O48" s="194" t="inlineStr">
        <is>
          <t>Estimado DION · criterio de mercado Guayaquil 2026 (no verificado en tienda)</t>
        </is>
      </c>
      <c r="P48" s="194" t="inlineStr">
        <is>
          <t>oct-2026 (est.)</t>
        </is>
      </c>
      <c r="Q48" s="194" t="n"/>
    </row>
    <row r="49">
      <c r="A49" s="18" t="n">
        <v>35</v>
      </c>
      <c r="B49" s="19" t="inlineStr">
        <is>
          <t xml:space="preserve">        Ventana Fija Aluminio 100x100 cm</t>
        </is>
      </c>
      <c r="C49" s="20" t="inlineStr">
        <is>
          <t>Residencial / Comercial</t>
        </is>
      </c>
      <c r="D49" s="18" t="inlineStr">
        <is>
          <t>Ventanas Fijas</t>
        </is>
      </c>
      <c r="E49" s="18" t="inlineStr">
        <is>
          <t>U</t>
        </is>
      </c>
      <c r="F49" s="21" t="n">
        <v>2</v>
      </c>
      <c r="G49" s="22" t="n">
        <v>65</v>
      </c>
      <c r="H49" s="22" t="n">
        <v>67.59999999999999</v>
      </c>
      <c r="I49" s="18" t="inlineStr">
        <is>
          <t>Megametales</t>
        </is>
      </c>
      <c r="J49" s="22" t="n">
        <v>69.55</v>
      </c>
      <c r="K49" s="18" t="inlineStr">
        <is>
          <t>Kywi / Megakywi</t>
        </is>
      </c>
      <c r="L49" s="8">
        <f>F49*G49</f>
        <v/>
      </c>
      <c r="M49" s="145" t="inlineStr">
        <is>
          <t>A-B20-VEN-FIJ-ALM-100X100</t>
        </is>
      </c>
      <c r="N49" s="18" t="inlineStr">
        <is>
          <t>Arquitectura</t>
        </is>
      </c>
      <c r="O49" s="18" t="inlineStr">
        <is>
          <t>Estimado DION · criterio de mercado Guayaquil 2026 (no verificado en tienda)</t>
        </is>
      </c>
      <c r="P49" s="18" t="inlineStr">
        <is>
          <t>oct-2026 (est.)</t>
        </is>
      </c>
      <c r="Q49" s="18" t="n"/>
    </row>
    <row r="50">
      <c r="A50" s="194" t="n">
        <v>36</v>
      </c>
      <c r="B50" s="195" t="inlineStr">
        <is>
          <t xml:space="preserve">        Ventana Fija Aluminio 120x150 cm</t>
        </is>
      </c>
      <c r="C50" s="196" t="inlineStr">
        <is>
          <t>Residencial / Comercial</t>
        </is>
      </c>
      <c r="D50" s="194" t="inlineStr">
        <is>
          <t>Ventanas Fijas</t>
        </is>
      </c>
      <c r="E50" s="194" t="inlineStr">
        <is>
          <t>U</t>
        </is>
      </c>
      <c r="F50" s="197" t="n">
        <v>2</v>
      </c>
      <c r="G50" s="198" t="n">
        <v>117</v>
      </c>
      <c r="H50" s="198" t="n">
        <v>122.85</v>
      </c>
      <c r="I50" s="194" t="inlineStr">
        <is>
          <t>Megametales</t>
        </is>
      </c>
      <c r="J50" s="198" t="n">
        <v>127.53</v>
      </c>
      <c r="K50" s="194" t="inlineStr">
        <is>
          <t>Kywi / Megakywi</t>
        </is>
      </c>
      <c r="L50" s="199">
        <f>F50*G50</f>
        <v/>
      </c>
      <c r="M50" s="200" t="inlineStr">
        <is>
          <t>A-B20-VEN-FIJ-ALM-120X150</t>
        </is>
      </c>
      <c r="N50" s="194" t="inlineStr">
        <is>
          <t>Arquitectura</t>
        </is>
      </c>
      <c r="O50" s="194" t="inlineStr">
        <is>
          <t>Estimado DION · criterio de mercado Guayaquil 2026 (no verificado en tienda)</t>
        </is>
      </c>
      <c r="P50" s="194" t="inlineStr">
        <is>
          <t>oct-2026 (est.)</t>
        </is>
      </c>
      <c r="Q50" s="194" t="n"/>
    </row>
    <row r="51">
      <c r="A51" s="18" t="n">
        <v>37</v>
      </c>
      <c r="B51" s="19" t="inlineStr">
        <is>
          <t xml:space="preserve">        Ventana Fija Aluminio 150x200 cm</t>
        </is>
      </c>
      <c r="C51" s="20" t="inlineStr">
        <is>
          <t>Residencial / Comercial</t>
        </is>
      </c>
      <c r="D51" s="18" t="inlineStr">
        <is>
          <t>Ventanas Fijas</t>
        </is>
      </c>
      <c r="E51" s="18" t="inlineStr">
        <is>
          <t>U</t>
        </is>
      </c>
      <c r="F51" s="21" t="n">
        <v>2</v>
      </c>
      <c r="G51" s="22" t="n">
        <v>195</v>
      </c>
      <c r="H51" s="22" t="n">
        <v>204.75</v>
      </c>
      <c r="I51" s="18" t="inlineStr">
        <is>
          <t>Megametales</t>
        </is>
      </c>
      <c r="J51" s="22" t="n">
        <v>208.65</v>
      </c>
      <c r="K51" s="18" t="inlineStr">
        <is>
          <t>Kywi / Megakywi</t>
        </is>
      </c>
      <c r="L51" s="8">
        <f>F51*G51</f>
        <v/>
      </c>
      <c r="M51" s="145" t="inlineStr">
        <is>
          <t>A-B20-VEN-FIJ-ALM-150X200</t>
        </is>
      </c>
      <c r="N51" s="18" t="inlineStr">
        <is>
          <t>Arquitectura</t>
        </is>
      </c>
      <c r="O51" s="18" t="inlineStr">
        <is>
          <t>Estimado DION · criterio de mercado Guayaquil 2026 (no verificado en tienda)</t>
        </is>
      </c>
      <c r="P51" s="18" t="inlineStr">
        <is>
          <t>oct-2026 (est.)</t>
        </is>
      </c>
      <c r="Q51" s="18" t="n"/>
    </row>
    <row r="52">
      <c r="A52" s="194" t="n">
        <v>38</v>
      </c>
      <c r="B52" s="195" t="inlineStr">
        <is>
          <t xml:space="preserve">        Ventana Fija Aluminio 200x200 cm</t>
        </is>
      </c>
      <c r="C52" s="196" t="inlineStr">
        <is>
          <t>Residencial / Comercial</t>
        </is>
      </c>
      <c r="D52" s="194" t="inlineStr">
        <is>
          <t>Ventanas Fijas</t>
        </is>
      </c>
      <c r="E52" s="194" t="inlineStr">
        <is>
          <t>U</t>
        </is>
      </c>
      <c r="F52" s="197" t="n">
        <v>2</v>
      </c>
      <c r="G52" s="198" t="n">
        <v>260</v>
      </c>
      <c r="H52" s="198" t="n">
        <v>267.8</v>
      </c>
      <c r="I52" s="194" t="inlineStr">
        <is>
          <t>Megametales</t>
        </is>
      </c>
      <c r="J52" s="198" t="n">
        <v>283.4</v>
      </c>
      <c r="K52" s="194" t="inlineStr">
        <is>
          <t>Kywi / Megakywi</t>
        </is>
      </c>
      <c r="L52" s="199">
        <f>F52*G52</f>
        <v/>
      </c>
      <c r="M52" s="200" t="inlineStr">
        <is>
          <t>A-B20-VEN-FIJ-ALM-200X200</t>
        </is>
      </c>
      <c r="N52" s="194" t="inlineStr">
        <is>
          <t>Arquitectura</t>
        </is>
      </c>
      <c r="O52" s="194" t="inlineStr">
        <is>
          <t>Estimado DION · criterio de mercado Guayaquil 2026 (no verificado en tienda)</t>
        </is>
      </c>
      <c r="P52" s="194" t="inlineStr">
        <is>
          <t>oct-2026 (est.)</t>
        </is>
      </c>
      <c r="Q52" s="194" t="n"/>
    </row>
    <row r="53">
      <c r="A53" s="18" t="n">
        <v>39</v>
      </c>
      <c r="B53" s="19" t="inlineStr">
        <is>
          <t xml:space="preserve">        Ventana Corrediza PVC Doble Vidrio 120x150 cm</t>
        </is>
      </c>
      <c r="C53" s="20" t="inlineStr">
        <is>
          <t>Residencial / Comercial</t>
        </is>
      </c>
      <c r="D53" s="18" t="inlineStr">
        <is>
          <t>Ventanas PVC</t>
        </is>
      </c>
      <c r="E53" s="18" t="inlineStr">
        <is>
          <t>U</t>
        </is>
      </c>
      <c r="F53" s="21" t="n">
        <v>1</v>
      </c>
      <c r="G53" s="22" t="n">
        <v>297</v>
      </c>
      <c r="H53" s="22" t="n">
        <v>302.94</v>
      </c>
      <c r="I53" s="18" t="inlineStr">
        <is>
          <t>Megametales</t>
        </is>
      </c>
      <c r="J53" s="22" t="n">
        <v>320.76</v>
      </c>
      <c r="K53" s="18" t="inlineStr">
        <is>
          <t>Kywi / Megakywi</t>
        </is>
      </c>
      <c r="L53" s="8">
        <f>F53*G53</f>
        <v/>
      </c>
      <c r="M53" s="145" t="inlineStr">
        <is>
          <t>A-B20-VEN-COR-DVH-120X150</t>
        </is>
      </c>
      <c r="N53" s="18" t="inlineStr">
        <is>
          <t>Arquitectura</t>
        </is>
      </c>
      <c r="O53" s="18" t="inlineStr">
        <is>
          <t>Estimado DION · criterio de mercado Guayaquil 2026 (no verificado en tienda)</t>
        </is>
      </c>
      <c r="P53" s="18" t="inlineStr">
        <is>
          <t>oct-2026 (est.)</t>
        </is>
      </c>
      <c r="Q53" s="18" t="n"/>
    </row>
    <row r="54">
      <c r="A54" s="194" t="n">
        <v>40</v>
      </c>
      <c r="B54" s="195" t="inlineStr">
        <is>
          <t xml:space="preserve">        Ventana Corrediza PVC Doble Vidrio 150x150 cm</t>
        </is>
      </c>
      <c r="C54" s="196" t="inlineStr">
        <is>
          <t>Residencial / Comercial</t>
        </is>
      </c>
      <c r="D54" s="194" t="inlineStr">
        <is>
          <t>Ventanas PVC</t>
        </is>
      </c>
      <c r="E54" s="194" t="inlineStr">
        <is>
          <t>U</t>
        </is>
      </c>
      <c r="F54" s="197" t="n">
        <v>1</v>
      </c>
      <c r="G54" s="198" t="n">
        <v>371.25</v>
      </c>
      <c r="H54" s="198" t="n">
        <v>389.81</v>
      </c>
      <c r="I54" s="194" t="inlineStr">
        <is>
          <t>Megametales</t>
        </is>
      </c>
      <c r="J54" s="198" t="n">
        <v>400.95</v>
      </c>
      <c r="K54" s="194" t="inlineStr">
        <is>
          <t>Kywi / Megakywi</t>
        </is>
      </c>
      <c r="L54" s="199">
        <f>F54*G54</f>
        <v/>
      </c>
      <c r="M54" s="200" t="inlineStr">
        <is>
          <t>A-B20-VEN-COR-DVH-150X150</t>
        </is>
      </c>
      <c r="N54" s="194" t="inlineStr">
        <is>
          <t>Arquitectura</t>
        </is>
      </c>
      <c r="O54" s="194" t="inlineStr">
        <is>
          <t>Estimado DION · criterio de mercado Guayaquil 2026 (no verificado en tienda)</t>
        </is>
      </c>
      <c r="P54" s="194" t="inlineStr">
        <is>
          <t>oct-2026 (est.)</t>
        </is>
      </c>
      <c r="Q54" s="194" t="n"/>
    </row>
    <row r="55">
      <c r="A55" s="18" t="n">
        <v>41</v>
      </c>
      <c r="B55" s="19" t="inlineStr">
        <is>
          <t xml:space="preserve">        Ventana Corrediza PVC Doble Vidrio 180x150 cm</t>
        </is>
      </c>
      <c r="C55" s="20" t="inlineStr">
        <is>
          <t>Residencial / Comercial</t>
        </is>
      </c>
      <c r="D55" s="18" t="inlineStr">
        <is>
          <t>Ventanas PVC</t>
        </is>
      </c>
      <c r="E55" s="18" t="inlineStr">
        <is>
          <t>U</t>
        </is>
      </c>
      <c r="F55" s="21" t="n">
        <v>1</v>
      </c>
      <c r="G55" s="22" t="n">
        <v>445.5</v>
      </c>
      <c r="H55" s="22" t="n">
        <v>454.41</v>
      </c>
      <c r="I55" s="18" t="inlineStr">
        <is>
          <t>Megametales</t>
        </is>
      </c>
      <c r="J55" s="22" t="n">
        <v>494.51</v>
      </c>
      <c r="K55" s="18" t="inlineStr">
        <is>
          <t>Kywi / Megakywi</t>
        </is>
      </c>
      <c r="L55" s="8">
        <f>F55*G55</f>
        <v/>
      </c>
      <c r="M55" s="145" t="inlineStr">
        <is>
          <t>A-B20-VEN-COR-DVH-180X150</t>
        </is>
      </c>
      <c r="N55" s="18" t="inlineStr">
        <is>
          <t>Arquitectura</t>
        </is>
      </c>
      <c r="O55" s="18" t="inlineStr">
        <is>
          <t>Estimado DION · criterio de mercado Guayaquil 2026 (no verificado en tienda)</t>
        </is>
      </c>
      <c r="P55" s="18" t="inlineStr">
        <is>
          <t>oct-2026 (est.)</t>
        </is>
      </c>
      <c r="Q55" s="18" t="n"/>
    </row>
    <row r="56">
      <c r="A56" s="191" t="inlineStr">
        <is>
          <t>CONEXIONES</t>
        </is>
      </c>
      <c r="B56" s="143" t="n"/>
      <c r="C56" s="143" t="n"/>
      <c r="D56" s="143" t="n"/>
      <c r="E56" s="143" t="n"/>
      <c r="F56" s="143" t="n"/>
      <c r="G56" s="143" t="n"/>
      <c r="H56" s="143" t="n"/>
      <c r="I56" s="143" t="n"/>
      <c r="J56" s="143" t="n"/>
      <c r="K56" s="143" t="n"/>
      <c r="L56" s="143" t="n"/>
      <c r="M56" s="143" t="n"/>
      <c r="N56" s="143" t="n"/>
      <c r="O56" s="143" t="n"/>
      <c r="P56" s="143" t="n"/>
      <c r="Q56" s="144" t="n"/>
    </row>
    <row r="57">
      <c r="A57" s="192" t="inlineStr">
        <is>
          <t xml:space="preserve">  ► CATEGORÍA: PUERTAS DE ALUMINIO Y VIDRIO (INSTALADAS)</t>
        </is>
      </c>
      <c r="B57" s="143" t="n"/>
      <c r="C57" s="143" t="n"/>
      <c r="D57" s="143" t="n"/>
      <c r="E57" s="143" t="n"/>
      <c r="F57" s="143" t="n"/>
      <c r="G57" s="143" t="n"/>
      <c r="H57" s="143" t="n"/>
      <c r="I57" s="143" t="n"/>
      <c r="J57" s="143" t="n"/>
      <c r="K57" s="143" t="n"/>
      <c r="L57" s="143" t="n"/>
      <c r="M57" s="143" t="n"/>
      <c r="N57" s="143" t="n"/>
      <c r="O57" s="143" t="n"/>
      <c r="P57" s="143" t="n"/>
      <c r="Q57" s="144" t="n"/>
    </row>
    <row r="58">
      <c r="A58" s="193" t="inlineStr">
        <is>
          <t xml:space="preserve">      • Subcategoría Especificada: Puertas Corredizas, Batientes y Automáticas</t>
        </is>
      </c>
      <c r="B58" s="143" t="n"/>
      <c r="C58" s="143" t="n"/>
      <c r="D58" s="143" t="n"/>
      <c r="E58" s="143" t="n"/>
      <c r="F58" s="143" t="n"/>
      <c r="G58" s="143" t="n"/>
      <c r="H58" s="143" t="n"/>
      <c r="I58" s="143" t="n"/>
      <c r="J58" s="143" t="n"/>
      <c r="K58" s="143" t="n"/>
      <c r="L58" s="143" t="n"/>
      <c r="M58" s="143" t="n"/>
      <c r="N58" s="143" t="n"/>
      <c r="O58" s="143" t="n"/>
      <c r="P58" s="143" t="n"/>
      <c r="Q58" s="144" t="n"/>
    </row>
    <row r="59">
      <c r="A59" s="194" t="n">
        <v>42</v>
      </c>
      <c r="B59" s="195" t="inlineStr">
        <is>
          <t xml:space="preserve">        Puerta Corrediza Aluminio y Vidrio 180x240 cm</t>
        </is>
      </c>
      <c r="C59" s="196" t="inlineStr">
        <is>
          <t>Residencial / Comercial</t>
        </is>
      </c>
      <c r="D59" s="194" t="inlineStr">
        <is>
          <t>Puertas Corredizas</t>
        </is>
      </c>
      <c r="E59" s="194" t="inlineStr">
        <is>
          <t>U</t>
        </is>
      </c>
      <c r="F59" s="197" t="n">
        <v>0</v>
      </c>
      <c r="G59" s="198" t="n">
        <v>520</v>
      </c>
      <c r="H59" s="198" t="n">
        <v>540.8</v>
      </c>
      <c r="I59" s="194" t="inlineStr">
        <is>
          <t>Megametales</t>
        </is>
      </c>
      <c r="J59" s="198" t="n">
        <v>572</v>
      </c>
      <c r="K59" s="194" t="inlineStr">
        <is>
          <t>Kywi / Megakywi</t>
        </is>
      </c>
      <c r="L59" s="199">
        <f>F59*G59</f>
        <v/>
      </c>
      <c r="M59" s="200" t="inlineStr">
        <is>
          <t>A-B20-PUE-COR-ALM-180X240</t>
        </is>
      </c>
      <c r="N59" s="194" t="inlineStr">
        <is>
          <t>Arquitectura</t>
        </is>
      </c>
      <c r="O59" s="194" t="inlineStr">
        <is>
          <t>Estimado DION · criterio de mercado Guayaquil 2026 (no verificado en tienda)</t>
        </is>
      </c>
      <c r="P59" s="194" t="inlineStr">
        <is>
          <t>oct-2026 (est.)</t>
        </is>
      </c>
      <c r="Q59" s="194" t="n"/>
    </row>
    <row r="60">
      <c r="A60" s="18" t="n">
        <v>43</v>
      </c>
      <c r="B60" s="19" t="inlineStr">
        <is>
          <t xml:space="preserve">        Puerta Corrediza Aluminio y Vidrio 240x240 cm</t>
        </is>
      </c>
      <c r="C60" s="20" t="inlineStr">
        <is>
          <t>Residencial / Comercial</t>
        </is>
      </c>
      <c r="D60" s="18" t="inlineStr">
        <is>
          <t>Puertas Corredizas</t>
        </is>
      </c>
      <c r="E60" s="18" t="inlineStr">
        <is>
          <t>U</t>
        </is>
      </c>
      <c r="F60" s="21" t="n">
        <v>0</v>
      </c>
      <c r="G60" s="22" t="n">
        <v>690</v>
      </c>
      <c r="H60" s="22" t="n">
        <v>710.7</v>
      </c>
      <c r="I60" s="18" t="inlineStr">
        <is>
          <t>Megametales</t>
        </is>
      </c>
      <c r="J60" s="22" t="n">
        <v>759</v>
      </c>
      <c r="K60" s="18" t="inlineStr">
        <is>
          <t>Kywi / Megakywi</t>
        </is>
      </c>
      <c r="L60" s="8">
        <f>F60*G60</f>
        <v/>
      </c>
      <c r="M60" s="145" t="inlineStr">
        <is>
          <t>A-B20-PUE-COR-ALM-240X240</t>
        </is>
      </c>
      <c r="N60" s="18" t="inlineStr">
        <is>
          <t>Arquitectura</t>
        </is>
      </c>
      <c r="O60" s="18" t="inlineStr">
        <is>
          <t>Estimado DION · criterio de mercado Guayaquil 2026 (no verificado en tienda)</t>
        </is>
      </c>
      <c r="P60" s="18" t="inlineStr">
        <is>
          <t>oct-2026 (est.)</t>
        </is>
      </c>
      <c r="Q60" s="18" t="n"/>
    </row>
    <row r="61">
      <c r="A61" s="194" t="n">
        <v>44</v>
      </c>
      <c r="B61" s="195" t="inlineStr">
        <is>
          <t xml:space="preserve">        Puerta Corrediza Aluminio y Vidrio 300x240 cm</t>
        </is>
      </c>
      <c r="C61" s="196" t="inlineStr">
        <is>
          <t>Residencial / Comercial</t>
        </is>
      </c>
      <c r="D61" s="194" t="inlineStr">
        <is>
          <t>Puertas Corredizas</t>
        </is>
      </c>
      <c r="E61" s="194" t="inlineStr">
        <is>
          <t>U</t>
        </is>
      </c>
      <c r="F61" s="197" t="n">
        <v>0</v>
      </c>
      <c r="G61" s="198" t="n">
        <v>860</v>
      </c>
      <c r="H61" s="198" t="n">
        <v>877.2</v>
      </c>
      <c r="I61" s="194" t="inlineStr">
        <is>
          <t>Megametales</t>
        </is>
      </c>
      <c r="J61" s="198" t="n">
        <v>946</v>
      </c>
      <c r="K61" s="194" t="inlineStr">
        <is>
          <t>Kywi / Megakywi</t>
        </is>
      </c>
      <c r="L61" s="199">
        <f>F61*G61</f>
        <v/>
      </c>
      <c r="M61" s="200" t="inlineStr">
        <is>
          <t>A-B20-PUE-COR-ALM-300X240</t>
        </is>
      </c>
      <c r="N61" s="194" t="inlineStr">
        <is>
          <t>Arquitectura</t>
        </is>
      </c>
      <c r="O61" s="194" t="inlineStr">
        <is>
          <t>Estimado DION · criterio de mercado Guayaquil 2026 (no verificado en tienda)</t>
        </is>
      </c>
      <c r="P61" s="194" t="inlineStr">
        <is>
          <t>oct-2026 (est.)</t>
        </is>
      </c>
      <c r="Q61" s="194" t="n"/>
    </row>
    <row r="62">
      <c r="A62" s="18" t="n">
        <v>45</v>
      </c>
      <c r="B62" s="19" t="inlineStr">
        <is>
          <t xml:space="preserve">        Puerta Batiente Vidrio Templado 10 mm 90x240 cm con Herrajes</t>
        </is>
      </c>
      <c r="C62" s="20" t="inlineStr">
        <is>
          <t>Residencial / Comercial</t>
        </is>
      </c>
      <c r="D62" s="18" t="inlineStr">
        <is>
          <t>Puertas Templadas</t>
        </is>
      </c>
      <c r="E62" s="18" t="inlineStr">
        <is>
          <t>U</t>
        </is>
      </c>
      <c r="F62" s="21" t="n">
        <v>1</v>
      </c>
      <c r="G62" s="22" t="n">
        <v>480</v>
      </c>
      <c r="H62" s="22" t="n">
        <v>499.2</v>
      </c>
      <c r="I62" s="18" t="inlineStr">
        <is>
          <t>Megametales</t>
        </is>
      </c>
      <c r="J62" s="22" t="n">
        <v>518.4</v>
      </c>
      <c r="K62" s="18" t="inlineStr">
        <is>
          <t>Kywi / Megakywi</t>
        </is>
      </c>
      <c r="L62" s="8">
        <f>F62*G62</f>
        <v/>
      </c>
      <c r="M62" s="145" t="inlineStr">
        <is>
          <t>A-B20-PUE-BAT-VTP-090X240</t>
        </is>
      </c>
      <c r="N62" s="18" t="inlineStr">
        <is>
          <t>Arquitectura</t>
        </is>
      </c>
      <c r="O62" s="18" t="inlineStr">
        <is>
          <t>Estimado DION · criterio de mercado Guayaquil 2026 (no verificado en tienda)</t>
        </is>
      </c>
      <c r="P62" s="18" t="inlineStr">
        <is>
          <t>oct-2026 (est.)</t>
        </is>
      </c>
      <c r="Q62" s="18" t="n"/>
    </row>
    <row r="63">
      <c r="A63" s="194" t="n">
        <v>46</v>
      </c>
      <c r="B63" s="195" t="inlineStr">
        <is>
          <t xml:space="preserve">        Puerta Batiente Doble Vidrio Templado 180x240 cm</t>
        </is>
      </c>
      <c r="C63" s="196" t="inlineStr">
        <is>
          <t>Comercial / Industrial</t>
        </is>
      </c>
      <c r="D63" s="194" t="inlineStr">
        <is>
          <t>Puertas Templadas</t>
        </is>
      </c>
      <c r="E63" s="194" t="inlineStr">
        <is>
          <t>U</t>
        </is>
      </c>
      <c r="F63" s="197" t="n">
        <v>0</v>
      </c>
      <c r="G63" s="198" t="n">
        <v>920</v>
      </c>
      <c r="H63" s="198" t="n">
        <v>947.6</v>
      </c>
      <c r="I63" s="194" t="inlineStr">
        <is>
          <t>Megametales</t>
        </is>
      </c>
      <c r="J63" s="198" t="n">
        <v>1012</v>
      </c>
      <c r="K63" s="194" t="inlineStr">
        <is>
          <t>Kywi / Megakywi</t>
        </is>
      </c>
      <c r="L63" s="199">
        <f>F63*G63</f>
        <v/>
      </c>
      <c r="M63" s="200" t="inlineStr">
        <is>
          <t>A-B20-PUE-BAT-VTP-180X240</t>
        </is>
      </c>
      <c r="N63" s="194" t="inlineStr">
        <is>
          <t>Arquitectura</t>
        </is>
      </c>
      <c r="O63" s="194" t="inlineStr">
        <is>
          <t>Estimado DION · criterio de mercado Guayaquil 2026 (no verificado en tienda)</t>
        </is>
      </c>
      <c r="P63" s="194" t="inlineStr">
        <is>
          <t>oct-2026 (est.)</t>
        </is>
      </c>
      <c r="Q63" s="194" t="n"/>
    </row>
    <row r="64">
      <c r="A64" s="18" t="n">
        <v>47</v>
      </c>
      <c r="B64" s="19" t="inlineStr">
        <is>
          <t xml:space="preserve">        Puerta Automática Corrediza Vidrio 180x240 cm con Operador</t>
        </is>
      </c>
      <c r="C64" s="20" t="inlineStr">
        <is>
          <t>Comercial / Industrial</t>
        </is>
      </c>
      <c r="D64" s="18" t="inlineStr">
        <is>
          <t>Puertas Automáticas</t>
        </is>
      </c>
      <c r="E64" s="18" t="inlineStr">
        <is>
          <t>U</t>
        </is>
      </c>
      <c r="F64" s="21" t="n">
        <v>0</v>
      </c>
      <c r="G64" s="22" t="n">
        <v>4600</v>
      </c>
      <c r="H64" s="22" t="n">
        <v>4738</v>
      </c>
      <c r="I64" s="18" t="inlineStr">
        <is>
          <t>Megametales</t>
        </is>
      </c>
      <c r="J64" s="22" t="n">
        <v>4968</v>
      </c>
      <c r="K64" s="18" t="inlineStr">
        <is>
          <t>Kywi / Megakywi</t>
        </is>
      </c>
      <c r="L64" s="8">
        <f>F64*G64</f>
        <v/>
      </c>
      <c r="M64" s="145" t="inlineStr">
        <is>
          <t>A-B20-PUE-AUT-VTP-180X240</t>
        </is>
      </c>
      <c r="N64" s="18" t="inlineStr">
        <is>
          <t>Arquitectura</t>
        </is>
      </c>
      <c r="O64" s="18" t="inlineStr">
        <is>
          <t>Estimado DION · criterio de mercado Guayaquil 2026 (no verificado en tienda)</t>
        </is>
      </c>
      <c r="P64" s="18" t="inlineStr">
        <is>
          <t>oct-2026 (est.)</t>
        </is>
      </c>
      <c r="Q64" s="18" t="n"/>
    </row>
    <row r="65">
      <c r="A65" s="194" t="n">
        <v>48</v>
      </c>
      <c r="B65" s="195" t="inlineStr">
        <is>
          <t xml:space="preserve">        Puerta Interior Aluminio y Vidrio Batiente 90x210 cm</t>
        </is>
      </c>
      <c r="C65" s="196" t="inlineStr">
        <is>
          <t>Residencial / Comercial</t>
        </is>
      </c>
      <c r="D65" s="194" t="inlineStr">
        <is>
          <t>Puertas Interiores</t>
        </is>
      </c>
      <c r="E65" s="194" t="inlineStr">
        <is>
          <t>U</t>
        </is>
      </c>
      <c r="F65" s="197" t="n">
        <v>1</v>
      </c>
      <c r="G65" s="198" t="n">
        <v>265</v>
      </c>
      <c r="H65" s="198" t="n">
        <v>278.25</v>
      </c>
      <c r="I65" s="194" t="inlineStr">
        <is>
          <t>Megametales</t>
        </is>
      </c>
      <c r="J65" s="198" t="n">
        <v>291.5</v>
      </c>
      <c r="K65" s="194" t="inlineStr">
        <is>
          <t>Kywi / Megakywi</t>
        </is>
      </c>
      <c r="L65" s="199">
        <f>F65*G65</f>
        <v/>
      </c>
      <c r="M65" s="200" t="inlineStr">
        <is>
          <t>A-C10-PUE-BAT-ALM-090X210</t>
        </is>
      </c>
      <c r="N65" s="194" t="inlineStr">
        <is>
          <t>Arquitectura</t>
        </is>
      </c>
      <c r="O65" s="194" t="inlineStr">
        <is>
          <t>Estimado DION · criterio de mercado Guayaquil 2026 (no verificado en tienda)</t>
        </is>
      </c>
      <c r="P65" s="194" t="inlineStr">
        <is>
          <t>oct-2026 (est.)</t>
        </is>
      </c>
      <c r="Q65" s="194" t="n"/>
    </row>
    <row r="66">
      <c r="A66" s="18" t="n">
        <v>49</v>
      </c>
      <c r="B66" s="19" t="inlineStr">
        <is>
          <t xml:space="preserve">        Mampara de Baño Vidrio Templado 8 mm Corrediza (Ducha)</t>
        </is>
      </c>
      <c r="C66" s="20" t="inlineStr">
        <is>
          <t>Residencial / Comercial</t>
        </is>
      </c>
      <c r="D66" s="18" t="inlineStr">
        <is>
          <t>Mamparas</t>
        </is>
      </c>
      <c r="E66" s="18" t="inlineStr">
        <is>
          <t>U</t>
        </is>
      </c>
      <c r="F66" s="21" t="n">
        <v>2</v>
      </c>
      <c r="G66" s="22" t="n">
        <v>340</v>
      </c>
      <c r="H66" s="22" t="n">
        <v>357</v>
      </c>
      <c r="I66" s="18" t="inlineStr">
        <is>
          <t>Megametales</t>
        </is>
      </c>
      <c r="J66" s="22" t="n">
        <v>367.2</v>
      </c>
      <c r="K66" s="18" t="inlineStr">
        <is>
          <t>Kywi / Megakywi</t>
        </is>
      </c>
      <c r="L66" s="8">
        <f>F66*G66</f>
        <v/>
      </c>
      <c r="M66" s="145" t="inlineStr">
        <is>
          <t>A-C10-MMP-VTP-COR</t>
        </is>
      </c>
      <c r="N66" s="18" t="inlineStr">
        <is>
          <t>Arquitectura</t>
        </is>
      </c>
      <c r="O66" s="18" t="inlineStr">
        <is>
          <t>Estimado DION · criterio de mercado Guayaquil 2026 (no verificado en tienda)</t>
        </is>
      </c>
      <c r="P66" s="18" t="inlineStr">
        <is>
          <t>oct-2026 (est.)</t>
        </is>
      </c>
      <c r="Q66" s="18" t="n"/>
    </row>
    <row r="67">
      <c r="A67" s="194" t="n">
        <v>50</v>
      </c>
      <c r="B67" s="195" t="inlineStr">
        <is>
          <t xml:space="preserve">        Mampara de Baño Vidrio Templado Batiente (Ducha)</t>
        </is>
      </c>
      <c r="C67" s="196" t="inlineStr">
        <is>
          <t>Residencial / Comercial</t>
        </is>
      </c>
      <c r="D67" s="194" t="inlineStr">
        <is>
          <t>Mamparas</t>
        </is>
      </c>
      <c r="E67" s="194" t="inlineStr">
        <is>
          <t>U</t>
        </is>
      </c>
      <c r="F67" s="197" t="n">
        <v>1</v>
      </c>
      <c r="G67" s="198" t="n">
        <v>290</v>
      </c>
      <c r="H67" s="198" t="n">
        <v>298.7</v>
      </c>
      <c r="I67" s="194" t="inlineStr">
        <is>
          <t>Megametales</t>
        </is>
      </c>
      <c r="J67" s="198" t="n">
        <v>321.9</v>
      </c>
      <c r="K67" s="194" t="inlineStr">
        <is>
          <t>Kywi / Megakywi</t>
        </is>
      </c>
      <c r="L67" s="199">
        <f>F67*G67</f>
        <v/>
      </c>
      <c r="M67" s="200" t="inlineStr">
        <is>
          <t>A-C10-MMP-VTP-BAT</t>
        </is>
      </c>
      <c r="N67" s="194" t="inlineStr">
        <is>
          <t>Arquitectura</t>
        </is>
      </c>
      <c r="O67" s="194" t="inlineStr">
        <is>
          <t>Estimado DION · criterio de mercado Guayaquil 2026 (no verificado en tienda)</t>
        </is>
      </c>
      <c r="P67" s="194" t="inlineStr">
        <is>
          <t>oct-2026 (est.)</t>
        </is>
      </c>
      <c r="Q67" s="194" t="n"/>
    </row>
    <row r="68">
      <c r="A68" s="18" t="n">
        <v>51</v>
      </c>
      <c r="B68" s="19" t="inlineStr">
        <is>
          <t xml:space="preserve">        Espejo Biselado 4 mm (m²)</t>
        </is>
      </c>
      <c r="C68" s="20" t="inlineStr">
        <is>
          <t>Residencial / Comercial</t>
        </is>
      </c>
      <c r="D68" s="18" t="inlineStr">
        <is>
          <t>Espejos</t>
        </is>
      </c>
      <c r="E68" s="18" t="inlineStr">
        <is>
          <t>m2</t>
        </is>
      </c>
      <c r="F68" s="21" t="n">
        <v>4</v>
      </c>
      <c r="G68" s="22" t="n">
        <v>38</v>
      </c>
      <c r="H68" s="22" t="n">
        <v>39.52</v>
      </c>
      <c r="I68" s="18" t="inlineStr">
        <is>
          <t>Megametales</t>
        </is>
      </c>
      <c r="J68" s="22" t="n">
        <v>41.04</v>
      </c>
      <c r="K68" s="18" t="inlineStr">
        <is>
          <t>Kywi / Megakywi</t>
        </is>
      </c>
      <c r="L68" s="8">
        <f>F68*G68</f>
        <v/>
      </c>
      <c r="M68" s="145" t="inlineStr">
        <is>
          <t>A-C10-ACS-ESP-060X090</t>
        </is>
      </c>
      <c r="N68" s="18" t="inlineStr">
        <is>
          <t>Arquitectura</t>
        </is>
      </c>
      <c r="O68" s="18" t="inlineStr">
        <is>
          <t>Estimado DION · criterio de mercado Guayaquil 2026 (no verificado en tienda)</t>
        </is>
      </c>
      <c r="P68" s="18" t="inlineStr">
        <is>
          <t>oct-2026 (est.)</t>
        </is>
      </c>
      <c r="Q68" s="18" t="n">
        <v>5</v>
      </c>
    </row>
    <row r="69">
      <c r="A69" s="191" t="inlineStr">
        <is>
          <t>EQUIPOS ESPECIALIZADOS</t>
        </is>
      </c>
      <c r="B69" s="143" t="n"/>
      <c r="C69" s="143" t="n"/>
      <c r="D69" s="143" t="n"/>
      <c r="E69" s="143" t="n"/>
      <c r="F69" s="143" t="n"/>
      <c r="G69" s="143" t="n"/>
      <c r="H69" s="143" t="n"/>
      <c r="I69" s="143" t="n"/>
      <c r="J69" s="143" t="n"/>
      <c r="K69" s="143" t="n"/>
      <c r="L69" s="143" t="n"/>
      <c r="M69" s="143" t="n"/>
      <c r="N69" s="143" t="n"/>
      <c r="O69" s="143" t="n"/>
      <c r="P69" s="143" t="n"/>
      <c r="Q69" s="144" t="n"/>
    </row>
    <row r="70">
      <c r="A70" s="192" t="inlineStr">
        <is>
          <t xml:space="preserve">  ► CATEGORÍA: VIDRIOS Y FACHADAS</t>
        </is>
      </c>
      <c r="B70" s="143" t="n"/>
      <c r="C70" s="143" t="n"/>
      <c r="D70" s="143" t="n"/>
      <c r="E70" s="143" t="n"/>
      <c r="F70" s="143" t="n"/>
      <c r="G70" s="143" t="n"/>
      <c r="H70" s="143" t="n"/>
      <c r="I70" s="143" t="n"/>
      <c r="J70" s="143" t="n"/>
      <c r="K70" s="143" t="n"/>
      <c r="L70" s="143" t="n"/>
      <c r="M70" s="143" t="n"/>
      <c r="N70" s="143" t="n"/>
      <c r="O70" s="143" t="n"/>
      <c r="P70" s="143" t="n"/>
      <c r="Q70" s="144" t="n"/>
    </row>
    <row r="71">
      <c r="A71" s="193" t="inlineStr">
        <is>
          <t xml:space="preserve">      • Subcategoría Especificada: Vidrio por Tipo y Espesor (m²) y Muro Cortina</t>
        </is>
      </c>
      <c r="B71" s="143" t="n"/>
      <c r="C71" s="143" t="n"/>
      <c r="D71" s="143" t="n"/>
      <c r="E71" s="143" t="n"/>
      <c r="F71" s="143" t="n"/>
      <c r="G71" s="143" t="n"/>
      <c r="H71" s="143" t="n"/>
      <c r="I71" s="143" t="n"/>
      <c r="J71" s="143" t="n"/>
      <c r="K71" s="143" t="n"/>
      <c r="L71" s="143" t="n"/>
      <c r="M71" s="143" t="n"/>
      <c r="N71" s="143" t="n"/>
      <c r="O71" s="143" t="n"/>
      <c r="P71" s="143" t="n"/>
      <c r="Q71" s="144" t="n"/>
    </row>
    <row r="72">
      <c r="A72" s="194" t="n">
        <v>52</v>
      </c>
      <c r="B72" s="195" t="inlineStr">
        <is>
          <t xml:space="preserve">        Vidrio Claro Flotado 4 mm (m²)</t>
        </is>
      </c>
      <c r="C72" s="196" t="inlineStr">
        <is>
          <t>Residencial / Comercial</t>
        </is>
      </c>
      <c r="D72" s="194" t="inlineStr">
        <is>
          <t>Vidrio Flotado</t>
        </is>
      </c>
      <c r="E72" s="194" t="inlineStr">
        <is>
          <t>m2</t>
        </is>
      </c>
      <c r="F72" s="197" t="n">
        <v>20</v>
      </c>
      <c r="G72" s="198" t="n">
        <v>14</v>
      </c>
      <c r="H72" s="198" t="n">
        <v>14.56</v>
      </c>
      <c r="I72" s="194" t="inlineStr">
        <is>
          <t>Megametales</t>
        </is>
      </c>
      <c r="J72" s="198" t="n">
        <v>15.12</v>
      </c>
      <c r="K72" s="194" t="inlineStr">
        <is>
          <t>Kywi / Megakywi</t>
        </is>
      </c>
      <c r="L72" s="199">
        <f>F72*G72</f>
        <v/>
      </c>
      <c r="M72" s="200" t="inlineStr">
        <is>
          <t>F-B20-PNV-VCL-04</t>
        </is>
      </c>
      <c r="N72" s="194" t="inlineStr">
        <is>
          <t>Fachadas y muros cortina</t>
        </is>
      </c>
      <c r="O72" s="194" t="inlineStr">
        <is>
          <t>Estimado DION · criterio de mercado Guayaquil 2026 (no verificado en tienda)</t>
        </is>
      </c>
      <c r="P72" s="194" t="inlineStr">
        <is>
          <t>oct-2026 (est.)</t>
        </is>
      </c>
      <c r="Q72" s="194" t="n">
        <v>8</v>
      </c>
    </row>
    <row r="73">
      <c r="A73" s="18" t="n">
        <v>53</v>
      </c>
      <c r="B73" s="19" t="inlineStr">
        <is>
          <t xml:space="preserve">        Vidrio Claro Flotado 6 mm (m²)</t>
        </is>
      </c>
      <c r="C73" s="20" t="inlineStr">
        <is>
          <t>Residencial / Comercial</t>
        </is>
      </c>
      <c r="D73" s="18" t="inlineStr">
        <is>
          <t>Vidrio Flotado</t>
        </is>
      </c>
      <c r="E73" s="18" t="inlineStr">
        <is>
          <t>m2</t>
        </is>
      </c>
      <c r="F73" s="21" t="n">
        <v>20</v>
      </c>
      <c r="G73" s="22" t="n">
        <v>20</v>
      </c>
      <c r="H73" s="22" t="n">
        <v>20.8</v>
      </c>
      <c r="I73" s="18" t="inlineStr">
        <is>
          <t>Megametales</t>
        </is>
      </c>
      <c r="J73" s="22" t="n">
        <v>21.8</v>
      </c>
      <c r="K73" s="18" t="inlineStr">
        <is>
          <t>Kywi / Megakywi</t>
        </is>
      </c>
      <c r="L73" s="8">
        <f>F73*G73</f>
        <v/>
      </c>
      <c r="M73" s="145" t="inlineStr">
        <is>
          <t>F-B20-PNV-VCL-06</t>
        </is>
      </c>
      <c r="N73" s="18" t="inlineStr">
        <is>
          <t>Fachadas y muros cortina</t>
        </is>
      </c>
      <c r="O73" s="18" t="inlineStr">
        <is>
          <t>Estimado DION · criterio de mercado Guayaquil 2026 (no verificado en tienda)</t>
        </is>
      </c>
      <c r="P73" s="18" t="inlineStr">
        <is>
          <t>oct-2026 (est.)</t>
        </is>
      </c>
      <c r="Q73" s="18" t="n">
        <v>8</v>
      </c>
    </row>
    <row r="74">
      <c r="A74" s="194" t="n">
        <v>54</v>
      </c>
      <c r="B74" s="195" t="inlineStr">
        <is>
          <t xml:space="preserve">        Vidrio Templado 6 mm (m²)</t>
        </is>
      </c>
      <c r="C74" s="196" t="inlineStr">
        <is>
          <t>Residencial / Comercial</t>
        </is>
      </c>
      <c r="D74" s="194" t="inlineStr">
        <is>
          <t>Vidrio Templado</t>
        </is>
      </c>
      <c r="E74" s="194" t="inlineStr">
        <is>
          <t>m2</t>
        </is>
      </c>
      <c r="F74" s="197" t="n">
        <v>20</v>
      </c>
      <c r="G74" s="198" t="n">
        <v>42</v>
      </c>
      <c r="H74" s="198" t="n">
        <v>43.68</v>
      </c>
      <c r="I74" s="194" t="inlineStr">
        <is>
          <t>Megametales</t>
        </is>
      </c>
      <c r="J74" s="198" t="n">
        <v>46.2</v>
      </c>
      <c r="K74" s="194" t="inlineStr">
        <is>
          <t>Kywi / Megakywi</t>
        </is>
      </c>
      <c r="L74" s="199">
        <f>F74*G74</f>
        <v/>
      </c>
      <c r="M74" s="200" t="inlineStr">
        <is>
          <t>F-B20-PNV-VTP-06</t>
        </is>
      </c>
      <c r="N74" s="194" t="inlineStr">
        <is>
          <t>Fachadas y muros cortina</t>
        </is>
      </c>
      <c r="O74" s="194" t="inlineStr">
        <is>
          <t>Estimado DION · criterio de mercado Guayaquil 2026 (no verificado en tienda)</t>
        </is>
      </c>
      <c r="P74" s="194" t="inlineStr">
        <is>
          <t>oct-2026 (est.)</t>
        </is>
      </c>
      <c r="Q74" s="194" t="n"/>
    </row>
    <row r="75">
      <c r="A75" s="18" t="n">
        <v>55</v>
      </c>
      <c r="B75" s="19" t="inlineStr">
        <is>
          <t xml:space="preserve">        Vidrio Templado 8 mm (m²)</t>
        </is>
      </c>
      <c r="C75" s="20" t="inlineStr">
        <is>
          <t>Residencial / Comercial</t>
        </is>
      </c>
      <c r="D75" s="18" t="inlineStr">
        <is>
          <t>Vidrio Templado</t>
        </is>
      </c>
      <c r="E75" s="18" t="inlineStr">
        <is>
          <t>m2</t>
        </is>
      </c>
      <c r="F75" s="21" t="n">
        <v>20</v>
      </c>
      <c r="G75" s="22" t="n">
        <v>52</v>
      </c>
      <c r="H75" s="22" t="n">
        <v>53.04</v>
      </c>
      <c r="I75" s="18" t="inlineStr">
        <is>
          <t>Megametales</t>
        </is>
      </c>
      <c r="J75" s="22" t="n">
        <v>56.16</v>
      </c>
      <c r="K75" s="18" t="inlineStr">
        <is>
          <t>Kywi / Megakywi</t>
        </is>
      </c>
      <c r="L75" s="8">
        <f>F75*G75</f>
        <v/>
      </c>
      <c r="M75" s="145" t="inlineStr">
        <is>
          <t>F-B20-PNV-VTP-08</t>
        </is>
      </c>
      <c r="N75" s="18" t="inlineStr">
        <is>
          <t>Fachadas y muros cortina</t>
        </is>
      </c>
      <c r="O75" s="18" t="inlineStr">
        <is>
          <t>Estimado DION · criterio de mercado Guayaquil 2026 (no verificado en tienda)</t>
        </is>
      </c>
      <c r="P75" s="18" t="inlineStr">
        <is>
          <t>oct-2026 (est.)</t>
        </is>
      </c>
      <c r="Q75" s="18" t="n"/>
    </row>
    <row r="76">
      <c r="A76" s="194" t="n">
        <v>56</v>
      </c>
      <c r="B76" s="195" t="inlineStr">
        <is>
          <t xml:space="preserve">        Vidrio Templado 10 mm (m²)</t>
        </is>
      </c>
      <c r="C76" s="196" t="inlineStr">
        <is>
          <t>Comercial / Industrial</t>
        </is>
      </c>
      <c r="D76" s="194" t="inlineStr">
        <is>
          <t>Vidrio Templado</t>
        </is>
      </c>
      <c r="E76" s="194" t="inlineStr">
        <is>
          <t>m2</t>
        </is>
      </c>
      <c r="F76" s="197" t="n">
        <v>20</v>
      </c>
      <c r="G76" s="198" t="n">
        <v>64</v>
      </c>
      <c r="H76" s="198" t="n">
        <v>65.28</v>
      </c>
      <c r="I76" s="194" t="inlineStr">
        <is>
          <t>Megametales</t>
        </is>
      </c>
      <c r="J76" s="198" t="n">
        <v>69.12</v>
      </c>
      <c r="K76" s="194" t="inlineStr">
        <is>
          <t>Kywi / Megakywi</t>
        </is>
      </c>
      <c r="L76" s="199">
        <f>F76*G76</f>
        <v/>
      </c>
      <c r="M76" s="200" t="inlineStr">
        <is>
          <t>F-B20-PNV-VTP-10</t>
        </is>
      </c>
      <c r="N76" s="194" t="inlineStr">
        <is>
          <t>Fachadas y muros cortina</t>
        </is>
      </c>
      <c r="O76" s="194" t="inlineStr">
        <is>
          <t>Estimado DION · criterio de mercado Guayaquil 2026 (no verificado en tienda)</t>
        </is>
      </c>
      <c r="P76" s="194" t="inlineStr">
        <is>
          <t>oct-2026 (est.)</t>
        </is>
      </c>
      <c r="Q76" s="194" t="n"/>
    </row>
    <row r="77">
      <c r="A77" s="18" t="n">
        <v>57</v>
      </c>
      <c r="B77" s="19" t="inlineStr">
        <is>
          <t xml:space="preserve">        Vidrio Laminado 6+6 mm PVB (m²)</t>
        </is>
      </c>
      <c r="C77" s="20" t="inlineStr">
        <is>
          <t>Comercial / Industrial</t>
        </is>
      </c>
      <c r="D77" s="18" t="inlineStr">
        <is>
          <t>Vidrio Laminado</t>
        </is>
      </c>
      <c r="E77" s="18" t="inlineStr">
        <is>
          <t>m2</t>
        </is>
      </c>
      <c r="F77" s="21" t="n">
        <v>20</v>
      </c>
      <c r="G77" s="22" t="n">
        <v>85</v>
      </c>
      <c r="H77" s="22" t="n">
        <v>86.7</v>
      </c>
      <c r="I77" s="18" t="inlineStr">
        <is>
          <t>Megametales</t>
        </is>
      </c>
      <c r="J77" s="22" t="n">
        <v>90.95</v>
      </c>
      <c r="K77" s="18" t="inlineStr">
        <is>
          <t>Kywi / Megakywi</t>
        </is>
      </c>
      <c r="L77" s="8">
        <f>F77*G77</f>
        <v/>
      </c>
      <c r="M77" s="145" t="inlineStr">
        <is>
          <t>F-B20-PNV-VLM-0606</t>
        </is>
      </c>
      <c r="N77" s="18" t="inlineStr">
        <is>
          <t>Fachadas y muros cortina</t>
        </is>
      </c>
      <c r="O77" s="18" t="inlineStr">
        <is>
          <t>Estimado DION · criterio de mercado Guayaquil 2026 (no verificado en tienda)</t>
        </is>
      </c>
      <c r="P77" s="18" t="inlineStr">
        <is>
          <t>oct-2026 (est.)</t>
        </is>
      </c>
      <c r="Q77" s="18" t="n">
        <v>3</v>
      </c>
    </row>
    <row r="78">
      <c r="A78" s="194" t="n">
        <v>58</v>
      </c>
      <c r="B78" s="195" t="inlineStr">
        <is>
          <t xml:space="preserve">        Vidrio Laminado 8+8 mm (Barandas) (m²)</t>
        </is>
      </c>
      <c r="C78" s="196" t="inlineStr">
        <is>
          <t>Comercial / Industrial</t>
        </is>
      </c>
      <c r="D78" s="194" t="inlineStr">
        <is>
          <t>Vidrio Laminado</t>
        </is>
      </c>
      <c r="E78" s="194" t="inlineStr">
        <is>
          <t>m2</t>
        </is>
      </c>
      <c r="F78" s="197" t="n">
        <v>20</v>
      </c>
      <c r="G78" s="198" t="n">
        <v>115</v>
      </c>
      <c r="H78" s="198" t="n">
        <v>119.6</v>
      </c>
      <c r="I78" s="194" t="inlineStr">
        <is>
          <t>Megametales</t>
        </is>
      </c>
      <c r="J78" s="198" t="n">
        <v>125.35</v>
      </c>
      <c r="K78" s="194" t="inlineStr">
        <is>
          <t>Kywi / Megakywi</t>
        </is>
      </c>
      <c r="L78" s="199">
        <f>F78*G78</f>
        <v/>
      </c>
      <c r="M78" s="200" t="inlineStr">
        <is>
          <t>F-B20-PNV-VLM-0808</t>
        </is>
      </c>
      <c r="N78" s="194" t="inlineStr">
        <is>
          <t>Fachadas y muros cortina</t>
        </is>
      </c>
      <c r="O78" s="194" t="inlineStr">
        <is>
          <t>Estimado DION · criterio de mercado Guayaquil 2026 (no verificado en tienda)</t>
        </is>
      </c>
      <c r="P78" s="194" t="inlineStr">
        <is>
          <t>oct-2026 (est.)</t>
        </is>
      </c>
      <c r="Q78" s="194" t="n">
        <v>3</v>
      </c>
    </row>
    <row r="79">
      <c r="A79" s="18" t="n">
        <v>59</v>
      </c>
      <c r="B79" s="19" t="inlineStr">
        <is>
          <t xml:space="preserve">        Vidrio Doble Hermético DVH 6/12/6 (m²)</t>
        </is>
      </c>
      <c r="C79" s="20" t="inlineStr">
        <is>
          <t>Comercial / Industrial</t>
        </is>
      </c>
      <c r="D79" s="18" t="inlineStr">
        <is>
          <t>Vidrio DVH</t>
        </is>
      </c>
      <c r="E79" s="18" t="inlineStr">
        <is>
          <t>m2</t>
        </is>
      </c>
      <c r="F79" s="21" t="n">
        <v>20</v>
      </c>
      <c r="G79" s="22" t="n">
        <v>98</v>
      </c>
      <c r="H79" s="22" t="n">
        <v>101.92</v>
      </c>
      <c r="I79" s="18" t="inlineStr">
        <is>
          <t>Megametales</t>
        </is>
      </c>
      <c r="J79" s="22" t="n">
        <v>106.82</v>
      </c>
      <c r="K79" s="18" t="inlineStr">
        <is>
          <t>Kywi / Megakywi</t>
        </is>
      </c>
      <c r="L79" s="8">
        <f>F79*G79</f>
        <v/>
      </c>
      <c r="M79" s="145" t="inlineStr">
        <is>
          <t>F-B20-PNV-DVH-6126</t>
        </is>
      </c>
      <c r="N79" s="18" t="inlineStr">
        <is>
          <t>Fachadas y muros cortina</t>
        </is>
      </c>
      <c r="O79" s="18" t="inlineStr">
        <is>
          <t>Estimado DION · criterio de mercado Guayaquil 2026 (no verificado en tienda)</t>
        </is>
      </c>
      <c r="P79" s="18" t="inlineStr">
        <is>
          <t>oct-2026 (est.)</t>
        </is>
      </c>
      <c r="Q79" s="18" t="n">
        <v>3</v>
      </c>
    </row>
    <row r="80">
      <c r="A80" s="194" t="n">
        <v>60</v>
      </c>
      <c r="B80" s="195" t="inlineStr">
        <is>
          <t xml:space="preserve">        Vidrio Reflectivo 6 mm (m²)</t>
        </is>
      </c>
      <c r="C80" s="196" t="inlineStr">
        <is>
          <t>Comercial / Industrial</t>
        </is>
      </c>
      <c r="D80" s="194" t="inlineStr">
        <is>
          <t>Vidrio Reflectivo</t>
        </is>
      </c>
      <c r="E80" s="194" t="inlineStr">
        <is>
          <t>m2</t>
        </is>
      </c>
      <c r="F80" s="197" t="n">
        <v>20</v>
      </c>
      <c r="G80" s="198" t="n">
        <v>38</v>
      </c>
      <c r="H80" s="198" t="n">
        <v>38.76</v>
      </c>
      <c r="I80" s="194" t="inlineStr">
        <is>
          <t>Megametales</t>
        </is>
      </c>
      <c r="J80" s="198" t="n">
        <v>41.42</v>
      </c>
      <c r="K80" s="194" t="inlineStr">
        <is>
          <t>Kywi / Megakywi</t>
        </is>
      </c>
      <c r="L80" s="199">
        <f>F80*G80</f>
        <v/>
      </c>
      <c r="M80" s="200" t="inlineStr">
        <is>
          <t>F-B20-PNV-REF-06</t>
        </is>
      </c>
      <c r="N80" s="194" t="inlineStr">
        <is>
          <t>Fachadas y muros cortina</t>
        </is>
      </c>
      <c r="O80" s="194" t="inlineStr">
        <is>
          <t>Estimado DION · criterio de mercado Guayaquil 2026 (no verificado en tienda)</t>
        </is>
      </c>
      <c r="P80" s="194" t="inlineStr">
        <is>
          <t>oct-2026 (est.)</t>
        </is>
      </c>
      <c r="Q80" s="194" t="n">
        <v>8</v>
      </c>
    </row>
    <row r="81">
      <c r="A81" s="18" t="n">
        <v>61</v>
      </c>
      <c r="B81" s="19" t="inlineStr">
        <is>
          <t xml:space="preserve">        Vidrio Low-E Laminado 6+6 (m²)</t>
        </is>
      </c>
      <c r="C81" s="20" t="inlineStr">
        <is>
          <t>Comercial / Industrial</t>
        </is>
      </c>
      <c r="D81" s="18" t="inlineStr">
        <is>
          <t>Vidrio Low-E</t>
        </is>
      </c>
      <c r="E81" s="18" t="inlineStr">
        <is>
          <t>m2</t>
        </is>
      </c>
      <c r="F81" s="21" t="n">
        <v>20</v>
      </c>
      <c r="G81" s="22" t="n">
        <v>120</v>
      </c>
      <c r="H81" s="22" t="n">
        <v>126</v>
      </c>
      <c r="I81" s="18" t="inlineStr">
        <is>
          <t>Megametales</t>
        </is>
      </c>
      <c r="J81" s="22" t="n">
        <v>128.4</v>
      </c>
      <c r="K81" s="18" t="inlineStr">
        <is>
          <t>Kywi / Megakywi</t>
        </is>
      </c>
      <c r="L81" s="8">
        <f>F81*G81</f>
        <v/>
      </c>
      <c r="M81" s="145" t="inlineStr">
        <is>
          <t>F-B20-PNV-LOW-0606</t>
        </is>
      </c>
      <c r="N81" s="18" t="inlineStr">
        <is>
          <t>Fachadas y muros cortina</t>
        </is>
      </c>
      <c r="O81" s="18" t="inlineStr">
        <is>
          <t>Estimado DION · criterio de mercado Guayaquil 2026 (no verificado en tienda)</t>
        </is>
      </c>
      <c r="P81" s="18" t="inlineStr">
        <is>
          <t>oct-2026 (est.)</t>
        </is>
      </c>
      <c r="Q81" s="18" t="n">
        <v>3</v>
      </c>
    </row>
    <row r="82">
      <c r="A82" s="194" t="n">
        <v>62</v>
      </c>
      <c r="B82" s="195" t="inlineStr">
        <is>
          <t xml:space="preserve">        Vidrio Serigrafiado / Esmerilado 6 mm (m²)</t>
        </is>
      </c>
      <c r="C82" s="196" t="inlineStr">
        <is>
          <t>Residencial / Comercial</t>
        </is>
      </c>
      <c r="D82" s="194" t="inlineStr">
        <is>
          <t>Vidrio Decorativo</t>
        </is>
      </c>
      <c r="E82" s="194" t="inlineStr">
        <is>
          <t>m2</t>
        </is>
      </c>
      <c r="F82" s="197" t="n">
        <v>20</v>
      </c>
      <c r="G82" s="198" t="n">
        <v>58</v>
      </c>
      <c r="H82" s="198" t="n">
        <v>59.16</v>
      </c>
      <c r="I82" s="194" t="inlineStr">
        <is>
          <t>Megametales</t>
        </is>
      </c>
      <c r="J82" s="198" t="n">
        <v>63.22</v>
      </c>
      <c r="K82" s="194" t="inlineStr">
        <is>
          <t>Kywi / Megakywi</t>
        </is>
      </c>
      <c r="L82" s="199">
        <f>F82*G82</f>
        <v/>
      </c>
      <c r="M82" s="200" t="inlineStr">
        <is>
          <t>F-B20-PNV-SER-06</t>
        </is>
      </c>
      <c r="N82" s="194" t="inlineStr">
        <is>
          <t>Fachadas y muros cortina</t>
        </is>
      </c>
      <c r="O82" s="194" t="inlineStr">
        <is>
          <t>Estimado DION · criterio de mercado Guayaquil 2026 (no verificado en tienda)</t>
        </is>
      </c>
      <c r="P82" s="194" t="inlineStr">
        <is>
          <t>oct-2026 (est.)</t>
        </is>
      </c>
      <c r="Q82" s="194" t="n">
        <v>3</v>
      </c>
    </row>
    <row r="83">
      <c r="A83" s="18" t="n">
        <v>63</v>
      </c>
      <c r="B83" s="19" t="inlineStr">
        <is>
          <t xml:space="preserve">        Vidrio Catedral / Sandblasting 6 mm (m²)</t>
        </is>
      </c>
      <c r="C83" s="20" t="inlineStr">
        <is>
          <t>Residencial / Comercial</t>
        </is>
      </c>
      <c r="D83" s="18" t="inlineStr">
        <is>
          <t>Vidrio Decorativo</t>
        </is>
      </c>
      <c r="E83" s="18" t="inlineStr">
        <is>
          <t>m2</t>
        </is>
      </c>
      <c r="F83" s="21" t="n">
        <v>20</v>
      </c>
      <c r="G83" s="22" t="n">
        <v>34</v>
      </c>
      <c r="H83" s="22" t="n">
        <v>35.36</v>
      </c>
      <c r="I83" s="18" t="inlineStr">
        <is>
          <t>Megametales</t>
        </is>
      </c>
      <c r="J83" s="22" t="n">
        <v>36.38</v>
      </c>
      <c r="K83" s="18" t="inlineStr">
        <is>
          <t>Kywi / Megakywi</t>
        </is>
      </c>
      <c r="L83" s="8">
        <f>F83*G83</f>
        <v/>
      </c>
      <c r="M83" s="145" t="inlineStr">
        <is>
          <t>F-B20-PNV-ESM-06</t>
        </is>
      </c>
      <c r="N83" s="18" t="inlineStr">
        <is>
          <t>Fachadas y muros cortina</t>
        </is>
      </c>
      <c r="O83" s="18" t="inlineStr">
        <is>
          <t>Estimado DION · criterio de mercado Guayaquil 2026 (no verificado en tienda)</t>
        </is>
      </c>
      <c r="P83" s="18" t="inlineStr">
        <is>
          <t>oct-2026 (est.)</t>
        </is>
      </c>
      <c r="Q83" s="18" t="n">
        <v>5</v>
      </c>
    </row>
    <row r="84">
      <c r="A84" s="194" t="n">
        <v>64</v>
      </c>
      <c r="B84" s="195" t="inlineStr">
        <is>
          <t xml:space="preserve">        Muro Cortina Stick System (m², instalado)</t>
        </is>
      </c>
      <c r="C84" s="196" t="inlineStr">
        <is>
          <t>Comercial</t>
        </is>
      </c>
      <c r="D84" s="194" t="inlineStr">
        <is>
          <t>Muro Cortina</t>
        </is>
      </c>
      <c r="E84" s="194" t="inlineStr">
        <is>
          <t>m2</t>
        </is>
      </c>
      <c r="F84" s="197" t="n">
        <v>20</v>
      </c>
      <c r="G84" s="198" t="n">
        <v>210</v>
      </c>
      <c r="H84" s="198" t="n">
        <v>214.2</v>
      </c>
      <c r="I84" s="194" t="inlineStr">
        <is>
          <t>Megametales</t>
        </is>
      </c>
      <c r="J84" s="198" t="n">
        <v>224.7</v>
      </c>
      <c r="K84" s="194" t="inlineStr">
        <is>
          <t>Kywi / Megakywi</t>
        </is>
      </c>
      <c r="L84" s="199">
        <f>F84*G84</f>
        <v/>
      </c>
      <c r="M84" s="200" t="inlineStr">
        <is>
          <t>F-B20-MRC-STK-150X300</t>
        </is>
      </c>
      <c r="N84" s="194" t="inlineStr">
        <is>
          <t>Fachadas y muros cortina</t>
        </is>
      </c>
      <c r="O84" s="194" t="inlineStr">
        <is>
          <t>Estimado DION · criterio de mercado Guayaquil 2026 (no verificado en tienda)</t>
        </is>
      </c>
      <c r="P84" s="194" t="inlineStr">
        <is>
          <t>oct-2026 (est.)</t>
        </is>
      </c>
      <c r="Q84" s="194" t="n"/>
    </row>
    <row r="85">
      <c r="A85" s="18" t="n">
        <v>65</v>
      </c>
      <c r="B85" s="19" t="inlineStr">
        <is>
          <t xml:space="preserve">        Muro Cortina Structural Glazing (m², instalado)</t>
        </is>
      </c>
      <c r="C85" s="20" t="inlineStr">
        <is>
          <t>Comercial</t>
        </is>
      </c>
      <c r="D85" s="18" t="inlineStr">
        <is>
          <t>Muro Cortina</t>
        </is>
      </c>
      <c r="E85" s="18" t="inlineStr">
        <is>
          <t>m2</t>
        </is>
      </c>
      <c r="F85" s="21" t="n">
        <v>20</v>
      </c>
      <c r="G85" s="22" t="n">
        <v>265</v>
      </c>
      <c r="H85" s="22" t="n">
        <v>270.3</v>
      </c>
      <c r="I85" s="18" t="inlineStr">
        <is>
          <t>Megametales</t>
        </is>
      </c>
      <c r="J85" s="22" t="n">
        <v>291.5</v>
      </c>
      <c r="K85" s="18" t="inlineStr">
        <is>
          <t>Kywi / Megakywi</t>
        </is>
      </c>
      <c r="L85" s="8">
        <f>F85*G85</f>
        <v/>
      </c>
      <c r="M85" s="145" t="inlineStr">
        <is>
          <t>F-B20-MRC-STK-SSG</t>
        </is>
      </c>
      <c r="N85" s="18" t="inlineStr">
        <is>
          <t>Fachadas y muros cortina</t>
        </is>
      </c>
      <c r="O85" s="18" t="inlineStr">
        <is>
          <t>Estimado DION · criterio de mercado Guayaquil 2026 (no verificado en tienda)</t>
        </is>
      </c>
      <c r="P85" s="18" t="inlineStr">
        <is>
          <t>oct-2026 (est.)</t>
        </is>
      </c>
      <c r="Q85" s="18" t="n"/>
    </row>
    <row r="86">
      <c r="A86" s="194" t="n">
        <v>66</v>
      </c>
      <c r="B86" s="195" t="inlineStr">
        <is>
          <t xml:space="preserve">        Fachada Spider / Arañas Acero Inox (m², instalado)</t>
        </is>
      </c>
      <c r="C86" s="196" t="inlineStr">
        <is>
          <t>Comercial</t>
        </is>
      </c>
      <c r="D86" s="194" t="inlineStr">
        <is>
          <t>Fachada Spider</t>
        </is>
      </c>
      <c r="E86" s="194" t="inlineStr">
        <is>
          <t>m2</t>
        </is>
      </c>
      <c r="F86" s="197" t="n">
        <v>20</v>
      </c>
      <c r="G86" s="198" t="n">
        <v>340</v>
      </c>
      <c r="H86" s="198" t="n">
        <v>357</v>
      </c>
      <c r="I86" s="194" t="inlineStr">
        <is>
          <t>Megametales</t>
        </is>
      </c>
      <c r="J86" s="198" t="n">
        <v>370.6</v>
      </c>
      <c r="K86" s="194" t="inlineStr">
        <is>
          <t>Kywi / Megakywi</t>
        </is>
      </c>
      <c r="L86" s="199">
        <f>F86*G86</f>
        <v/>
      </c>
      <c r="M86" s="200" t="inlineStr">
        <is>
          <t>F-B20-MRC-SPI-150X150</t>
        </is>
      </c>
      <c r="N86" s="194" t="inlineStr">
        <is>
          <t>Fachadas y muros cortina</t>
        </is>
      </c>
      <c r="O86" s="194" t="inlineStr">
        <is>
          <t>Estimado DION · criterio de mercado Guayaquil 2026 (no verificado en tienda)</t>
        </is>
      </c>
      <c r="P86" s="194" t="inlineStr">
        <is>
          <t>oct-2026 (est.)</t>
        </is>
      </c>
      <c r="Q86" s="194" t="n"/>
    </row>
    <row r="87">
      <c r="A87" s="18" t="n">
        <v>67</v>
      </c>
      <c r="B87" s="19" t="inlineStr">
        <is>
          <t xml:space="preserve">        Panel Compuesto de Aluminio ACM 4 mm (m², instalado)</t>
        </is>
      </c>
      <c r="C87" s="20" t="inlineStr">
        <is>
          <t>Comercial</t>
        </is>
      </c>
      <c r="D87" s="18" t="inlineStr">
        <is>
          <t>Paneles ACM</t>
        </is>
      </c>
      <c r="E87" s="18" t="inlineStr">
        <is>
          <t>m2</t>
        </is>
      </c>
      <c r="F87" s="21" t="n">
        <v>20</v>
      </c>
      <c r="G87" s="22" t="n">
        <v>68</v>
      </c>
      <c r="H87" s="22" t="n">
        <v>70.04000000000001</v>
      </c>
      <c r="I87" s="18" t="inlineStr">
        <is>
          <t>Megametales</t>
        </is>
      </c>
      <c r="J87" s="22" t="n">
        <v>72.76000000000001</v>
      </c>
      <c r="K87" s="18" t="inlineStr">
        <is>
          <t>Kywi / Megakywi</t>
        </is>
      </c>
      <c r="L87" s="8">
        <f>F87*G87</f>
        <v/>
      </c>
      <c r="M87" s="145" t="inlineStr">
        <is>
          <t>F-B20-PNO-ACM-04</t>
        </is>
      </c>
      <c r="N87" s="18" t="inlineStr">
        <is>
          <t>Fachadas y muros cortina</t>
        </is>
      </c>
      <c r="O87" s="18" t="inlineStr">
        <is>
          <t>Estimado DION · criterio de mercado Guayaquil 2026 (no verificado en tienda)</t>
        </is>
      </c>
      <c r="P87" s="18" t="inlineStr">
        <is>
          <t>oct-2026 (est.)</t>
        </is>
      </c>
      <c r="Q87" s="18" t="n"/>
    </row>
    <row r="88">
      <c r="A88" s="194" t="n">
        <v>68</v>
      </c>
      <c r="B88" s="195" t="inlineStr">
        <is>
          <t xml:space="preserve">        Quiebrasol de Aluminio Horizontal 150 mm (m²)</t>
        </is>
      </c>
      <c r="C88" s="196" t="inlineStr">
        <is>
          <t>Comercial</t>
        </is>
      </c>
      <c r="D88" s="194" t="inlineStr">
        <is>
          <t>Quiebrasoles</t>
        </is>
      </c>
      <c r="E88" s="194" t="inlineStr">
        <is>
          <t>m2</t>
        </is>
      </c>
      <c r="F88" s="197" t="n">
        <v>20</v>
      </c>
      <c r="G88" s="198" t="n">
        <v>115</v>
      </c>
      <c r="H88" s="198" t="n">
        <v>117.3</v>
      </c>
      <c r="I88" s="194" t="inlineStr">
        <is>
          <t>Megametales</t>
        </is>
      </c>
      <c r="J88" s="198" t="n">
        <v>126.5</v>
      </c>
      <c r="K88" s="194" t="inlineStr">
        <is>
          <t>Kywi / Megakywi</t>
        </is>
      </c>
      <c r="L88" s="199">
        <f>F88*G88</f>
        <v/>
      </c>
      <c r="M88" s="200" t="inlineStr">
        <is>
          <t>F-B20-LOU-ALM-H-150</t>
        </is>
      </c>
      <c r="N88" s="194" t="inlineStr">
        <is>
          <t>Fachadas y muros cortina</t>
        </is>
      </c>
      <c r="O88" s="194" t="inlineStr">
        <is>
          <t>Estimado DION · criterio de mercado Guayaquil 2026 (no verificado en tienda)</t>
        </is>
      </c>
      <c r="P88" s="194" t="inlineStr">
        <is>
          <t>oct-2026 (est.)</t>
        </is>
      </c>
      <c r="Q88" s="194" t="n"/>
    </row>
    <row r="89">
      <c r="A89" s="18" t="n">
        <v>69</v>
      </c>
      <c r="B89" s="19" t="inlineStr">
        <is>
          <t xml:space="preserve">        Baranda de Vidrio Laminado con Pasamano Aluminio h=100 (m)</t>
        </is>
      </c>
      <c r="C89" s="20" t="inlineStr">
        <is>
          <t>Residencial / Comercial</t>
        </is>
      </c>
      <c r="D89" s="18" t="inlineStr">
        <is>
          <t>Barandas Vidrio</t>
        </is>
      </c>
      <c r="E89" s="18" t="inlineStr">
        <is>
          <t>m2</t>
        </is>
      </c>
      <c r="F89" s="21" t="n">
        <v>20</v>
      </c>
      <c r="G89" s="22" t="n">
        <v>185</v>
      </c>
      <c r="H89" s="22" t="n">
        <v>192.4</v>
      </c>
      <c r="I89" s="18" t="inlineStr">
        <is>
          <t>Megametales</t>
        </is>
      </c>
      <c r="J89" s="22" t="n">
        <v>199.8</v>
      </c>
      <c r="K89" s="18" t="inlineStr">
        <is>
          <t>Kywi / Megakywi</t>
        </is>
      </c>
      <c r="L89" s="8">
        <f>F89*G89</f>
        <v/>
      </c>
      <c r="M89" s="145" t="inlineStr">
        <is>
          <t>A-C20-BAR-ALM-VLM-100</t>
        </is>
      </c>
      <c r="N89" s="18" t="inlineStr">
        <is>
          <t>Arquitectura</t>
        </is>
      </c>
      <c r="O89" s="18" t="inlineStr">
        <is>
          <t>Estimado DION · criterio de mercado Guayaquil 2026 (no verificado en tienda)</t>
        </is>
      </c>
      <c r="P89" s="18" t="inlineStr">
        <is>
          <t>oct-2026 (est.)</t>
        </is>
      </c>
      <c r="Q89" s="18" t="n"/>
    </row>
    <row r="90">
      <c r="A90" s="10" t="n"/>
      <c r="B90" s="147" t="inlineStr">
        <is>
          <t>TOTAL BASE DE DATOS CARPINTERÍA ALUMINIO Y VIDRIO (ESTIMADO)</t>
        </is>
      </c>
      <c r="C90" s="148" t="n"/>
      <c r="D90" s="148" t="n"/>
      <c r="E90" s="148" t="n"/>
      <c r="F90" s="148" t="n"/>
      <c r="G90" s="148" t="n"/>
      <c r="H90" s="148" t="n"/>
      <c r="I90" s="148" t="n"/>
      <c r="J90" s="148" t="n"/>
      <c r="K90" s="148" t="n"/>
      <c r="L90" s="30">
        <f>SUM(L6:L89)</f>
        <v/>
      </c>
      <c r="M90" s="30" t="n"/>
      <c r="N90" s="30" t="n"/>
      <c r="O90" s="30" t="n"/>
      <c r="P90" s="30" t="n"/>
      <c r="Q90" s="30" t="n"/>
    </row>
  </sheetData>
  <mergeCells count="16">
    <mergeCell ref="A8:Q8"/>
    <mergeCell ref="A6:Q6"/>
    <mergeCell ref="A22:Q22"/>
    <mergeCell ref="A58:Q58"/>
    <mergeCell ref="A56:Q56"/>
    <mergeCell ref="A70:Q70"/>
    <mergeCell ref="A71:Q71"/>
    <mergeCell ref="A21:Q21"/>
    <mergeCell ref="A34:Q34"/>
    <mergeCell ref="A69:Q69"/>
    <mergeCell ref="A7:Q7"/>
    <mergeCell ref="A57:Q57"/>
    <mergeCell ref="A33:Q33"/>
    <mergeCell ref="B90:K90"/>
    <mergeCell ref="A23:Q23"/>
    <mergeCell ref="A32:Q32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7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8" customWidth="1" min="2" max="2"/>
    <col width="30" customWidth="1" min="3" max="3"/>
    <col width="32" customWidth="1" min="4" max="4"/>
    <col width="8" customWidth="1" min="5" max="5"/>
    <col width="10" customWidth="1" min="6" max="6"/>
    <col width="15" customWidth="1" min="7" max="7"/>
    <col width="16" customWidth="1" min="8" max="8"/>
    <col width="22" customWidth="1" min="9" max="9"/>
    <col width="16" customWidth="1" min="10" max="10"/>
    <col width="20" customWidth="1" min="11" max="11"/>
    <col width="16" customWidth="1" min="12" max="12"/>
    <col width="27" customWidth="1" min="13" max="13"/>
    <col width="30" customWidth="1" min="14" max="14"/>
    <col width="44" customWidth="1" min="15" max="15"/>
    <col width="15" customWidth="1" min="16" max="16"/>
    <col width="14" customWidth="1" min="17" max="17"/>
  </cols>
  <sheetData>
    <row r="1">
      <c r="A1" s="1" t="inlineStr">
        <is>
          <t>BASE DE DATOS COMPLETA DE CATALOGACIÓN: CARPINTERÍA METÁLICA</t>
        </is>
      </c>
    </row>
    <row r="2">
      <c r="A2" s="2" t="inlineStr">
        <is>
          <t>Estructura Jerárquica Homogénea: Accesorios &gt; Tuberías &gt; Equipos &gt; Conexiones &gt; Equipos Especializados | Degradé por Niveles (Ecuador - USD)</t>
        </is>
      </c>
    </row>
    <row r="3">
      <c r="A3" s="13" t="inlineStr">
        <is>
          <t>« Volver al Índice General</t>
        </is>
      </c>
    </row>
    <row r="5" ht="30" customHeight="1">
      <c r="A5" s="4" t="inlineStr">
        <is>
          <t>Item</t>
        </is>
      </c>
      <c r="B5" s="4" t="inlineStr">
        <is>
          <t>Descripción de Accesorio / Ítem Especificado</t>
        </is>
      </c>
      <c r="C5" s="4" t="inlineStr">
        <is>
          <t>Clasificación / Ámbito de Uso
(Residencial/Comercial/Industrial)</t>
        </is>
      </c>
      <c r="D5" s="4" t="inlineStr">
        <is>
          <t>Tipo / Familia</t>
        </is>
      </c>
      <c r="E5" s="4" t="inlineStr">
        <is>
          <t>Unidad</t>
        </is>
      </c>
      <c r="F5" s="4" t="inlineStr">
        <is>
          <t>Cant.</t>
        </is>
      </c>
      <c r="G5" s="4" t="inlineStr">
        <is>
          <t>P. Ref. Est. ($)</t>
        </is>
      </c>
      <c r="H5" s="4" t="inlineStr">
        <is>
          <t>P. Unit. Local A ($)
(Megametales)</t>
        </is>
      </c>
      <c r="I5" s="4" t="inlineStr">
        <is>
          <t>Local A
Especificado</t>
        </is>
      </c>
      <c r="J5" s="4" t="inlineStr">
        <is>
          <t>P. Unit. Local B ($)
(Kywi / Megakywi)</t>
        </is>
      </c>
      <c r="K5" s="4" t="inlineStr">
        <is>
          <t>Local B
Especificado</t>
        </is>
      </c>
      <c r="L5" s="4" t="inlineStr">
        <is>
          <t>Subtotal Est. ($)</t>
        </is>
      </c>
      <c r="M5" s="4" t="inlineStr">
        <is>
          <t>Código DION</t>
        </is>
      </c>
      <c r="N5" s="4" t="inlineStr">
        <is>
          <t>Disciplina</t>
        </is>
      </c>
      <c r="O5" s="4" t="inlineStr">
        <is>
          <t>Fuente del precio</t>
        </is>
      </c>
      <c r="P5" s="4" t="inlineStr">
        <is>
          <t>Fecha precio</t>
        </is>
      </c>
      <c r="Q5" s="4" t="inlineStr">
        <is>
          <t>Rendimiento /
desperdicio %</t>
        </is>
      </c>
    </row>
    <row r="6">
      <c r="A6" s="201" t="inlineStr">
        <is>
          <t>ACCESORIOS</t>
        </is>
      </c>
      <c r="B6" s="143" t="n"/>
      <c r="C6" s="143" t="n"/>
      <c r="D6" s="143" t="n"/>
      <c r="E6" s="143" t="n"/>
      <c r="F6" s="143" t="n"/>
      <c r="G6" s="143" t="n"/>
      <c r="H6" s="143" t="n"/>
      <c r="I6" s="143" t="n"/>
      <c r="J6" s="143" t="n"/>
      <c r="K6" s="143" t="n"/>
      <c r="L6" s="143" t="n"/>
      <c r="M6" s="143" t="n"/>
      <c r="N6" s="143" t="n"/>
      <c r="O6" s="143" t="n"/>
      <c r="P6" s="143" t="n"/>
      <c r="Q6" s="144" t="n"/>
    </row>
    <row r="7">
      <c r="A7" s="202" t="inlineStr">
        <is>
          <t xml:space="preserve">  ► CATEGORÍA: CERRAJERÍA Y HERRAJES</t>
        </is>
      </c>
      <c r="B7" s="143" t="n"/>
      <c r="C7" s="143" t="n"/>
      <c r="D7" s="143" t="n"/>
      <c r="E7" s="143" t="n"/>
      <c r="F7" s="143" t="n"/>
      <c r="G7" s="143" t="n"/>
      <c r="H7" s="143" t="n"/>
      <c r="I7" s="143" t="n"/>
      <c r="J7" s="143" t="n"/>
      <c r="K7" s="143" t="n"/>
      <c r="L7" s="143" t="n"/>
      <c r="M7" s="143" t="n"/>
      <c r="N7" s="143" t="n"/>
      <c r="O7" s="143" t="n"/>
      <c r="P7" s="143" t="n"/>
      <c r="Q7" s="144" t="n"/>
    </row>
    <row r="8">
      <c r="A8" s="203" t="inlineStr">
        <is>
          <t xml:space="preserve">      • Subcategoría Especificada: Cerraduras, Bisagras, Pasadores, Cierrapuertas y Barras Antipánico</t>
        </is>
      </c>
      <c r="B8" s="143" t="n"/>
      <c r="C8" s="143" t="n"/>
      <c r="D8" s="143" t="n"/>
      <c r="E8" s="143" t="n"/>
      <c r="F8" s="143" t="n"/>
      <c r="G8" s="143" t="n"/>
      <c r="H8" s="143" t="n"/>
      <c r="I8" s="143" t="n"/>
      <c r="J8" s="143" t="n"/>
      <c r="K8" s="143" t="n"/>
      <c r="L8" s="143" t="n"/>
      <c r="M8" s="143" t="n"/>
      <c r="N8" s="143" t="n"/>
      <c r="O8" s="143" t="n"/>
      <c r="P8" s="143" t="n"/>
      <c r="Q8" s="144" t="n"/>
    </row>
    <row r="9">
      <c r="A9" s="18" t="n">
        <v>1</v>
      </c>
      <c r="B9" s="19" t="inlineStr">
        <is>
          <t xml:space="preserve">        Cerradura de Sobreponer / Llave-Llave para Puerta Metálica</t>
        </is>
      </c>
      <c r="C9" s="20" t="inlineStr">
        <is>
          <t>Residencial / Comercial</t>
        </is>
      </c>
      <c r="D9" s="18" t="inlineStr">
        <is>
          <t>Cerraduras</t>
        </is>
      </c>
      <c r="E9" s="18" t="inlineStr">
        <is>
          <t>U</t>
        </is>
      </c>
      <c r="F9" s="21" t="n">
        <v>4</v>
      </c>
      <c r="G9" s="22" t="n">
        <v>24</v>
      </c>
      <c r="H9" s="22" t="n">
        <v>24.72</v>
      </c>
      <c r="I9" s="18" t="inlineStr">
        <is>
          <t>Megametales</t>
        </is>
      </c>
      <c r="J9" s="22" t="n">
        <v>25.92</v>
      </c>
      <c r="K9" s="18" t="inlineStr">
        <is>
          <t>Kywi / Megakywi</t>
        </is>
      </c>
      <c r="L9" s="8">
        <f>F9*G9</f>
        <v/>
      </c>
      <c r="M9" s="145" t="inlineStr">
        <is>
          <t>A-B20-HRM-CER-LLA</t>
        </is>
      </c>
      <c r="N9" s="18" t="inlineStr">
        <is>
          <t>Arquitectura</t>
        </is>
      </c>
      <c r="O9" s="18" t="inlineStr">
        <is>
          <t>Estimado DION · criterio de mercado Guayaquil 2026 (no verificado en tienda)</t>
        </is>
      </c>
      <c r="P9" s="18" t="inlineStr">
        <is>
          <t>oct-2026 (est.)</t>
        </is>
      </c>
      <c r="Q9" s="18" t="n"/>
    </row>
    <row r="10">
      <c r="A10" s="204" t="n">
        <v>2</v>
      </c>
      <c r="B10" s="205" t="inlineStr">
        <is>
          <t xml:space="preserve">        Cerradura de Pomo Acero Inox Baño/Dormitorio</t>
        </is>
      </c>
      <c r="C10" s="206" t="inlineStr">
        <is>
          <t>Residencial / Comercial</t>
        </is>
      </c>
      <c r="D10" s="204" t="inlineStr">
        <is>
          <t>Cerraduras</t>
        </is>
      </c>
      <c r="E10" s="204" t="inlineStr">
        <is>
          <t>U</t>
        </is>
      </c>
      <c r="F10" s="207" t="n">
        <v>6</v>
      </c>
      <c r="G10" s="208" t="n">
        <v>14</v>
      </c>
      <c r="H10" s="208" t="n">
        <v>14.7</v>
      </c>
      <c r="I10" s="204" t="inlineStr">
        <is>
          <t>Megametales</t>
        </is>
      </c>
      <c r="J10" s="208" t="n">
        <v>15.4</v>
      </c>
      <c r="K10" s="204" t="inlineStr">
        <is>
          <t>Kywi / Megakywi</t>
        </is>
      </c>
      <c r="L10" s="209">
        <f>F10*G10</f>
        <v/>
      </c>
      <c r="M10" s="210" t="inlineStr">
        <is>
          <t>A-B20-HRM-CER-POM</t>
        </is>
      </c>
      <c r="N10" s="204" t="inlineStr">
        <is>
          <t>Arquitectura</t>
        </is>
      </c>
      <c r="O10" s="204" t="inlineStr">
        <is>
          <t>Estimado DION · criterio de mercado Guayaquil 2026 (no verificado en tienda)</t>
        </is>
      </c>
      <c r="P10" s="204" t="inlineStr">
        <is>
          <t>oct-2026 (est.)</t>
        </is>
      </c>
      <c r="Q10" s="204" t="n"/>
    </row>
    <row r="11">
      <c r="A11" s="18" t="n">
        <v>3</v>
      </c>
      <c r="B11" s="19" t="inlineStr">
        <is>
          <t xml:space="preserve">        Cerradura de Manija Tipo Palanca Acero Inox (Accesible)</t>
        </is>
      </c>
      <c r="C11" s="20" t="inlineStr">
        <is>
          <t>Residencial / Comercial</t>
        </is>
      </c>
      <c r="D11" s="18" t="inlineStr">
        <is>
          <t>Cerraduras</t>
        </is>
      </c>
      <c r="E11" s="18" t="inlineStr">
        <is>
          <t>U</t>
        </is>
      </c>
      <c r="F11" s="21" t="n">
        <v>6</v>
      </c>
      <c r="G11" s="22" t="n">
        <v>32</v>
      </c>
      <c r="H11" s="22" t="n">
        <v>33.6</v>
      </c>
      <c r="I11" s="18" t="inlineStr">
        <is>
          <t>Megametales</t>
        </is>
      </c>
      <c r="J11" s="22" t="n">
        <v>35.2</v>
      </c>
      <c r="K11" s="18" t="inlineStr">
        <is>
          <t>Kywi / Megakywi</t>
        </is>
      </c>
      <c r="L11" s="8">
        <f>F11*G11</f>
        <v/>
      </c>
      <c r="M11" s="145" t="inlineStr">
        <is>
          <t>A-B20-HRM-CER-MAN</t>
        </is>
      </c>
      <c r="N11" s="18" t="inlineStr">
        <is>
          <t>Arquitectura</t>
        </is>
      </c>
      <c r="O11" s="18" t="inlineStr">
        <is>
          <t>Estimado DION · criterio de mercado Guayaquil 2026 (no verificado en tienda)</t>
        </is>
      </c>
      <c r="P11" s="18" t="inlineStr">
        <is>
          <t>oct-2026 (est.)</t>
        </is>
      </c>
      <c r="Q11" s="18" t="n"/>
    </row>
    <row r="12">
      <c r="A12" s="204" t="n">
        <v>4</v>
      </c>
      <c r="B12" s="205" t="inlineStr">
        <is>
          <t xml:space="preserve">        Cerradura Eléctrica 12V para Puerta Peatonal</t>
        </is>
      </c>
      <c r="C12" s="206" t="inlineStr">
        <is>
          <t>Residencial / Comercial</t>
        </is>
      </c>
      <c r="D12" s="204" t="inlineStr">
        <is>
          <t>Cerraduras</t>
        </is>
      </c>
      <c r="E12" s="204" t="inlineStr">
        <is>
          <t>U</t>
        </is>
      </c>
      <c r="F12" s="207" t="n">
        <v>1</v>
      </c>
      <c r="G12" s="208" t="n">
        <v>48</v>
      </c>
      <c r="H12" s="208" t="n">
        <v>49.92</v>
      </c>
      <c r="I12" s="204" t="inlineStr">
        <is>
          <t>Megametales</t>
        </is>
      </c>
      <c r="J12" s="208" t="n">
        <v>51.84</v>
      </c>
      <c r="K12" s="204" t="inlineStr">
        <is>
          <t>Kywi / Megakywi</t>
        </is>
      </c>
      <c r="L12" s="209">
        <f>F12*G12</f>
        <v/>
      </c>
      <c r="M12" s="210" t="inlineStr">
        <is>
          <t>A-B20-HRM-CER-ELE</t>
        </is>
      </c>
      <c r="N12" s="204" t="inlineStr">
        <is>
          <t>Arquitectura</t>
        </is>
      </c>
      <c r="O12" s="204" t="inlineStr">
        <is>
          <t>Estimado DION · criterio de mercado Guayaquil 2026 (no verificado en tienda)</t>
        </is>
      </c>
      <c r="P12" s="204" t="inlineStr">
        <is>
          <t>oct-2026 (est.)</t>
        </is>
      </c>
      <c r="Q12" s="204" t="n"/>
    </row>
    <row r="13">
      <c r="A13" s="18" t="n">
        <v>5</v>
      </c>
      <c r="B13" s="19" t="inlineStr">
        <is>
          <t xml:space="preserve">        Cerradura Digital Biométrica/Clave</t>
        </is>
      </c>
      <c r="C13" s="20" t="inlineStr">
        <is>
          <t>Residencial / Comercial</t>
        </is>
      </c>
      <c r="D13" s="18" t="inlineStr">
        <is>
          <t>Cerraduras</t>
        </is>
      </c>
      <c r="E13" s="18" t="inlineStr">
        <is>
          <t>U</t>
        </is>
      </c>
      <c r="F13" s="21" t="n">
        <v>1</v>
      </c>
      <c r="G13" s="22" t="n">
        <v>185</v>
      </c>
      <c r="H13" s="22" t="n">
        <v>194.25</v>
      </c>
      <c r="I13" s="18" t="inlineStr">
        <is>
          <t>Megametales</t>
        </is>
      </c>
      <c r="J13" s="22" t="n">
        <v>205.35</v>
      </c>
      <c r="K13" s="18" t="inlineStr">
        <is>
          <t>Kywi / Megakywi</t>
        </is>
      </c>
      <c r="L13" s="8">
        <f>F13*G13</f>
        <v/>
      </c>
      <c r="M13" s="145" t="inlineStr">
        <is>
          <t>A-B20-HRM-CER-DIG</t>
        </is>
      </c>
      <c r="N13" s="18" t="inlineStr">
        <is>
          <t>Arquitectura</t>
        </is>
      </c>
      <c r="O13" s="18" t="inlineStr">
        <is>
          <t>Estimado DION · criterio de mercado Guayaquil 2026 (no verificado en tienda)</t>
        </is>
      </c>
      <c r="P13" s="18" t="inlineStr">
        <is>
          <t>oct-2026 (est.)</t>
        </is>
      </c>
      <c r="Q13" s="18" t="n"/>
    </row>
    <row r="14">
      <c r="A14" s="204" t="n">
        <v>6</v>
      </c>
      <c r="B14" s="205" t="inlineStr">
        <is>
          <t xml:space="preserve">        Candado Acero Laminado 50 mm</t>
        </is>
      </c>
      <c r="C14" s="206" t="inlineStr">
        <is>
          <t>Residencial / Comercial</t>
        </is>
      </c>
      <c r="D14" s="204" t="inlineStr">
        <is>
          <t>Candados</t>
        </is>
      </c>
      <c r="E14" s="204" t="inlineStr">
        <is>
          <t>U</t>
        </is>
      </c>
      <c r="F14" s="207" t="n">
        <v>2</v>
      </c>
      <c r="G14" s="208" t="n">
        <v>12</v>
      </c>
      <c r="H14" s="208" t="n">
        <v>12.6</v>
      </c>
      <c r="I14" s="204" t="inlineStr">
        <is>
          <t>Megametales</t>
        </is>
      </c>
      <c r="J14" s="208" t="n">
        <v>12.96</v>
      </c>
      <c r="K14" s="204" t="inlineStr">
        <is>
          <t>Kywi / Megakywi</t>
        </is>
      </c>
      <c r="L14" s="209">
        <f>F14*G14</f>
        <v/>
      </c>
      <c r="M14" s="210" t="inlineStr">
        <is>
          <t>A-B20-HRM-CAN</t>
        </is>
      </c>
      <c r="N14" s="204" t="inlineStr">
        <is>
          <t>Arquitectura</t>
        </is>
      </c>
      <c r="O14" s="204" t="inlineStr">
        <is>
          <t>Estimado DION · criterio de mercado Guayaquil 2026 (no verificado en tienda)</t>
        </is>
      </c>
      <c r="P14" s="204" t="inlineStr">
        <is>
          <t>oct-2026 (est.)</t>
        </is>
      </c>
      <c r="Q14" s="204" t="n"/>
    </row>
    <row r="15">
      <c r="A15" s="18" t="n">
        <v>7</v>
      </c>
      <c r="B15" s="19" t="inlineStr">
        <is>
          <t xml:space="preserve">        Bisagra Acero Inox 4x4" (Par)</t>
        </is>
      </c>
      <c r="C15" s="20" t="inlineStr">
        <is>
          <t>Residencial / Comercial</t>
        </is>
      </c>
      <c r="D15" s="18" t="inlineStr">
        <is>
          <t>Bisagras</t>
        </is>
      </c>
      <c r="E15" s="18" t="inlineStr">
        <is>
          <t>U</t>
        </is>
      </c>
      <c r="F15" s="21" t="n">
        <v>4</v>
      </c>
      <c r="G15" s="22" t="n">
        <v>6.5</v>
      </c>
      <c r="H15" s="22" t="n">
        <v>6.76</v>
      </c>
      <c r="I15" s="18" t="inlineStr">
        <is>
          <t>Megametales</t>
        </is>
      </c>
      <c r="J15" s="22" t="n">
        <v>7.02</v>
      </c>
      <c r="K15" s="18" t="inlineStr">
        <is>
          <t>Kywi / Megakywi</t>
        </is>
      </c>
      <c r="L15" s="8">
        <f>F15*G15</f>
        <v/>
      </c>
      <c r="M15" s="145" t="inlineStr">
        <is>
          <t>A-B20-HRM-BIS-4X4</t>
        </is>
      </c>
      <c r="N15" s="18" t="inlineStr">
        <is>
          <t>Arquitectura</t>
        </is>
      </c>
      <c r="O15" s="18" t="inlineStr">
        <is>
          <t>Estimado DION · criterio de mercado Guayaquil 2026 (no verificado en tienda)</t>
        </is>
      </c>
      <c r="P15" s="18" t="inlineStr">
        <is>
          <t>oct-2026 (est.)</t>
        </is>
      </c>
      <c r="Q15" s="18" t="n"/>
    </row>
    <row r="16">
      <c r="A16" s="204" t="n">
        <v>8</v>
      </c>
      <c r="B16" s="205" t="inlineStr">
        <is>
          <t xml:space="preserve">        Bisagra Pesada de Pivote / Tubo para Portón (Par)</t>
        </is>
      </c>
      <c r="C16" s="206" t="inlineStr">
        <is>
          <t>Residencial / Comercial</t>
        </is>
      </c>
      <c r="D16" s="204" t="inlineStr">
        <is>
          <t>Bisagras</t>
        </is>
      </c>
      <c r="E16" s="204" t="inlineStr">
        <is>
          <t>U</t>
        </is>
      </c>
      <c r="F16" s="207" t="n">
        <v>2</v>
      </c>
      <c r="G16" s="208" t="n">
        <v>14</v>
      </c>
      <c r="H16" s="208" t="n">
        <v>14.7</v>
      </c>
      <c r="I16" s="204" t="inlineStr">
        <is>
          <t>Megametales</t>
        </is>
      </c>
      <c r="J16" s="208" t="n">
        <v>15.12</v>
      </c>
      <c r="K16" s="204" t="inlineStr">
        <is>
          <t>Kywi / Megakywi</t>
        </is>
      </c>
      <c r="L16" s="209">
        <f>F16*G16</f>
        <v/>
      </c>
      <c r="M16" s="210" t="inlineStr">
        <is>
          <t>A-B20-HRM-BIS-PES</t>
        </is>
      </c>
      <c r="N16" s="204" t="inlineStr">
        <is>
          <t>Arquitectura</t>
        </is>
      </c>
      <c r="O16" s="204" t="inlineStr">
        <is>
          <t>Estimado DION · criterio de mercado Guayaquil 2026 (no verificado en tienda)</t>
        </is>
      </c>
      <c r="P16" s="204" t="inlineStr">
        <is>
          <t>oct-2026 (est.)</t>
        </is>
      </c>
      <c r="Q16" s="204" t="n"/>
    </row>
    <row r="17">
      <c r="A17" s="18" t="n">
        <v>9</v>
      </c>
      <c r="B17" s="19" t="inlineStr">
        <is>
          <t xml:space="preserve">        Pasador / Picaporte de Acero 6"</t>
        </is>
      </c>
      <c r="C17" s="20" t="inlineStr">
        <is>
          <t>Residencial / Comercial</t>
        </is>
      </c>
      <c r="D17" s="18" t="inlineStr">
        <is>
          <t>Pasadores</t>
        </is>
      </c>
      <c r="E17" s="18" t="inlineStr">
        <is>
          <t>U</t>
        </is>
      </c>
      <c r="F17" s="21" t="n">
        <v>4</v>
      </c>
      <c r="G17" s="22" t="n">
        <v>3.5</v>
      </c>
      <c r="H17" s="22" t="n">
        <v>3.6</v>
      </c>
      <c r="I17" s="18" t="inlineStr">
        <is>
          <t>Megametales</t>
        </is>
      </c>
      <c r="J17" s="22" t="n">
        <v>3.75</v>
      </c>
      <c r="K17" s="18" t="inlineStr">
        <is>
          <t>Kywi / Megakywi</t>
        </is>
      </c>
      <c r="L17" s="8">
        <f>F17*G17</f>
        <v/>
      </c>
      <c r="M17" s="145" t="inlineStr">
        <is>
          <t>A-B20-HRM-PAS</t>
        </is>
      </c>
      <c r="N17" s="18" t="inlineStr">
        <is>
          <t>Arquitectura</t>
        </is>
      </c>
      <c r="O17" s="18" t="inlineStr">
        <is>
          <t>Estimado DION · criterio de mercado Guayaquil 2026 (no verificado en tienda)</t>
        </is>
      </c>
      <c r="P17" s="18" t="inlineStr">
        <is>
          <t>oct-2026 (est.)</t>
        </is>
      </c>
      <c r="Q17" s="18" t="n"/>
    </row>
    <row r="18">
      <c r="A18" s="204" t="n">
        <v>10</v>
      </c>
      <c r="B18" s="205" t="inlineStr">
        <is>
          <t xml:space="preserve">        Cierrapuertas Hidráulico Aéreo Grado 2</t>
        </is>
      </c>
      <c r="C18" s="206" t="inlineStr">
        <is>
          <t>Comercial / Industrial</t>
        </is>
      </c>
      <c r="D18" s="204" t="inlineStr">
        <is>
          <t>Cierrapuertas</t>
        </is>
      </c>
      <c r="E18" s="204" t="inlineStr">
        <is>
          <t>U</t>
        </is>
      </c>
      <c r="F18" s="207" t="n">
        <v>2</v>
      </c>
      <c r="G18" s="208" t="n">
        <v>58</v>
      </c>
      <c r="H18" s="208" t="n">
        <v>60.9</v>
      </c>
      <c r="I18" s="204" t="inlineStr">
        <is>
          <t>Megametales</t>
        </is>
      </c>
      <c r="J18" s="208" t="n">
        <v>62.06</v>
      </c>
      <c r="K18" s="204" t="inlineStr">
        <is>
          <t>Kywi / Megakywi</t>
        </is>
      </c>
      <c r="L18" s="209">
        <f>F18*G18</f>
        <v/>
      </c>
      <c r="M18" s="210" t="inlineStr">
        <is>
          <t>A-B20-HRM-CIE-HID</t>
        </is>
      </c>
      <c r="N18" s="204" t="inlineStr">
        <is>
          <t>Arquitectura</t>
        </is>
      </c>
      <c r="O18" s="204" t="inlineStr">
        <is>
          <t>Estimado DION · criterio de mercado Guayaquil 2026 (no verificado en tienda)</t>
        </is>
      </c>
      <c r="P18" s="204" t="inlineStr">
        <is>
          <t>oct-2026 (est.)</t>
        </is>
      </c>
      <c r="Q18" s="204" t="n"/>
    </row>
    <row r="19">
      <c r="A19" s="18" t="n">
        <v>11</v>
      </c>
      <c r="B19" s="19" t="inlineStr">
        <is>
          <t xml:space="preserve">        Barra Antipánico Push Bar (Puerta Emergencia)</t>
        </is>
      </c>
      <c r="C19" s="20" t="inlineStr">
        <is>
          <t>Comercial / Industrial</t>
        </is>
      </c>
      <c r="D19" s="18" t="inlineStr">
        <is>
          <t>Antipánico</t>
        </is>
      </c>
      <c r="E19" s="18" t="inlineStr">
        <is>
          <t>U</t>
        </is>
      </c>
      <c r="F19" s="21" t="n">
        <v>1</v>
      </c>
      <c r="G19" s="22" t="n">
        <v>165</v>
      </c>
      <c r="H19" s="22" t="n">
        <v>173.25</v>
      </c>
      <c r="I19" s="18" t="inlineStr">
        <is>
          <t>Megametales</t>
        </is>
      </c>
      <c r="J19" s="22" t="n">
        <v>178.2</v>
      </c>
      <c r="K19" s="18" t="inlineStr">
        <is>
          <t>Kywi / Megakywi</t>
        </is>
      </c>
      <c r="L19" s="8">
        <f>F19*G19</f>
        <v/>
      </c>
      <c r="M19" s="145" t="inlineStr">
        <is>
          <t>A-B20-HRM-BAP</t>
        </is>
      </c>
      <c r="N19" s="18" t="inlineStr">
        <is>
          <t>Arquitectura</t>
        </is>
      </c>
      <c r="O19" s="18" t="inlineStr">
        <is>
          <t>Estimado DION · criterio de mercado Guayaquil 2026 (no verificado en tienda)</t>
        </is>
      </c>
      <c r="P19" s="18" t="inlineStr">
        <is>
          <t>oct-2026 (est.)</t>
        </is>
      </c>
      <c r="Q19" s="18" t="n"/>
    </row>
    <row r="20">
      <c r="A20" s="204" t="n">
        <v>12</v>
      </c>
      <c r="B20" s="205" t="inlineStr">
        <is>
          <t xml:space="preserve">        Tope de Puerta Acero Inox</t>
        </is>
      </c>
      <c r="C20" s="206" t="inlineStr">
        <is>
          <t>Residencial / Comercial</t>
        </is>
      </c>
      <c r="D20" s="204" t="inlineStr">
        <is>
          <t>Topes</t>
        </is>
      </c>
      <c r="E20" s="204" t="inlineStr">
        <is>
          <t>U</t>
        </is>
      </c>
      <c r="F20" s="207" t="n">
        <v>6</v>
      </c>
      <c r="G20" s="208" t="n">
        <v>4.5</v>
      </c>
      <c r="H20" s="208" t="n">
        <v>4.63</v>
      </c>
      <c r="I20" s="204" t="inlineStr">
        <is>
          <t>Megametales</t>
        </is>
      </c>
      <c r="J20" s="208" t="n">
        <v>5</v>
      </c>
      <c r="K20" s="204" t="inlineStr">
        <is>
          <t>Kywi / Megakywi</t>
        </is>
      </c>
      <c r="L20" s="209">
        <f>F20*G20</f>
        <v/>
      </c>
      <c r="M20" s="210" t="inlineStr">
        <is>
          <t>A-B20-HRM-TOP</t>
        </is>
      </c>
      <c r="N20" s="204" t="inlineStr">
        <is>
          <t>Arquitectura</t>
        </is>
      </c>
      <c r="O20" s="204" t="inlineStr">
        <is>
          <t>Estimado DION · criterio de mercado Guayaquil 2026 (no verificado en tienda)</t>
        </is>
      </c>
      <c r="P20" s="204" t="inlineStr">
        <is>
          <t>oct-2026 (est.)</t>
        </is>
      </c>
      <c r="Q20" s="204" t="n"/>
    </row>
    <row r="21">
      <c r="A21" s="18" t="n">
        <v>13</v>
      </c>
      <c r="B21" s="19" t="inlineStr">
        <is>
          <t xml:space="preserve">        Riel y Rodamientos para Portón Corredizo (Juego 6 m)</t>
        </is>
      </c>
      <c r="C21" s="20" t="inlineStr">
        <is>
          <t>Residencial / Comercial</t>
        </is>
      </c>
      <c r="D21" s="18" t="inlineStr">
        <is>
          <t>Rieles Portón</t>
        </is>
      </c>
      <c r="E21" s="18" t="inlineStr">
        <is>
          <t>U</t>
        </is>
      </c>
      <c r="F21" s="21" t="n">
        <v>1</v>
      </c>
      <c r="G21" s="22" t="n">
        <v>145</v>
      </c>
      <c r="H21" s="22" t="n">
        <v>152.25</v>
      </c>
      <c r="I21" s="18" t="inlineStr">
        <is>
          <t>Megametales</t>
        </is>
      </c>
      <c r="J21" s="22" t="n">
        <v>160.95</v>
      </c>
      <c r="K21" s="18" t="inlineStr">
        <is>
          <t>Kywi / Megakywi</t>
        </is>
      </c>
      <c r="L21" s="8">
        <f>F21*G21</f>
        <v/>
      </c>
      <c r="M21" s="145" t="inlineStr">
        <is>
          <t>A-B20-HRM-RIE-POR</t>
        </is>
      </c>
      <c r="N21" s="18" t="inlineStr">
        <is>
          <t>Arquitectura</t>
        </is>
      </c>
      <c r="O21" s="18" t="inlineStr">
        <is>
          <t>Estimado DION · criterio de mercado Guayaquil 2026 (no verificado en tienda)</t>
        </is>
      </c>
      <c r="P21" s="18" t="inlineStr">
        <is>
          <t>oct-2026 (est.)</t>
        </is>
      </c>
      <c r="Q21" s="18" t="n"/>
    </row>
    <row r="22">
      <c r="A22" s="204" t="n">
        <v>14</v>
      </c>
      <c r="B22" s="205" t="inlineStr">
        <is>
          <t xml:space="preserve">        Motor para Portón Corredizo 600 kg</t>
        </is>
      </c>
      <c r="C22" s="206" t="inlineStr">
        <is>
          <t>Residencial / Comercial</t>
        </is>
      </c>
      <c r="D22" s="204" t="inlineStr">
        <is>
          <t>Motores Portón</t>
        </is>
      </c>
      <c r="E22" s="204" t="inlineStr">
        <is>
          <t>U</t>
        </is>
      </c>
      <c r="F22" s="207" t="n">
        <v>1</v>
      </c>
      <c r="G22" s="208" t="n">
        <v>480</v>
      </c>
      <c r="H22" s="208" t="n">
        <v>504</v>
      </c>
      <c r="I22" s="204" t="inlineStr">
        <is>
          <t>Megametales</t>
        </is>
      </c>
      <c r="J22" s="208" t="n">
        <v>532.8</v>
      </c>
      <c r="K22" s="204" t="inlineStr">
        <is>
          <t>Kywi / Megakywi</t>
        </is>
      </c>
      <c r="L22" s="209">
        <f>F22*G22</f>
        <v/>
      </c>
      <c r="M22" s="210" t="inlineStr">
        <is>
          <t>A-B20-HRM-MOT-POR</t>
        </is>
      </c>
      <c r="N22" s="204" t="inlineStr">
        <is>
          <t>Arquitectura</t>
        </is>
      </c>
      <c r="O22" s="204" t="inlineStr">
        <is>
          <t>Estimado DION · criterio de mercado Guayaquil 2026 (no verificado en tienda)</t>
        </is>
      </c>
      <c r="P22" s="204" t="inlineStr">
        <is>
          <t>oct-2026 (est.)</t>
        </is>
      </c>
      <c r="Q22" s="204" t="n"/>
    </row>
    <row r="23">
      <c r="A23" s="18" t="n">
        <v>15</v>
      </c>
      <c r="B23" s="19" t="inlineStr">
        <is>
          <t xml:space="preserve">        Motor para Puerta Enrollable 300 kg</t>
        </is>
      </c>
      <c r="C23" s="20" t="inlineStr">
        <is>
          <t>Comercial / Industrial</t>
        </is>
      </c>
      <c r="D23" s="18" t="inlineStr">
        <is>
          <t>Motores Enrollable</t>
        </is>
      </c>
      <c r="E23" s="18" t="inlineStr">
        <is>
          <t>U</t>
        </is>
      </c>
      <c r="F23" s="21" t="n">
        <v>0</v>
      </c>
      <c r="G23" s="22" t="n">
        <v>520</v>
      </c>
      <c r="H23" s="22" t="n">
        <v>546</v>
      </c>
      <c r="I23" s="18" t="inlineStr">
        <is>
          <t>Megametales</t>
        </is>
      </c>
      <c r="J23" s="22" t="n">
        <v>561.6</v>
      </c>
      <c r="K23" s="18" t="inlineStr">
        <is>
          <t>Kywi / Megakywi</t>
        </is>
      </c>
      <c r="L23" s="8">
        <f>F23*G23</f>
        <v/>
      </c>
      <c r="M23" s="145" t="inlineStr">
        <is>
          <t>A-B20-HRM-MOT-ENR</t>
        </is>
      </c>
      <c r="N23" s="18" t="inlineStr">
        <is>
          <t>Arquitectura</t>
        </is>
      </c>
      <c r="O23" s="18" t="inlineStr">
        <is>
          <t>Estimado DION · criterio de mercado Guayaquil 2026 (no verificado en tienda)</t>
        </is>
      </c>
      <c r="P23" s="18" t="inlineStr">
        <is>
          <t>oct-2026 (est.)</t>
        </is>
      </c>
      <c r="Q23" s="18" t="n"/>
    </row>
    <row r="24">
      <c r="A24" s="201" t="inlineStr">
        <is>
          <t>TUBERÍAS</t>
        </is>
      </c>
      <c r="B24" s="143" t="n"/>
      <c r="C24" s="143" t="n"/>
      <c r="D24" s="143" t="n"/>
      <c r="E24" s="143" t="n"/>
      <c r="F24" s="143" t="n"/>
      <c r="G24" s="143" t="n"/>
      <c r="H24" s="143" t="n"/>
      <c r="I24" s="143" t="n"/>
      <c r="J24" s="143" t="n"/>
      <c r="K24" s="143" t="n"/>
      <c r="L24" s="143" t="n"/>
      <c r="M24" s="143" t="n"/>
      <c r="N24" s="143" t="n"/>
      <c r="O24" s="143" t="n"/>
      <c r="P24" s="143" t="n"/>
      <c r="Q24" s="144" t="n"/>
    </row>
    <row r="25">
      <c r="A25" s="202" t="inlineStr">
        <is>
          <t xml:space="preserve">  ► CATEGORÍA: MATERIAL PARA CARPINTERÍA METÁLICA</t>
        </is>
      </c>
      <c r="B25" s="143" t="n"/>
      <c r="C25" s="143" t="n"/>
      <c r="D25" s="143" t="n"/>
      <c r="E25" s="143" t="n"/>
      <c r="F25" s="143" t="n"/>
      <c r="G25" s="143" t="n"/>
      <c r="H25" s="143" t="n"/>
      <c r="I25" s="143" t="n"/>
      <c r="J25" s="143" t="n"/>
      <c r="K25" s="143" t="n"/>
      <c r="L25" s="143" t="n"/>
      <c r="M25" s="143" t="n"/>
      <c r="N25" s="143" t="n"/>
      <c r="O25" s="143" t="n"/>
      <c r="P25" s="143" t="n"/>
      <c r="Q25" s="144" t="n"/>
    </row>
    <row r="26">
      <c r="A26" s="203" t="inlineStr">
        <is>
          <t xml:space="preserve">      • Subcategoría Especificada: Tubos, Ángulos, Platinas y Láminas Livianas</t>
        </is>
      </c>
      <c r="B26" s="143" t="n"/>
      <c r="C26" s="143" t="n"/>
      <c r="D26" s="143" t="n"/>
      <c r="E26" s="143" t="n"/>
      <c r="F26" s="143" t="n"/>
      <c r="G26" s="143" t="n"/>
      <c r="H26" s="143" t="n"/>
      <c r="I26" s="143" t="n"/>
      <c r="J26" s="143" t="n"/>
      <c r="K26" s="143" t="n"/>
      <c r="L26" s="143" t="n"/>
      <c r="M26" s="143" t="n"/>
      <c r="N26" s="143" t="n"/>
      <c r="O26" s="143" t="n"/>
      <c r="P26" s="143" t="n"/>
      <c r="Q26" s="144" t="n"/>
    </row>
    <row r="27">
      <c r="A27" s="204" t="n">
        <v>16</v>
      </c>
      <c r="B27" s="205" t="inlineStr">
        <is>
          <t xml:space="preserve">        Tubo Cuadrado 50x50x2 mm (6 m)</t>
        </is>
      </c>
      <c r="C27" s="206" t="inlineStr">
        <is>
          <t>Residencial / Comercial</t>
        </is>
      </c>
      <c r="D27" s="204" t="inlineStr">
        <is>
          <t>Tubos</t>
        </is>
      </c>
      <c r="E27" s="204" t="inlineStr">
        <is>
          <t>U</t>
        </is>
      </c>
      <c r="F27" s="207" t="n">
        <v>10</v>
      </c>
      <c r="G27" s="208" t="n">
        <v>22</v>
      </c>
      <c r="H27" s="208" t="n">
        <v>22.66</v>
      </c>
      <c r="I27" s="204" t="inlineStr">
        <is>
          <t>Megametales</t>
        </is>
      </c>
      <c r="J27" s="208" t="n">
        <v>24.42</v>
      </c>
      <c r="K27" s="204" t="inlineStr">
        <is>
          <t>Kywi / Megakywi</t>
        </is>
      </c>
      <c r="L27" s="209">
        <f>F27*G27</f>
        <v/>
      </c>
      <c r="M27" s="210" t="inlineStr">
        <is>
          <t>S-B10-TUB-CU-50X50X2</t>
        </is>
      </c>
      <c r="N27" s="204" t="inlineStr">
        <is>
          <t>Estructuras</t>
        </is>
      </c>
      <c r="O27" s="204" t="inlineStr">
        <is>
          <t>Estimado DION · criterio de mercado Guayaquil 2026 (no verificado en tienda)</t>
        </is>
      </c>
      <c r="P27" s="204" t="inlineStr">
        <is>
          <t>oct-2026 (est.)</t>
        </is>
      </c>
      <c r="Q27" s="204" t="n">
        <v>5</v>
      </c>
    </row>
    <row r="28">
      <c r="A28" s="18" t="n">
        <v>17</v>
      </c>
      <c r="B28" s="19" t="inlineStr">
        <is>
          <t xml:space="preserve">        Tubo Rectangular 40x20x2 mm (6 m)</t>
        </is>
      </c>
      <c r="C28" s="20" t="inlineStr">
        <is>
          <t>Residencial / Comercial</t>
        </is>
      </c>
      <c r="D28" s="18" t="inlineStr">
        <is>
          <t>Tubos</t>
        </is>
      </c>
      <c r="E28" s="18" t="inlineStr">
        <is>
          <t>U</t>
        </is>
      </c>
      <c r="F28" s="21" t="n">
        <v>10</v>
      </c>
      <c r="G28" s="22" t="n">
        <v>13</v>
      </c>
      <c r="H28" s="22" t="n">
        <v>13.26</v>
      </c>
      <c r="I28" s="18" t="inlineStr">
        <is>
          <t>Megametales</t>
        </is>
      </c>
      <c r="J28" s="22" t="n">
        <v>14.04</v>
      </c>
      <c r="K28" s="18" t="inlineStr">
        <is>
          <t>Kywi / Megakywi</t>
        </is>
      </c>
      <c r="L28" s="8">
        <f>F28*G28</f>
        <v/>
      </c>
      <c r="M28" s="145" t="inlineStr">
        <is>
          <t>S-B10-TUB-RE-40X20X2</t>
        </is>
      </c>
      <c r="N28" s="18" t="inlineStr">
        <is>
          <t>Estructuras</t>
        </is>
      </c>
      <c r="O28" s="18" t="inlineStr">
        <is>
          <t>Estimado DION · criterio de mercado Guayaquil 2026 (no verificado en tienda)</t>
        </is>
      </c>
      <c r="P28" s="18" t="inlineStr">
        <is>
          <t>oct-2026 (est.)</t>
        </is>
      </c>
      <c r="Q28" s="18" t="n">
        <v>5</v>
      </c>
    </row>
    <row r="29">
      <c r="A29" s="204" t="n">
        <v>18</v>
      </c>
      <c r="B29" s="205" t="inlineStr">
        <is>
          <t xml:space="preserve">        Ángulo 20x20x2 mm (6 m)</t>
        </is>
      </c>
      <c r="C29" s="206" t="inlineStr">
        <is>
          <t>Residencial / Comercial</t>
        </is>
      </c>
      <c r="D29" s="204" t="inlineStr">
        <is>
          <t>Ángulos</t>
        </is>
      </c>
      <c r="E29" s="204" t="inlineStr">
        <is>
          <t>U</t>
        </is>
      </c>
      <c r="F29" s="207" t="n">
        <v>10</v>
      </c>
      <c r="G29" s="208" t="n">
        <v>6.5</v>
      </c>
      <c r="H29" s="208" t="n">
        <v>6.63</v>
      </c>
      <c r="I29" s="204" t="inlineStr">
        <is>
          <t>Megametales</t>
        </is>
      </c>
      <c r="J29" s="208" t="n">
        <v>6.96</v>
      </c>
      <c r="K29" s="204" t="inlineStr">
        <is>
          <t>Kywi / Megakywi</t>
        </is>
      </c>
      <c r="L29" s="209">
        <f>F29*G29</f>
        <v/>
      </c>
      <c r="M29" s="210" t="inlineStr">
        <is>
          <t>S-B10-COR-L20X2</t>
        </is>
      </c>
      <c r="N29" s="204" t="inlineStr">
        <is>
          <t>Estructuras</t>
        </is>
      </c>
      <c r="O29" s="204" t="inlineStr">
        <is>
          <t>Estimado DION · criterio de mercado Guayaquil 2026 (no verificado en tienda)</t>
        </is>
      </c>
      <c r="P29" s="204" t="inlineStr">
        <is>
          <t>oct-2026 (est.)</t>
        </is>
      </c>
      <c r="Q29" s="204" t="n">
        <v>5</v>
      </c>
    </row>
    <row r="30">
      <c r="A30" s="18" t="n">
        <v>19</v>
      </c>
      <c r="B30" s="19" t="inlineStr">
        <is>
          <t xml:space="preserve">        Platina 25x3 mm (6 m)</t>
        </is>
      </c>
      <c r="C30" s="20" t="inlineStr">
        <is>
          <t>Residencial / Comercial</t>
        </is>
      </c>
      <c r="D30" s="18" t="inlineStr">
        <is>
          <t>Platinas</t>
        </is>
      </c>
      <c r="E30" s="18" t="inlineStr">
        <is>
          <t>U</t>
        </is>
      </c>
      <c r="F30" s="21" t="n">
        <v>10</v>
      </c>
      <c r="G30" s="22" t="n">
        <v>5.5</v>
      </c>
      <c r="H30" s="22" t="n">
        <v>5.78</v>
      </c>
      <c r="I30" s="18" t="inlineStr">
        <is>
          <t>Megametales</t>
        </is>
      </c>
      <c r="J30" s="22" t="n">
        <v>5.94</v>
      </c>
      <c r="K30" s="18" t="inlineStr">
        <is>
          <t>Kywi / Megakywi</t>
        </is>
      </c>
      <c r="L30" s="8">
        <f>F30*G30</f>
        <v/>
      </c>
      <c r="M30" s="145" t="inlineStr">
        <is>
          <t>S-B10-COR-PLT-25X3</t>
        </is>
      </c>
      <c r="N30" s="18" t="inlineStr">
        <is>
          <t>Estructuras</t>
        </is>
      </c>
      <c r="O30" s="18" t="inlineStr">
        <is>
          <t>Estimado DION · criterio de mercado Guayaquil 2026 (no verificado en tienda)</t>
        </is>
      </c>
      <c r="P30" s="18" t="inlineStr">
        <is>
          <t>oct-2026 (est.)</t>
        </is>
      </c>
      <c r="Q30" s="18" t="n">
        <v>5</v>
      </c>
    </row>
    <row r="31">
      <c r="A31" s="204" t="n">
        <v>20</v>
      </c>
      <c r="B31" s="205" t="inlineStr">
        <is>
          <t xml:space="preserve">        Tubo Cuadrado 25x25x1.5 mm (6 m)</t>
        </is>
      </c>
      <c r="C31" s="206" t="inlineStr">
        <is>
          <t>Residencial / Comercial</t>
        </is>
      </c>
      <c r="D31" s="204" t="inlineStr">
        <is>
          <t>Tubos</t>
        </is>
      </c>
      <c r="E31" s="204" t="inlineStr">
        <is>
          <t>U</t>
        </is>
      </c>
      <c r="F31" s="207" t="n">
        <v>10</v>
      </c>
      <c r="G31" s="208" t="n">
        <v>8.5</v>
      </c>
      <c r="H31" s="208" t="n">
        <v>8.76</v>
      </c>
      <c r="I31" s="204" t="inlineStr">
        <is>
          <t>Megametales</t>
        </is>
      </c>
      <c r="J31" s="208" t="n">
        <v>9.44</v>
      </c>
      <c r="K31" s="204" t="inlineStr">
        <is>
          <t>Kywi / Megakywi</t>
        </is>
      </c>
      <c r="L31" s="209">
        <f>F31*G31</f>
        <v/>
      </c>
      <c r="M31" s="210" t="inlineStr">
        <is>
          <t>S-B10-TUB-CU-25X25X1P5</t>
        </is>
      </c>
      <c r="N31" s="204" t="inlineStr">
        <is>
          <t>Estructuras</t>
        </is>
      </c>
      <c r="O31" s="204" t="inlineStr">
        <is>
          <t>Estimado DION · criterio de mercado Guayaquil 2026 (no verificado en tienda)</t>
        </is>
      </c>
      <c r="P31" s="204" t="inlineStr">
        <is>
          <t>oct-2026 (est.)</t>
        </is>
      </c>
      <c r="Q31" s="204" t="n">
        <v>5</v>
      </c>
    </row>
    <row r="32">
      <c r="A32" s="18" t="n">
        <v>21</v>
      </c>
      <c r="B32" s="19" t="inlineStr">
        <is>
          <t xml:space="preserve">        Tubo Redondo ½" e=1.5 mm (6 m)</t>
        </is>
      </c>
      <c r="C32" s="20" t="inlineStr">
        <is>
          <t>Residencial / Comercial</t>
        </is>
      </c>
      <c r="D32" s="18" t="inlineStr">
        <is>
          <t>Tubos</t>
        </is>
      </c>
      <c r="E32" s="18" t="inlineStr">
        <is>
          <t>U</t>
        </is>
      </c>
      <c r="F32" s="21" t="n">
        <v>10</v>
      </c>
      <c r="G32" s="22" t="n">
        <v>7</v>
      </c>
      <c r="H32" s="22" t="n">
        <v>7.35</v>
      </c>
      <c r="I32" s="18" t="inlineStr">
        <is>
          <t>Megametales</t>
        </is>
      </c>
      <c r="J32" s="22" t="n">
        <v>7.56</v>
      </c>
      <c r="K32" s="18" t="inlineStr">
        <is>
          <t>Kywi / Megakywi</t>
        </is>
      </c>
      <c r="L32" s="8">
        <f>F32*G32</f>
        <v/>
      </c>
      <c r="M32" s="145" t="inlineStr">
        <is>
          <t>S-B10-TUB-RD-DN15</t>
        </is>
      </c>
      <c r="N32" s="18" t="inlineStr">
        <is>
          <t>Estructuras</t>
        </is>
      </c>
      <c r="O32" s="18" t="inlineStr">
        <is>
          <t>Estimado DION · criterio de mercado Guayaquil 2026 (no verificado en tienda)</t>
        </is>
      </c>
      <c r="P32" s="18" t="inlineStr">
        <is>
          <t>oct-2026 (est.)</t>
        </is>
      </c>
      <c r="Q32" s="18" t="n">
        <v>5</v>
      </c>
    </row>
    <row r="33">
      <c r="A33" s="204" t="n">
        <v>22</v>
      </c>
      <c r="B33" s="205" t="inlineStr">
        <is>
          <t xml:space="preserve">        Plancha Laminada en Frío 0.9 mm 1.22x2.44 (Tol)</t>
        </is>
      </c>
      <c r="C33" s="206" t="inlineStr">
        <is>
          <t>Residencial / Comercial</t>
        </is>
      </c>
      <c r="D33" s="204" t="inlineStr">
        <is>
          <t>Planchas</t>
        </is>
      </c>
      <c r="E33" s="204" t="inlineStr">
        <is>
          <t>U</t>
        </is>
      </c>
      <c r="F33" s="207" t="n">
        <v>10</v>
      </c>
      <c r="G33" s="208" t="n">
        <v>29</v>
      </c>
      <c r="H33" s="208" t="n">
        <v>30.16</v>
      </c>
      <c r="I33" s="204" t="inlineStr">
        <is>
          <t>Megametales</t>
        </is>
      </c>
      <c r="J33" s="208" t="n">
        <v>31.9</v>
      </c>
      <c r="K33" s="204" t="inlineStr">
        <is>
          <t>Kywi / Megakywi</t>
        </is>
      </c>
      <c r="L33" s="209">
        <f>F33*G33</f>
        <v/>
      </c>
      <c r="M33" s="210" t="inlineStr">
        <is>
          <t>S-B10-PLN-A36-0P9</t>
        </is>
      </c>
      <c r="N33" s="204" t="inlineStr">
        <is>
          <t>Estructuras</t>
        </is>
      </c>
      <c r="O33" s="204" t="inlineStr">
        <is>
          <t>Estimado DION · criterio de mercado Guayaquil 2026 (no verificado en tienda)</t>
        </is>
      </c>
      <c r="P33" s="204" t="inlineStr">
        <is>
          <t>oct-2026 (est.)</t>
        </is>
      </c>
      <c r="Q33" s="204" t="n">
        <v>5</v>
      </c>
    </row>
    <row r="34">
      <c r="A34" s="18" t="n">
        <v>23</v>
      </c>
      <c r="B34" s="19" t="inlineStr">
        <is>
          <t xml:space="preserve">        Plancha Perforada / Malla Desplegada 1.22x2.44</t>
        </is>
      </c>
      <c r="C34" s="20" t="inlineStr">
        <is>
          <t>Residencial / Comercial</t>
        </is>
      </c>
      <c r="D34" s="18" t="inlineStr">
        <is>
          <t>Mallas Metálicas</t>
        </is>
      </c>
      <c r="E34" s="18" t="inlineStr">
        <is>
          <t>U</t>
        </is>
      </c>
      <c r="F34" s="21" t="n">
        <v>10</v>
      </c>
      <c r="G34" s="22" t="n">
        <v>48</v>
      </c>
      <c r="H34" s="22" t="n">
        <v>48.96</v>
      </c>
      <c r="I34" s="18" t="inlineStr">
        <is>
          <t>Megametales</t>
        </is>
      </c>
      <c r="J34" s="22" t="n">
        <v>52.32</v>
      </c>
      <c r="K34" s="18" t="inlineStr">
        <is>
          <t>Kywi / Megakywi</t>
        </is>
      </c>
      <c r="L34" s="8">
        <f>F34*G34</f>
        <v/>
      </c>
      <c r="M34" s="145" t="inlineStr">
        <is>
          <t>S-B10-PLN-PER</t>
        </is>
      </c>
      <c r="N34" s="18" t="inlineStr">
        <is>
          <t>Estructuras</t>
        </is>
      </c>
      <c r="O34" s="18" t="inlineStr">
        <is>
          <t>Estimado DION · criterio de mercado Guayaquil 2026 (no verificado en tienda)</t>
        </is>
      </c>
      <c r="P34" s="18" t="inlineStr">
        <is>
          <t>oct-2026 (est.)</t>
        </is>
      </c>
      <c r="Q34" s="18" t="n">
        <v>5</v>
      </c>
    </row>
    <row r="35">
      <c r="A35" s="204" t="n">
        <v>24</v>
      </c>
      <c r="B35" s="205" t="inlineStr">
        <is>
          <t xml:space="preserve">        Varilla Cuadrada Lisa 12 mm (6 m)</t>
        </is>
      </c>
      <c r="C35" s="206" t="inlineStr">
        <is>
          <t>Residencial / Comercial</t>
        </is>
      </c>
      <c r="D35" s="204" t="inlineStr">
        <is>
          <t>Varillas</t>
        </is>
      </c>
      <c r="E35" s="204" t="inlineStr">
        <is>
          <t>U</t>
        </is>
      </c>
      <c r="F35" s="207" t="n">
        <v>10</v>
      </c>
      <c r="G35" s="208" t="n">
        <v>7.5</v>
      </c>
      <c r="H35" s="208" t="n">
        <v>7.65</v>
      </c>
      <c r="I35" s="204" t="inlineStr">
        <is>
          <t>Megametales</t>
        </is>
      </c>
      <c r="J35" s="208" t="n">
        <v>8.1</v>
      </c>
      <c r="K35" s="204" t="inlineStr">
        <is>
          <t>Kywi / Megakywi</t>
        </is>
      </c>
      <c r="L35" s="209">
        <f>F35*G35</f>
        <v/>
      </c>
      <c r="M35" s="210" t="inlineStr">
        <is>
          <t>S-B10-COR-VAR-12</t>
        </is>
      </c>
      <c r="N35" s="204" t="inlineStr">
        <is>
          <t>Estructuras</t>
        </is>
      </c>
      <c r="O35" s="204" t="inlineStr">
        <is>
          <t>Estimado DION · criterio de mercado Guayaquil 2026 (no verificado en tienda)</t>
        </is>
      </c>
      <c r="P35" s="204" t="inlineStr">
        <is>
          <t>oct-2026 (est.)</t>
        </is>
      </c>
      <c r="Q35" s="204" t="n">
        <v>5</v>
      </c>
    </row>
    <row r="36">
      <c r="A36" s="201" t="inlineStr">
        <is>
          <t>EQUIPOS</t>
        </is>
      </c>
      <c r="B36" s="143" t="n"/>
      <c r="C36" s="143" t="n"/>
      <c r="D36" s="143" t="n"/>
      <c r="E36" s="143" t="n"/>
      <c r="F36" s="143" t="n"/>
      <c r="G36" s="143" t="n"/>
      <c r="H36" s="143" t="n"/>
      <c r="I36" s="143" t="n"/>
      <c r="J36" s="143" t="n"/>
      <c r="K36" s="143" t="n"/>
      <c r="L36" s="143" t="n"/>
      <c r="M36" s="143" t="n"/>
      <c r="N36" s="143" t="n"/>
      <c r="O36" s="143" t="n"/>
      <c r="P36" s="143" t="n"/>
      <c r="Q36" s="144" t="n"/>
    </row>
    <row r="37">
      <c r="A37" s="202" t="inlineStr">
        <is>
          <t xml:space="preserve">  ► CATEGORÍA: PUERTAS METÁLICAS Y CORTAFUEGO (INSTALADAS)</t>
        </is>
      </c>
      <c r="B37" s="143" t="n"/>
      <c r="C37" s="143" t="n"/>
      <c r="D37" s="143" t="n"/>
      <c r="E37" s="143" t="n"/>
      <c r="F37" s="143" t="n"/>
      <c r="G37" s="143" t="n"/>
      <c r="H37" s="143" t="n"/>
      <c r="I37" s="143" t="n"/>
      <c r="J37" s="143" t="n"/>
      <c r="K37" s="143" t="n"/>
      <c r="L37" s="143" t="n"/>
      <c r="M37" s="143" t="n"/>
      <c r="N37" s="143" t="n"/>
      <c r="O37" s="143" t="n"/>
      <c r="P37" s="143" t="n"/>
      <c r="Q37" s="144" t="n"/>
    </row>
    <row r="38">
      <c r="A38" s="203" t="inlineStr">
        <is>
          <t xml:space="preserve">      • Subcategoría Especificada: Por Tipo y Tamaño</t>
        </is>
      </c>
      <c r="B38" s="143" t="n"/>
      <c r="C38" s="143" t="n"/>
      <c r="D38" s="143" t="n"/>
      <c r="E38" s="143" t="n"/>
      <c r="F38" s="143" t="n"/>
      <c r="G38" s="143" t="n"/>
      <c r="H38" s="143" t="n"/>
      <c r="I38" s="143" t="n"/>
      <c r="J38" s="143" t="n"/>
      <c r="K38" s="143" t="n"/>
      <c r="L38" s="143" t="n"/>
      <c r="M38" s="143" t="n"/>
      <c r="N38" s="143" t="n"/>
      <c r="O38" s="143" t="n"/>
      <c r="P38" s="143" t="n"/>
      <c r="Q38" s="144" t="n"/>
    </row>
    <row r="39">
      <c r="A39" s="18" t="n">
        <v>25</v>
      </c>
      <c r="B39" s="19" t="inlineStr">
        <is>
          <t xml:space="preserve">        Puerta Metálica Tol Doblado Batiente 90x210 cm</t>
        </is>
      </c>
      <c r="C39" s="20" t="inlineStr">
        <is>
          <t>Residencial / Comercial</t>
        </is>
      </c>
      <c r="D39" s="18" t="inlineStr">
        <is>
          <t>Puertas Metálicas</t>
        </is>
      </c>
      <c r="E39" s="18" t="inlineStr">
        <is>
          <t>U</t>
        </is>
      </c>
      <c r="F39" s="21" t="n">
        <v>1</v>
      </c>
      <c r="G39" s="22" t="n">
        <v>245</v>
      </c>
      <c r="H39" s="22" t="n">
        <v>257.25</v>
      </c>
      <c r="I39" s="18" t="inlineStr">
        <is>
          <t>Megametales</t>
        </is>
      </c>
      <c r="J39" s="22" t="n">
        <v>267.05</v>
      </c>
      <c r="K39" s="18" t="inlineStr">
        <is>
          <t>Kywi / Megakywi</t>
        </is>
      </c>
      <c r="L39" s="8">
        <f>F39*G39</f>
        <v/>
      </c>
      <c r="M39" s="145" t="inlineStr">
        <is>
          <t>A-B20-PUE-BAT-ACE-090X210</t>
        </is>
      </c>
      <c r="N39" s="18" t="inlineStr">
        <is>
          <t>Arquitectura</t>
        </is>
      </c>
      <c r="O39" s="18" t="inlineStr">
        <is>
          <t>Estimado DION · criterio de mercado Guayaquil 2026 (no verificado en tienda)</t>
        </is>
      </c>
      <c r="P39" s="18" t="inlineStr">
        <is>
          <t>oct-2026 (est.)</t>
        </is>
      </c>
      <c r="Q39" s="18" t="n"/>
    </row>
    <row r="40">
      <c r="A40" s="204" t="n">
        <v>26</v>
      </c>
      <c r="B40" s="205" t="inlineStr">
        <is>
          <t xml:space="preserve">        Puerta Metálica Batiente 100x210 cm</t>
        </is>
      </c>
      <c r="C40" s="206" t="inlineStr">
        <is>
          <t>Residencial / Comercial</t>
        </is>
      </c>
      <c r="D40" s="204" t="inlineStr">
        <is>
          <t>Puertas Metálicas</t>
        </is>
      </c>
      <c r="E40" s="204" t="inlineStr">
        <is>
          <t>U</t>
        </is>
      </c>
      <c r="F40" s="207" t="n">
        <v>1</v>
      </c>
      <c r="G40" s="208" t="n">
        <v>275</v>
      </c>
      <c r="H40" s="208" t="n">
        <v>280.5</v>
      </c>
      <c r="I40" s="204" t="inlineStr">
        <is>
          <t>Megametales</t>
        </is>
      </c>
      <c r="J40" s="208" t="n">
        <v>294.25</v>
      </c>
      <c r="K40" s="204" t="inlineStr">
        <is>
          <t>Kywi / Megakywi</t>
        </is>
      </c>
      <c r="L40" s="209">
        <f>F40*G40</f>
        <v/>
      </c>
      <c r="M40" s="210" t="inlineStr">
        <is>
          <t>A-B20-PUE-BAT-ACE-100X210</t>
        </is>
      </c>
      <c r="N40" s="204" t="inlineStr">
        <is>
          <t>Arquitectura</t>
        </is>
      </c>
      <c r="O40" s="204" t="inlineStr">
        <is>
          <t>Estimado DION · criterio de mercado Guayaquil 2026 (no verificado en tienda)</t>
        </is>
      </c>
      <c r="P40" s="204" t="inlineStr">
        <is>
          <t>oct-2026 (est.)</t>
        </is>
      </c>
      <c r="Q40" s="204" t="n"/>
    </row>
    <row r="41">
      <c r="A41" s="18" t="n">
        <v>27</v>
      </c>
      <c r="B41" s="19" t="inlineStr">
        <is>
          <t xml:space="preserve">        Puerta Metálica 1½ Hoja 120x210 cm</t>
        </is>
      </c>
      <c r="C41" s="20" t="inlineStr">
        <is>
          <t>Comercial / Industrial</t>
        </is>
      </c>
      <c r="D41" s="18" t="inlineStr">
        <is>
          <t>Puertas Metálicas</t>
        </is>
      </c>
      <c r="E41" s="18" t="inlineStr">
        <is>
          <t>U</t>
        </is>
      </c>
      <c r="F41" s="21" t="n">
        <v>1</v>
      </c>
      <c r="G41" s="22" t="n">
        <v>360</v>
      </c>
      <c r="H41" s="22" t="n">
        <v>378</v>
      </c>
      <c r="I41" s="18" t="inlineStr">
        <is>
          <t>Megametales</t>
        </is>
      </c>
      <c r="J41" s="22" t="n">
        <v>392.4</v>
      </c>
      <c r="K41" s="18" t="inlineStr">
        <is>
          <t>Kywi / Megakywi</t>
        </is>
      </c>
      <c r="L41" s="8">
        <f>F41*G41</f>
        <v/>
      </c>
      <c r="M41" s="145" t="inlineStr">
        <is>
          <t>A-B20-PUE-BAT-ACE-120X210</t>
        </is>
      </c>
      <c r="N41" s="18" t="inlineStr">
        <is>
          <t>Arquitectura</t>
        </is>
      </c>
      <c r="O41" s="18" t="inlineStr">
        <is>
          <t>Estimado DION · criterio de mercado Guayaquil 2026 (no verificado en tienda)</t>
        </is>
      </c>
      <c r="P41" s="18" t="inlineStr">
        <is>
          <t>oct-2026 (est.)</t>
        </is>
      </c>
      <c r="Q41" s="18" t="n"/>
    </row>
    <row r="42">
      <c r="A42" s="204" t="n">
        <v>28</v>
      </c>
      <c r="B42" s="205" t="inlineStr">
        <is>
          <t xml:space="preserve">        Puerta Cortafuego RF60 90x210 con Barra Antipánico</t>
        </is>
      </c>
      <c r="C42" s="206" t="inlineStr">
        <is>
          <t>Comercial / Industrial</t>
        </is>
      </c>
      <c r="D42" s="204" t="inlineStr">
        <is>
          <t>Puertas Cortafuego</t>
        </is>
      </c>
      <c r="E42" s="204" t="inlineStr">
        <is>
          <t>U</t>
        </is>
      </c>
      <c r="F42" s="207" t="n">
        <v>0</v>
      </c>
      <c r="G42" s="208" t="n">
        <v>680</v>
      </c>
      <c r="H42" s="208" t="n">
        <v>693.6</v>
      </c>
      <c r="I42" s="204" t="inlineStr">
        <is>
          <t>Megametales</t>
        </is>
      </c>
      <c r="J42" s="208" t="n">
        <v>734.4</v>
      </c>
      <c r="K42" s="204" t="inlineStr">
        <is>
          <t>Kywi / Megakywi</t>
        </is>
      </c>
      <c r="L42" s="209">
        <f>F42*G42</f>
        <v/>
      </c>
      <c r="M42" s="210" t="inlineStr">
        <is>
          <t>A-C10-PUE-PCF-RF60-090X210</t>
        </is>
      </c>
      <c r="N42" s="204" t="inlineStr">
        <is>
          <t>Arquitectura</t>
        </is>
      </c>
      <c r="O42" s="204" t="inlineStr">
        <is>
          <t>Estimado DION · criterio de mercado Guayaquil 2026 (no verificado en tienda)</t>
        </is>
      </c>
      <c r="P42" s="204" t="inlineStr">
        <is>
          <t>oct-2026 (est.)</t>
        </is>
      </c>
      <c r="Q42" s="204" t="n"/>
    </row>
    <row r="43">
      <c r="A43" s="18" t="n">
        <v>29</v>
      </c>
      <c r="B43" s="19" t="inlineStr">
        <is>
          <t xml:space="preserve">        Puerta Cortafuego RF90 90x210</t>
        </is>
      </c>
      <c r="C43" s="20" t="inlineStr">
        <is>
          <t>Comercial / Industrial</t>
        </is>
      </c>
      <c r="D43" s="18" t="inlineStr">
        <is>
          <t>Puertas Cortafuego</t>
        </is>
      </c>
      <c r="E43" s="18" t="inlineStr">
        <is>
          <t>U</t>
        </is>
      </c>
      <c r="F43" s="21" t="n">
        <v>0</v>
      </c>
      <c r="G43" s="22" t="n">
        <v>820</v>
      </c>
      <c r="H43" s="22" t="n">
        <v>844.6</v>
      </c>
      <c r="I43" s="18" t="inlineStr">
        <is>
          <t>Megametales</t>
        </is>
      </c>
      <c r="J43" s="22" t="n">
        <v>910.2</v>
      </c>
      <c r="K43" s="18" t="inlineStr">
        <is>
          <t>Kywi / Megakywi</t>
        </is>
      </c>
      <c r="L43" s="8">
        <f>F43*G43</f>
        <v/>
      </c>
      <c r="M43" s="145" t="inlineStr">
        <is>
          <t>A-C10-PUE-PCF-RF90-090X210</t>
        </is>
      </c>
      <c r="N43" s="18" t="inlineStr">
        <is>
          <t>Arquitectura</t>
        </is>
      </c>
      <c r="O43" s="18" t="inlineStr">
        <is>
          <t>Estimado DION · criterio de mercado Guayaquil 2026 (no verificado en tienda)</t>
        </is>
      </c>
      <c r="P43" s="18" t="inlineStr">
        <is>
          <t>oct-2026 (est.)</t>
        </is>
      </c>
      <c r="Q43" s="18" t="n"/>
    </row>
    <row r="44">
      <c r="A44" s="204" t="n">
        <v>30</v>
      </c>
      <c r="B44" s="205" t="inlineStr">
        <is>
          <t xml:space="preserve">        Puerta Cortafuego RF60 Doble 180x210</t>
        </is>
      </c>
      <c r="C44" s="206" t="inlineStr">
        <is>
          <t>Comercial / Industrial</t>
        </is>
      </c>
      <c r="D44" s="204" t="inlineStr">
        <is>
          <t>Puertas Cortafuego</t>
        </is>
      </c>
      <c r="E44" s="204" t="inlineStr">
        <is>
          <t>U</t>
        </is>
      </c>
      <c r="F44" s="207" t="n">
        <v>0</v>
      </c>
      <c r="G44" s="208" t="n">
        <v>1250</v>
      </c>
      <c r="H44" s="208" t="n">
        <v>1275</v>
      </c>
      <c r="I44" s="204" t="inlineStr">
        <is>
          <t>Megametales</t>
        </is>
      </c>
      <c r="J44" s="208" t="n">
        <v>1387.5</v>
      </c>
      <c r="K44" s="204" t="inlineStr">
        <is>
          <t>Kywi / Megakywi</t>
        </is>
      </c>
      <c r="L44" s="209">
        <f>F44*G44</f>
        <v/>
      </c>
      <c r="M44" s="210" t="inlineStr">
        <is>
          <t>A-C10-PUE-PCF-RF60-180X210</t>
        </is>
      </c>
      <c r="N44" s="204" t="inlineStr">
        <is>
          <t>Arquitectura</t>
        </is>
      </c>
      <c r="O44" s="204" t="inlineStr">
        <is>
          <t>Estimado DION · criterio de mercado Guayaquil 2026 (no verificado en tienda)</t>
        </is>
      </c>
      <c r="P44" s="204" t="inlineStr">
        <is>
          <t>oct-2026 (est.)</t>
        </is>
      </c>
      <c r="Q44" s="204" t="n"/>
    </row>
    <row r="45">
      <c r="A45" s="18" t="n">
        <v>31</v>
      </c>
      <c r="B45" s="19" t="inlineStr">
        <is>
          <t xml:space="preserve">        Puerta Plomada Protección RX 90x210</t>
        </is>
      </c>
      <c r="C45" s="20" t="inlineStr">
        <is>
          <t>Hospitalario</t>
        </is>
      </c>
      <c r="D45" s="18" t="inlineStr">
        <is>
          <t>Puertas Plomadas</t>
        </is>
      </c>
      <c r="E45" s="18" t="inlineStr">
        <is>
          <t>U</t>
        </is>
      </c>
      <c r="F45" s="21" t="n">
        <v>0</v>
      </c>
      <c r="G45" s="22" t="n">
        <v>1850</v>
      </c>
      <c r="H45" s="22" t="n">
        <v>1887</v>
      </c>
      <c r="I45" s="18" t="inlineStr">
        <is>
          <t>Megametales</t>
        </is>
      </c>
      <c r="J45" s="22" t="n">
        <v>2016.5</v>
      </c>
      <c r="K45" s="18" t="inlineStr">
        <is>
          <t>Kywi / Megakywi</t>
        </is>
      </c>
      <c r="L45" s="8">
        <f>F45*G45</f>
        <v/>
      </c>
      <c r="M45" s="145" t="inlineStr">
        <is>
          <t>A-C10-PUE-PB-RX-090X210</t>
        </is>
      </c>
      <c r="N45" s="18" t="inlineStr">
        <is>
          <t>Arquitectura</t>
        </is>
      </c>
      <c r="O45" s="18" t="inlineStr">
        <is>
          <t>Estimado DION · criterio de mercado Guayaquil 2026 (no verificado en tienda)</t>
        </is>
      </c>
      <c r="P45" s="18" t="inlineStr">
        <is>
          <t>oct-2026 (est.)</t>
        </is>
      </c>
      <c r="Q45" s="18" t="n"/>
    </row>
    <row r="46">
      <c r="A46" s="204" t="n">
        <v>32</v>
      </c>
      <c r="B46" s="205" t="inlineStr">
        <is>
          <t xml:space="preserve">        Puerta de Registro / Ducto Metálica 60x60</t>
        </is>
      </c>
      <c r="C46" s="206" t="inlineStr">
        <is>
          <t>Residencial / Comercial</t>
        </is>
      </c>
      <c r="D46" s="204" t="inlineStr">
        <is>
          <t>Registros</t>
        </is>
      </c>
      <c r="E46" s="204" t="inlineStr">
        <is>
          <t>U</t>
        </is>
      </c>
      <c r="F46" s="207" t="n">
        <v>1</v>
      </c>
      <c r="G46" s="208" t="n">
        <v>85</v>
      </c>
      <c r="H46" s="208" t="n">
        <v>86.7</v>
      </c>
      <c r="I46" s="204" t="inlineStr">
        <is>
          <t>Megametales</t>
        </is>
      </c>
      <c r="J46" s="208" t="n">
        <v>93.5</v>
      </c>
      <c r="K46" s="204" t="inlineStr">
        <is>
          <t>Kywi / Megakywi</t>
        </is>
      </c>
      <c r="L46" s="209">
        <f>F46*G46</f>
        <v/>
      </c>
      <c r="M46" s="210" t="inlineStr">
        <is>
          <t>A-C10-PUE-REG-ACE-060X060</t>
        </is>
      </c>
      <c r="N46" s="204" t="inlineStr">
        <is>
          <t>Arquitectura</t>
        </is>
      </c>
      <c r="O46" s="204" t="inlineStr">
        <is>
          <t>Estimado DION · criterio de mercado Guayaquil 2026 (no verificado en tienda)</t>
        </is>
      </c>
      <c r="P46" s="204" t="inlineStr">
        <is>
          <t>oct-2026 (est.)</t>
        </is>
      </c>
      <c r="Q46" s="204" t="n"/>
    </row>
    <row r="47">
      <c r="A47" s="18" t="n">
        <v>33</v>
      </c>
      <c r="B47" s="19" t="inlineStr">
        <is>
          <t xml:space="preserve">        Puerta Enrollable Lámina Galvanizada 300x250 cm</t>
        </is>
      </c>
      <c r="C47" s="20" t="inlineStr">
        <is>
          <t>Comercial / Industrial</t>
        </is>
      </c>
      <c r="D47" s="18" t="inlineStr">
        <is>
          <t>Puertas Enrollables</t>
        </is>
      </c>
      <c r="E47" s="18" t="inlineStr">
        <is>
          <t>U</t>
        </is>
      </c>
      <c r="F47" s="21" t="n">
        <v>0</v>
      </c>
      <c r="G47" s="22" t="n">
        <v>980</v>
      </c>
      <c r="H47" s="22" t="n">
        <v>999.6</v>
      </c>
      <c r="I47" s="18" t="inlineStr">
        <is>
          <t>Megametales</t>
        </is>
      </c>
      <c r="J47" s="22" t="n">
        <v>1058.4</v>
      </c>
      <c r="K47" s="18" t="inlineStr">
        <is>
          <t>Kywi / Megakywi</t>
        </is>
      </c>
      <c r="L47" s="8">
        <f>F47*G47</f>
        <v/>
      </c>
      <c r="M47" s="145" t="inlineStr">
        <is>
          <t>A-B20-PUE-ENR-ACE-300X250</t>
        </is>
      </c>
      <c r="N47" s="18" t="inlineStr">
        <is>
          <t>Arquitectura</t>
        </is>
      </c>
      <c r="O47" s="18" t="inlineStr">
        <is>
          <t>Estimado DION · criterio de mercado Guayaquil 2026 (no verificado en tienda)</t>
        </is>
      </c>
      <c r="P47" s="18" t="inlineStr">
        <is>
          <t>oct-2026 (est.)</t>
        </is>
      </c>
      <c r="Q47" s="18" t="n"/>
    </row>
    <row r="48">
      <c r="A48" s="204" t="n">
        <v>34</v>
      </c>
      <c r="B48" s="205" t="inlineStr">
        <is>
          <t xml:space="preserve">        Puerta Enrollable 500x300 cm</t>
        </is>
      </c>
      <c r="C48" s="206" t="inlineStr">
        <is>
          <t>Comercial / Industrial</t>
        </is>
      </c>
      <c r="D48" s="204" t="inlineStr">
        <is>
          <t>Puertas Enrollables</t>
        </is>
      </c>
      <c r="E48" s="204" t="inlineStr">
        <is>
          <t>U</t>
        </is>
      </c>
      <c r="F48" s="207" t="n">
        <v>0</v>
      </c>
      <c r="G48" s="208" t="n">
        <v>1650</v>
      </c>
      <c r="H48" s="208" t="n">
        <v>1732.5</v>
      </c>
      <c r="I48" s="204" t="inlineStr">
        <is>
          <t>Megametales</t>
        </is>
      </c>
      <c r="J48" s="208" t="n">
        <v>1815</v>
      </c>
      <c r="K48" s="204" t="inlineStr">
        <is>
          <t>Kywi / Megakywi</t>
        </is>
      </c>
      <c r="L48" s="209">
        <f>F48*G48</f>
        <v/>
      </c>
      <c r="M48" s="210" t="inlineStr">
        <is>
          <t>A-B20-PUE-ENR-ACE-500X300</t>
        </is>
      </c>
      <c r="N48" s="204" t="inlineStr">
        <is>
          <t>Arquitectura</t>
        </is>
      </c>
      <c r="O48" s="204" t="inlineStr">
        <is>
          <t>Estimado DION · criterio de mercado Guayaquil 2026 (no verificado en tienda)</t>
        </is>
      </c>
      <c r="P48" s="204" t="inlineStr">
        <is>
          <t>oct-2026 (est.)</t>
        </is>
      </c>
      <c r="Q48" s="204" t="n"/>
    </row>
    <row r="49">
      <c r="A49" s="18" t="n">
        <v>35</v>
      </c>
      <c r="B49" s="19" t="inlineStr">
        <is>
          <t xml:space="preserve">        Puerta Seccional de Garaje 300x220 cm</t>
        </is>
      </c>
      <c r="C49" s="20" t="inlineStr">
        <is>
          <t>Residencial / Comercial</t>
        </is>
      </c>
      <c r="D49" s="18" t="inlineStr">
        <is>
          <t>Puertas Seccionales</t>
        </is>
      </c>
      <c r="E49" s="18" t="inlineStr">
        <is>
          <t>U</t>
        </is>
      </c>
      <c r="F49" s="21" t="n">
        <v>0</v>
      </c>
      <c r="G49" s="22" t="n">
        <v>1450</v>
      </c>
      <c r="H49" s="22" t="n">
        <v>1479</v>
      </c>
      <c r="I49" s="18" t="inlineStr">
        <is>
          <t>Megametales</t>
        </is>
      </c>
      <c r="J49" s="22" t="n">
        <v>1551.5</v>
      </c>
      <c r="K49" s="18" t="inlineStr">
        <is>
          <t>Kywi / Megakywi</t>
        </is>
      </c>
      <c r="L49" s="8">
        <f>F49*G49</f>
        <v/>
      </c>
      <c r="M49" s="145" t="inlineStr">
        <is>
          <t>A-B20-PUE-SEC-ACE-300X220</t>
        </is>
      </c>
      <c r="N49" s="18" t="inlineStr">
        <is>
          <t>Arquitectura</t>
        </is>
      </c>
      <c r="O49" s="18" t="inlineStr">
        <is>
          <t>Estimado DION · criterio de mercado Guayaquil 2026 (no verificado en tienda)</t>
        </is>
      </c>
      <c r="P49" s="18" t="inlineStr">
        <is>
          <t>oct-2026 (est.)</t>
        </is>
      </c>
      <c r="Q49" s="18" t="n"/>
    </row>
    <row r="50">
      <c r="A50" s="204" t="n">
        <v>36</v>
      </c>
      <c r="B50" s="205" t="inlineStr">
        <is>
          <t xml:space="preserve">        Portón Corredizo Tubo y Malla 400x200 cm</t>
        </is>
      </c>
      <c r="C50" s="206" t="inlineStr">
        <is>
          <t>Residencial / Comercial</t>
        </is>
      </c>
      <c r="D50" s="204" t="inlineStr">
        <is>
          <t>Portones</t>
        </is>
      </c>
      <c r="E50" s="204" t="inlineStr">
        <is>
          <t>U</t>
        </is>
      </c>
      <c r="F50" s="207" t="n">
        <v>0</v>
      </c>
      <c r="G50" s="208" t="n">
        <v>980</v>
      </c>
      <c r="H50" s="208" t="n">
        <v>1009.4</v>
      </c>
      <c r="I50" s="204" t="inlineStr">
        <is>
          <t>Megametales</t>
        </is>
      </c>
      <c r="J50" s="208" t="n">
        <v>1087.8</v>
      </c>
      <c r="K50" s="204" t="inlineStr">
        <is>
          <t>Kywi / Megakywi</t>
        </is>
      </c>
      <c r="L50" s="209">
        <f>F50*G50</f>
        <v/>
      </c>
      <c r="M50" s="210" t="inlineStr">
        <is>
          <t>A-B20-PUE-POR-ACE-400X200</t>
        </is>
      </c>
      <c r="N50" s="204" t="inlineStr">
        <is>
          <t>Arquitectura</t>
        </is>
      </c>
      <c r="O50" s="204" t="inlineStr">
        <is>
          <t>Estimado DION · criterio de mercado Guayaquil 2026 (no verificado en tienda)</t>
        </is>
      </c>
      <c r="P50" s="204" t="inlineStr">
        <is>
          <t>oct-2026 (est.)</t>
        </is>
      </c>
      <c r="Q50" s="204" t="n"/>
    </row>
    <row r="51">
      <c r="A51" s="18" t="n">
        <v>37</v>
      </c>
      <c r="B51" s="19" t="inlineStr">
        <is>
          <t xml:space="preserve">        Portón Corredizo Tubo 600x220 cm</t>
        </is>
      </c>
      <c r="C51" s="20" t="inlineStr">
        <is>
          <t>Comercial / Industrial</t>
        </is>
      </c>
      <c r="D51" s="18" t="inlineStr">
        <is>
          <t>Portones</t>
        </is>
      </c>
      <c r="E51" s="18" t="inlineStr">
        <is>
          <t>U</t>
        </is>
      </c>
      <c r="F51" s="21" t="n">
        <v>0</v>
      </c>
      <c r="G51" s="22" t="n">
        <v>1450</v>
      </c>
      <c r="H51" s="22" t="n">
        <v>1508</v>
      </c>
      <c r="I51" s="18" t="inlineStr">
        <is>
          <t>Megametales</t>
        </is>
      </c>
      <c r="J51" s="22" t="n">
        <v>1595</v>
      </c>
      <c r="K51" s="18" t="inlineStr">
        <is>
          <t>Kywi / Megakywi</t>
        </is>
      </c>
      <c r="L51" s="8">
        <f>F51*G51</f>
        <v/>
      </c>
      <c r="M51" s="145" t="inlineStr">
        <is>
          <t>A-B20-PUE-POR-ACE-600X220</t>
        </is>
      </c>
      <c r="N51" s="18" t="inlineStr">
        <is>
          <t>Arquitectura</t>
        </is>
      </c>
      <c r="O51" s="18" t="inlineStr">
        <is>
          <t>Estimado DION · criterio de mercado Guayaquil 2026 (no verificado en tienda)</t>
        </is>
      </c>
      <c r="P51" s="18" t="inlineStr">
        <is>
          <t>oct-2026 (est.)</t>
        </is>
      </c>
      <c r="Q51" s="18" t="n"/>
    </row>
    <row r="52">
      <c r="A52" s="204" t="n">
        <v>38</v>
      </c>
      <c r="B52" s="205" t="inlineStr">
        <is>
          <t xml:space="preserve">        Puerta de Evacuación Escalera RF 90x210</t>
        </is>
      </c>
      <c r="C52" s="206" t="inlineStr">
        <is>
          <t>Comercial / Industrial</t>
        </is>
      </c>
      <c r="D52" s="204" t="inlineStr">
        <is>
          <t>Puertas Evacuación</t>
        </is>
      </c>
      <c r="E52" s="204" t="inlineStr">
        <is>
          <t>U</t>
        </is>
      </c>
      <c r="F52" s="207" t="n">
        <v>0</v>
      </c>
      <c r="G52" s="208" t="n">
        <v>720</v>
      </c>
      <c r="H52" s="208" t="n">
        <v>741.6</v>
      </c>
      <c r="I52" s="204" t="inlineStr">
        <is>
          <t>Megametales</t>
        </is>
      </c>
      <c r="J52" s="208" t="n">
        <v>770.4</v>
      </c>
      <c r="K52" s="204" t="inlineStr">
        <is>
          <t>Kywi / Megakywi</t>
        </is>
      </c>
      <c r="L52" s="209">
        <f>F52*G52</f>
        <v/>
      </c>
      <c r="M52" s="210" t="inlineStr">
        <is>
          <t>A-B20-PUE-EVC-ACE-090X210</t>
        </is>
      </c>
      <c r="N52" s="204" t="inlineStr">
        <is>
          <t>Arquitectura</t>
        </is>
      </c>
      <c r="O52" s="204" t="inlineStr">
        <is>
          <t>Estimado DION · criterio de mercado Guayaquil 2026 (no verificado en tienda)</t>
        </is>
      </c>
      <c r="P52" s="204" t="inlineStr">
        <is>
          <t>oct-2026 (est.)</t>
        </is>
      </c>
      <c r="Q52" s="204" t="n"/>
    </row>
    <row r="53">
      <c r="A53" s="201" t="inlineStr">
        <is>
          <t>CONEXIONES</t>
        </is>
      </c>
      <c r="B53" s="143" t="n"/>
      <c r="C53" s="143" t="n"/>
      <c r="D53" s="143" t="n"/>
      <c r="E53" s="143" t="n"/>
      <c r="F53" s="143" t="n"/>
      <c r="G53" s="143" t="n"/>
      <c r="H53" s="143" t="n"/>
      <c r="I53" s="143" t="n"/>
      <c r="J53" s="143" t="n"/>
      <c r="K53" s="143" t="n"/>
      <c r="L53" s="143" t="n"/>
      <c r="M53" s="143" t="n"/>
      <c r="N53" s="143" t="n"/>
      <c r="O53" s="143" t="n"/>
      <c r="P53" s="143" t="n"/>
      <c r="Q53" s="144" t="n"/>
    </row>
    <row r="54">
      <c r="A54" s="202" t="inlineStr">
        <is>
          <t xml:space="preserve">  ► CATEGORÍA: REJAS, PROTECCIONES Y CERRAMIENTOS</t>
        </is>
      </c>
      <c r="B54" s="143" t="n"/>
      <c r="C54" s="143" t="n"/>
      <c r="D54" s="143" t="n"/>
      <c r="E54" s="143" t="n"/>
      <c r="F54" s="143" t="n"/>
      <c r="G54" s="143" t="n"/>
      <c r="H54" s="143" t="n"/>
      <c r="I54" s="143" t="n"/>
      <c r="J54" s="143" t="n"/>
      <c r="K54" s="143" t="n"/>
      <c r="L54" s="143" t="n"/>
      <c r="M54" s="143" t="n"/>
      <c r="N54" s="143" t="n"/>
      <c r="O54" s="143" t="n"/>
      <c r="P54" s="143" t="n"/>
      <c r="Q54" s="144" t="n"/>
    </row>
    <row r="55">
      <c r="A55" s="203" t="inlineStr">
        <is>
          <t xml:space="preserve">      • Subcategoría Especificada: Por m² o m</t>
        </is>
      </c>
      <c r="B55" s="143" t="n"/>
      <c r="C55" s="143" t="n"/>
      <c r="D55" s="143" t="n"/>
      <c r="E55" s="143" t="n"/>
      <c r="F55" s="143" t="n"/>
      <c r="G55" s="143" t="n"/>
      <c r="H55" s="143" t="n"/>
      <c r="I55" s="143" t="n"/>
      <c r="J55" s="143" t="n"/>
      <c r="K55" s="143" t="n"/>
      <c r="L55" s="143" t="n"/>
      <c r="M55" s="143" t="n"/>
      <c r="N55" s="143" t="n"/>
      <c r="O55" s="143" t="n"/>
      <c r="P55" s="143" t="n"/>
      <c r="Q55" s="144" t="n"/>
    </row>
    <row r="56">
      <c r="A56" s="18" t="n">
        <v>39</v>
      </c>
      <c r="B56" s="19" t="inlineStr">
        <is>
          <t xml:space="preserve">        Reja de Protección Ventana Tubo 100x100 cm</t>
        </is>
      </c>
      <c r="C56" s="20" t="inlineStr">
        <is>
          <t>Residencial / Comercial</t>
        </is>
      </c>
      <c r="D56" s="18" t="inlineStr">
        <is>
          <t>Rejas Ventana</t>
        </is>
      </c>
      <c r="E56" s="18" t="inlineStr">
        <is>
          <t>U</t>
        </is>
      </c>
      <c r="F56" s="21" t="n">
        <v>4</v>
      </c>
      <c r="G56" s="22" t="n">
        <v>58</v>
      </c>
      <c r="H56" s="22" t="n">
        <v>60.32</v>
      </c>
      <c r="I56" s="18" t="inlineStr">
        <is>
          <t>Megametales</t>
        </is>
      </c>
      <c r="J56" s="22" t="n">
        <v>62.64</v>
      </c>
      <c r="K56" s="18" t="inlineStr">
        <is>
          <t>Kywi / Megakywi</t>
        </is>
      </c>
      <c r="L56" s="8">
        <f>F56*G56</f>
        <v/>
      </c>
      <c r="M56" s="145" t="inlineStr">
        <is>
          <t>A-B20-VMT-REJ-100X100</t>
        </is>
      </c>
      <c r="N56" s="18" t="inlineStr">
        <is>
          <t>Arquitectura</t>
        </is>
      </c>
      <c r="O56" s="18" t="inlineStr">
        <is>
          <t>Estimado DION · criterio de mercado Guayaquil 2026 (no verificado en tienda)</t>
        </is>
      </c>
      <c r="P56" s="18" t="inlineStr">
        <is>
          <t>oct-2026 (est.)</t>
        </is>
      </c>
      <c r="Q56" s="18" t="n"/>
    </row>
    <row r="57">
      <c r="A57" s="204" t="n">
        <v>40</v>
      </c>
      <c r="B57" s="205" t="inlineStr">
        <is>
          <t xml:space="preserve">        Reja de Protección Ventana 120x120 cm</t>
        </is>
      </c>
      <c r="C57" s="206" t="inlineStr">
        <is>
          <t>Residencial / Comercial</t>
        </is>
      </c>
      <c r="D57" s="204" t="inlineStr">
        <is>
          <t>Rejas Ventana</t>
        </is>
      </c>
      <c r="E57" s="204" t="inlineStr">
        <is>
          <t>U</t>
        </is>
      </c>
      <c r="F57" s="207" t="n">
        <v>4</v>
      </c>
      <c r="G57" s="208" t="n">
        <v>78</v>
      </c>
      <c r="H57" s="208" t="n">
        <v>81.90000000000001</v>
      </c>
      <c r="I57" s="204" t="inlineStr">
        <is>
          <t>Megametales</t>
        </is>
      </c>
      <c r="J57" s="208" t="n">
        <v>83.45999999999999</v>
      </c>
      <c r="K57" s="204" t="inlineStr">
        <is>
          <t>Kywi / Megakywi</t>
        </is>
      </c>
      <c r="L57" s="209">
        <f>F57*G57</f>
        <v/>
      </c>
      <c r="M57" s="210" t="inlineStr">
        <is>
          <t>A-B20-VMT-REJ-120X120</t>
        </is>
      </c>
      <c r="N57" s="204" t="inlineStr">
        <is>
          <t>Arquitectura</t>
        </is>
      </c>
      <c r="O57" s="204" t="inlineStr">
        <is>
          <t>Estimado DION · criterio de mercado Guayaquil 2026 (no verificado en tienda)</t>
        </is>
      </c>
      <c r="P57" s="204" t="inlineStr">
        <is>
          <t>oct-2026 (est.)</t>
        </is>
      </c>
      <c r="Q57" s="204" t="n"/>
    </row>
    <row r="58">
      <c r="A58" s="18" t="n">
        <v>41</v>
      </c>
      <c r="B58" s="19" t="inlineStr">
        <is>
          <t xml:space="preserve">        Reja de Protección Ventana 150x120 cm</t>
        </is>
      </c>
      <c r="C58" s="20" t="inlineStr">
        <is>
          <t>Residencial / Comercial</t>
        </is>
      </c>
      <c r="D58" s="18" t="inlineStr">
        <is>
          <t>Rejas Ventana</t>
        </is>
      </c>
      <c r="E58" s="18" t="inlineStr">
        <is>
          <t>U</t>
        </is>
      </c>
      <c r="F58" s="21" t="n">
        <v>2</v>
      </c>
      <c r="G58" s="22" t="n">
        <v>96</v>
      </c>
      <c r="H58" s="22" t="n">
        <v>97.92</v>
      </c>
      <c r="I58" s="18" t="inlineStr">
        <is>
          <t>Megametales</t>
        </is>
      </c>
      <c r="J58" s="22" t="n">
        <v>105.6</v>
      </c>
      <c r="K58" s="18" t="inlineStr">
        <is>
          <t>Kywi / Megakywi</t>
        </is>
      </c>
      <c r="L58" s="8">
        <f>F58*G58</f>
        <v/>
      </c>
      <c r="M58" s="145" t="inlineStr">
        <is>
          <t>A-B20-VMT-REJ-150X120</t>
        </is>
      </c>
      <c r="N58" s="18" t="inlineStr">
        <is>
          <t>Arquitectura</t>
        </is>
      </c>
      <c r="O58" s="18" t="inlineStr">
        <is>
          <t>Estimado DION · criterio de mercado Guayaquil 2026 (no verificado en tienda)</t>
        </is>
      </c>
      <c r="P58" s="18" t="inlineStr">
        <is>
          <t>oct-2026 (est.)</t>
        </is>
      </c>
      <c r="Q58" s="18" t="n"/>
    </row>
    <row r="59">
      <c r="A59" s="204" t="n">
        <v>42</v>
      </c>
      <c r="B59" s="205" t="inlineStr">
        <is>
          <t xml:space="preserve">        Malla Mosquitero Aluminio 120x120 cm</t>
        </is>
      </c>
      <c r="C59" s="206" t="inlineStr">
        <is>
          <t>Residencial / Comercial</t>
        </is>
      </c>
      <c r="D59" s="204" t="inlineStr">
        <is>
          <t>Mosquiteros</t>
        </is>
      </c>
      <c r="E59" s="204" t="inlineStr">
        <is>
          <t>U</t>
        </is>
      </c>
      <c r="F59" s="207" t="n">
        <v>4</v>
      </c>
      <c r="G59" s="208" t="n">
        <v>28</v>
      </c>
      <c r="H59" s="208" t="n">
        <v>29.12</v>
      </c>
      <c r="I59" s="204" t="inlineStr">
        <is>
          <t>Megametales</t>
        </is>
      </c>
      <c r="J59" s="208" t="n">
        <v>30.24</v>
      </c>
      <c r="K59" s="204" t="inlineStr">
        <is>
          <t>Kywi / Megakywi</t>
        </is>
      </c>
      <c r="L59" s="209">
        <f>F59*G59</f>
        <v/>
      </c>
      <c r="M59" s="210" t="inlineStr">
        <is>
          <t>A-B20-VMT-MLL-120X120</t>
        </is>
      </c>
      <c r="N59" s="204" t="inlineStr">
        <is>
          <t>Arquitectura</t>
        </is>
      </c>
      <c r="O59" s="204" t="inlineStr">
        <is>
          <t>Estimado DION · criterio de mercado Guayaquil 2026 (no verificado en tienda)</t>
        </is>
      </c>
      <c r="P59" s="204" t="inlineStr">
        <is>
          <t>oct-2026 (est.)</t>
        </is>
      </c>
      <c r="Q59" s="204" t="n"/>
    </row>
    <row r="60">
      <c r="A60" s="18" t="n">
        <v>43</v>
      </c>
      <c r="B60" s="19" t="inlineStr">
        <is>
          <t xml:space="preserve">        Cerramiento Malla Galvanizada con Tubo h=2 m (m)</t>
        </is>
      </c>
      <c r="C60" s="20" t="inlineStr">
        <is>
          <t>Residencial / Comercial</t>
        </is>
      </c>
      <c r="D60" s="18" t="inlineStr">
        <is>
          <t>Cerramientos</t>
        </is>
      </c>
      <c r="E60" s="18" t="inlineStr">
        <is>
          <t>m</t>
        </is>
      </c>
      <c r="F60" s="21" t="n">
        <v>50</v>
      </c>
      <c r="G60" s="22" t="n">
        <v>32</v>
      </c>
      <c r="H60" s="22" t="n">
        <v>32.64</v>
      </c>
      <c r="I60" s="18" t="inlineStr">
        <is>
          <t>Megametales</t>
        </is>
      </c>
      <c r="J60" s="22" t="n">
        <v>34.88</v>
      </c>
      <c r="K60" s="18" t="inlineStr">
        <is>
          <t>Kywi / Megakywi</t>
        </is>
      </c>
      <c r="L60" s="8">
        <f>F60*G60</f>
        <v/>
      </c>
      <c r="M60" s="145" t="inlineStr">
        <is>
          <t>AP-G20-MBU-CER-MLL</t>
        </is>
      </c>
      <c r="N60" s="18" t="inlineStr">
        <is>
          <t>Paisajismo y obras exteriores</t>
        </is>
      </c>
      <c r="O60" s="18" t="inlineStr">
        <is>
          <t>Estimado DION · criterio de mercado Guayaquil 2026 (no verificado en tienda)</t>
        </is>
      </c>
      <c r="P60" s="18" t="inlineStr">
        <is>
          <t>oct-2026 (est.)</t>
        </is>
      </c>
      <c r="Q60" s="18" t="n"/>
    </row>
    <row r="61">
      <c r="A61" s="204" t="n">
        <v>44</v>
      </c>
      <c r="B61" s="205" t="inlineStr">
        <is>
          <t xml:space="preserve">        Cerramiento Reja Ornamental h=2 m (m)</t>
        </is>
      </c>
      <c r="C61" s="206" t="inlineStr">
        <is>
          <t>Residencial / Comercial</t>
        </is>
      </c>
      <c r="D61" s="204" t="inlineStr">
        <is>
          <t>Cerramientos</t>
        </is>
      </c>
      <c r="E61" s="204" t="inlineStr">
        <is>
          <t>m</t>
        </is>
      </c>
      <c r="F61" s="207" t="n">
        <v>30</v>
      </c>
      <c r="G61" s="208" t="n">
        <v>68</v>
      </c>
      <c r="H61" s="208" t="n">
        <v>70.72</v>
      </c>
      <c r="I61" s="204" t="inlineStr">
        <is>
          <t>Megametales</t>
        </is>
      </c>
      <c r="J61" s="208" t="n">
        <v>72.76000000000001</v>
      </c>
      <c r="K61" s="204" t="inlineStr">
        <is>
          <t>Kywi / Megakywi</t>
        </is>
      </c>
      <c r="L61" s="209">
        <f>F61*G61</f>
        <v/>
      </c>
      <c r="M61" s="210" t="inlineStr">
        <is>
          <t>AP-G20-MBU-CER-REJ</t>
        </is>
      </c>
      <c r="N61" s="204" t="inlineStr">
        <is>
          <t>Paisajismo y obras exteriores</t>
        </is>
      </c>
      <c r="O61" s="204" t="inlineStr">
        <is>
          <t>Estimado DION · criterio de mercado Guayaquil 2026 (no verificado en tienda)</t>
        </is>
      </c>
      <c r="P61" s="204" t="inlineStr">
        <is>
          <t>oct-2026 (est.)</t>
        </is>
      </c>
      <c r="Q61" s="204" t="n"/>
    </row>
    <row r="62">
      <c r="A62" s="18" t="n">
        <v>45</v>
      </c>
      <c r="B62" s="19" t="inlineStr">
        <is>
          <t xml:space="preserve">        Cerco Eléctrico 6 Hilos con Energizador (m)</t>
        </is>
      </c>
      <c r="C62" s="20" t="inlineStr">
        <is>
          <t>Residencial / Comercial</t>
        </is>
      </c>
      <c r="D62" s="18" t="inlineStr">
        <is>
          <t>Cercos Eléctricos</t>
        </is>
      </c>
      <c r="E62" s="18" t="inlineStr">
        <is>
          <t>m</t>
        </is>
      </c>
      <c r="F62" s="21" t="n">
        <v>50</v>
      </c>
      <c r="G62" s="22" t="n">
        <v>6.5</v>
      </c>
      <c r="H62" s="22" t="n">
        <v>6.63</v>
      </c>
      <c r="I62" s="18" t="inlineStr">
        <is>
          <t>Megametales</t>
        </is>
      </c>
      <c r="J62" s="22" t="n">
        <v>7.02</v>
      </c>
      <c r="K62" s="18" t="inlineStr">
        <is>
          <t>Kywi / Megakywi</t>
        </is>
      </c>
      <c r="L62" s="8">
        <f>F62*G62</f>
        <v/>
      </c>
      <c r="M62" s="145" t="inlineStr">
        <is>
          <t>AP-G20-MBU-CER-ELE</t>
        </is>
      </c>
      <c r="N62" s="18" t="inlineStr">
        <is>
          <t>Paisajismo y obras exteriores</t>
        </is>
      </c>
      <c r="O62" s="18" t="inlineStr">
        <is>
          <t>Estimado DION · criterio de mercado Guayaquil 2026 (no verificado en tienda)</t>
        </is>
      </c>
      <c r="P62" s="18" t="inlineStr">
        <is>
          <t>oct-2026 (est.)</t>
        </is>
      </c>
      <c r="Q62" s="18" t="n"/>
    </row>
    <row r="63">
      <c r="A63" s="204" t="n">
        <v>46</v>
      </c>
      <c r="B63" s="205" t="inlineStr">
        <is>
          <t xml:space="preserve">        Concertina de Seguridad Ø45 cm (m)</t>
        </is>
      </c>
      <c r="C63" s="206" t="inlineStr">
        <is>
          <t>Residencial / Comercial</t>
        </is>
      </c>
      <c r="D63" s="204" t="inlineStr">
        <is>
          <t>Concertinas</t>
        </is>
      </c>
      <c r="E63" s="204" t="inlineStr">
        <is>
          <t>m</t>
        </is>
      </c>
      <c r="F63" s="207" t="n">
        <v>50</v>
      </c>
      <c r="G63" s="208" t="n">
        <v>3.2</v>
      </c>
      <c r="H63" s="208" t="n">
        <v>3.36</v>
      </c>
      <c r="I63" s="204" t="inlineStr">
        <is>
          <t>Megametales</t>
        </is>
      </c>
      <c r="J63" s="208" t="n">
        <v>3.55</v>
      </c>
      <c r="K63" s="204" t="inlineStr">
        <is>
          <t>Kywi / Megakywi</t>
        </is>
      </c>
      <c r="L63" s="209">
        <f>F63*G63</f>
        <v/>
      </c>
      <c r="M63" s="210" t="inlineStr">
        <is>
          <t>AP-G20-MBU-CER-CON</t>
        </is>
      </c>
      <c r="N63" s="204" t="inlineStr">
        <is>
          <t>Paisajismo y obras exteriores</t>
        </is>
      </c>
      <c r="O63" s="204" t="inlineStr">
        <is>
          <t>Estimado DION · criterio de mercado Guayaquil 2026 (no verificado en tienda)</t>
        </is>
      </c>
      <c r="P63" s="204" t="inlineStr">
        <is>
          <t>oct-2026 (est.)</t>
        </is>
      </c>
      <c r="Q63" s="204" t="n"/>
    </row>
    <row r="64">
      <c r="A64" s="201" t="inlineStr">
        <is>
          <t>EQUIPOS ESPECIALIZADOS</t>
        </is>
      </c>
      <c r="B64" s="143" t="n"/>
      <c r="C64" s="143" t="n"/>
      <c r="D64" s="143" t="n"/>
      <c r="E64" s="143" t="n"/>
      <c r="F64" s="143" t="n"/>
      <c r="G64" s="143" t="n"/>
      <c r="H64" s="143" t="n"/>
      <c r="I64" s="143" t="n"/>
      <c r="J64" s="143" t="n"/>
      <c r="K64" s="143" t="n"/>
      <c r="L64" s="143" t="n"/>
      <c r="M64" s="143" t="n"/>
      <c r="N64" s="143" t="n"/>
      <c r="O64" s="143" t="n"/>
      <c r="P64" s="143" t="n"/>
      <c r="Q64" s="144" t="n"/>
    </row>
    <row r="65">
      <c r="A65" s="202" t="inlineStr">
        <is>
          <t xml:space="preserve">  ► CATEGORÍA: ESCALERAS, BARANDAS Y PASAMANOS METÁLICOS</t>
        </is>
      </c>
      <c r="B65" s="143" t="n"/>
      <c r="C65" s="143" t="n"/>
      <c r="D65" s="143" t="n"/>
      <c r="E65" s="143" t="n"/>
      <c r="F65" s="143" t="n"/>
      <c r="G65" s="143" t="n"/>
      <c r="H65" s="143" t="n"/>
      <c r="I65" s="143" t="n"/>
      <c r="J65" s="143" t="n"/>
      <c r="K65" s="143" t="n"/>
      <c r="L65" s="143" t="n"/>
      <c r="M65" s="143" t="n"/>
      <c r="N65" s="143" t="n"/>
      <c r="O65" s="143" t="n"/>
      <c r="P65" s="143" t="n"/>
      <c r="Q65" s="144" t="n"/>
    </row>
    <row r="66">
      <c r="A66" s="203" t="inlineStr">
        <is>
          <t xml:space="preserve">      • Subcategoría Especificada: Por m o Unidad</t>
        </is>
      </c>
      <c r="B66" s="143" t="n"/>
      <c r="C66" s="143" t="n"/>
      <c r="D66" s="143" t="n"/>
      <c r="E66" s="143" t="n"/>
      <c r="F66" s="143" t="n"/>
      <c r="G66" s="143" t="n"/>
      <c r="H66" s="143" t="n"/>
      <c r="I66" s="143" t="n"/>
      <c r="J66" s="143" t="n"/>
      <c r="K66" s="143" t="n"/>
      <c r="L66" s="143" t="n"/>
      <c r="M66" s="143" t="n"/>
      <c r="N66" s="143" t="n"/>
      <c r="O66" s="143" t="n"/>
      <c r="P66" s="143" t="n"/>
      <c r="Q66" s="144" t="n"/>
    </row>
    <row r="67">
      <c r="A67" s="18" t="n">
        <v>47</v>
      </c>
      <c r="B67" s="19" t="inlineStr">
        <is>
          <t xml:space="preserve">        Baranda Acero Inox Tubo 2" h=90 cm (m)</t>
        </is>
      </c>
      <c r="C67" s="20" t="inlineStr">
        <is>
          <t>Residencial / Comercial</t>
        </is>
      </c>
      <c r="D67" s="18" t="inlineStr">
        <is>
          <t>Barandas Inox</t>
        </is>
      </c>
      <c r="E67" s="18" t="inlineStr">
        <is>
          <t>m</t>
        </is>
      </c>
      <c r="F67" s="21" t="n">
        <v>20</v>
      </c>
      <c r="G67" s="22" t="n">
        <v>125</v>
      </c>
      <c r="H67" s="22" t="n">
        <v>130</v>
      </c>
      <c r="I67" s="18" t="inlineStr">
        <is>
          <t>Megametales</t>
        </is>
      </c>
      <c r="J67" s="22" t="n">
        <v>137.5</v>
      </c>
      <c r="K67" s="18" t="inlineStr">
        <is>
          <t>Kywi / Megakywi</t>
        </is>
      </c>
      <c r="L67" s="8">
        <f>F67*G67</f>
        <v/>
      </c>
      <c r="M67" s="145" t="inlineStr">
        <is>
          <t>A-C20-BAR-INX-TUB-090</t>
        </is>
      </c>
      <c r="N67" s="18" t="inlineStr">
        <is>
          <t>Arquitectura</t>
        </is>
      </c>
      <c r="O67" s="18" t="inlineStr">
        <is>
          <t>Estimado DION · criterio de mercado Guayaquil 2026 (no verificado en tienda)</t>
        </is>
      </c>
      <c r="P67" s="18" t="inlineStr">
        <is>
          <t>oct-2026 (est.)</t>
        </is>
      </c>
      <c r="Q67" s="18" t="n"/>
    </row>
    <row r="68">
      <c r="A68" s="204" t="n">
        <v>48</v>
      </c>
      <c r="B68" s="205" t="inlineStr">
        <is>
          <t xml:space="preserve">        Baranda Acero Inox Tubo h=110 cm (m)</t>
        </is>
      </c>
      <c r="C68" s="206" t="inlineStr">
        <is>
          <t>Comercial / Industrial</t>
        </is>
      </c>
      <c r="D68" s="204" t="inlineStr">
        <is>
          <t>Barandas Inox</t>
        </is>
      </c>
      <c r="E68" s="204" t="inlineStr">
        <is>
          <t>m</t>
        </is>
      </c>
      <c r="F68" s="207" t="n">
        <v>20</v>
      </c>
      <c r="G68" s="208" t="n">
        <v>145</v>
      </c>
      <c r="H68" s="208" t="n">
        <v>152.25</v>
      </c>
      <c r="I68" s="204" t="inlineStr">
        <is>
          <t>Megametales</t>
        </is>
      </c>
      <c r="J68" s="208" t="n">
        <v>158.05</v>
      </c>
      <c r="K68" s="204" t="inlineStr">
        <is>
          <t>Kywi / Megakywi</t>
        </is>
      </c>
      <c r="L68" s="209">
        <f>F68*G68</f>
        <v/>
      </c>
      <c r="M68" s="210" t="inlineStr">
        <is>
          <t>A-C20-BAR-INX-TUB-110</t>
        </is>
      </c>
      <c r="N68" s="204" t="inlineStr">
        <is>
          <t>Arquitectura</t>
        </is>
      </c>
      <c r="O68" s="204" t="inlineStr">
        <is>
          <t>Estimado DION · criterio de mercado Guayaquil 2026 (no verificado en tienda)</t>
        </is>
      </c>
      <c r="P68" s="204" t="inlineStr">
        <is>
          <t>oct-2026 (est.)</t>
        </is>
      </c>
      <c r="Q68" s="204" t="n"/>
    </row>
    <row r="69">
      <c r="A69" s="18" t="n">
        <v>49</v>
      </c>
      <c r="B69" s="19" t="inlineStr">
        <is>
          <t xml:space="preserve">        Baranda Hierro Pintado h=90 cm (m)</t>
        </is>
      </c>
      <c r="C69" s="20" t="inlineStr">
        <is>
          <t>Residencial / Comercial</t>
        </is>
      </c>
      <c r="D69" s="18" t="inlineStr">
        <is>
          <t>Barandas Hierro</t>
        </is>
      </c>
      <c r="E69" s="18" t="inlineStr">
        <is>
          <t>m</t>
        </is>
      </c>
      <c r="F69" s="21" t="n">
        <v>20</v>
      </c>
      <c r="G69" s="22" t="n">
        <v>58</v>
      </c>
      <c r="H69" s="22" t="n">
        <v>59.74</v>
      </c>
      <c r="I69" s="18" t="inlineStr">
        <is>
          <t>Megametales</t>
        </is>
      </c>
      <c r="J69" s="22" t="n">
        <v>62.64</v>
      </c>
      <c r="K69" s="18" t="inlineStr">
        <is>
          <t>Kywi / Megakywi</t>
        </is>
      </c>
      <c r="L69" s="8">
        <f>F69*G69</f>
        <v/>
      </c>
      <c r="M69" s="145" t="inlineStr">
        <is>
          <t>A-C20-BAR-ACE-TUB-090</t>
        </is>
      </c>
      <c r="N69" s="18" t="inlineStr">
        <is>
          <t>Arquitectura</t>
        </is>
      </c>
      <c r="O69" s="18" t="inlineStr">
        <is>
          <t>Estimado DION · criterio de mercado Guayaquil 2026 (no verificado en tienda)</t>
        </is>
      </c>
      <c r="P69" s="18" t="inlineStr">
        <is>
          <t>oct-2026 (est.)</t>
        </is>
      </c>
      <c r="Q69" s="18" t="n"/>
    </row>
    <row r="70">
      <c r="A70" s="204" t="n">
        <v>50</v>
      </c>
      <c r="B70" s="205" t="inlineStr">
        <is>
          <t xml:space="preserve">        Baranda Hierro Pintado h=110 cm (m)</t>
        </is>
      </c>
      <c r="C70" s="206" t="inlineStr">
        <is>
          <t>Residencial / Comercial</t>
        </is>
      </c>
      <c r="D70" s="204" t="inlineStr">
        <is>
          <t>Barandas Hierro</t>
        </is>
      </c>
      <c r="E70" s="204" t="inlineStr">
        <is>
          <t>m</t>
        </is>
      </c>
      <c r="F70" s="207" t="n">
        <v>20</v>
      </c>
      <c r="G70" s="208" t="n">
        <v>68</v>
      </c>
      <c r="H70" s="208" t="n">
        <v>70.04000000000001</v>
      </c>
      <c r="I70" s="204" t="inlineStr">
        <is>
          <t>Megametales</t>
        </is>
      </c>
      <c r="J70" s="208" t="n">
        <v>74.12</v>
      </c>
      <c r="K70" s="204" t="inlineStr">
        <is>
          <t>Kywi / Megakywi</t>
        </is>
      </c>
      <c r="L70" s="209">
        <f>F70*G70</f>
        <v/>
      </c>
      <c r="M70" s="210" t="inlineStr">
        <is>
          <t>A-C20-BAR-ACE-TUB-110</t>
        </is>
      </c>
      <c r="N70" s="204" t="inlineStr">
        <is>
          <t>Arquitectura</t>
        </is>
      </c>
      <c r="O70" s="204" t="inlineStr">
        <is>
          <t>Estimado DION · criterio de mercado Guayaquil 2026 (no verificado en tienda)</t>
        </is>
      </c>
      <c r="P70" s="204" t="inlineStr">
        <is>
          <t>oct-2026 (est.)</t>
        </is>
      </c>
      <c r="Q70" s="204" t="n"/>
    </row>
    <row r="71">
      <c r="A71" s="18" t="n">
        <v>51</v>
      </c>
      <c r="B71" s="19" t="inlineStr">
        <is>
          <t xml:space="preserve">        Baranda Inox con Vidrio Templado h=100 cm (m)</t>
        </is>
      </c>
      <c r="C71" s="20" t="inlineStr">
        <is>
          <t>Comercial / Industrial</t>
        </is>
      </c>
      <c r="D71" s="18" t="inlineStr">
        <is>
          <t>Barandas Vidrio</t>
        </is>
      </c>
      <c r="E71" s="18" t="inlineStr">
        <is>
          <t>m</t>
        </is>
      </c>
      <c r="F71" s="21" t="n">
        <v>20</v>
      </c>
      <c r="G71" s="22" t="n">
        <v>210</v>
      </c>
      <c r="H71" s="22" t="n">
        <v>220.5</v>
      </c>
      <c r="I71" s="18" t="inlineStr">
        <is>
          <t>Megametales</t>
        </is>
      </c>
      <c r="J71" s="22" t="n">
        <v>231</v>
      </c>
      <c r="K71" s="18" t="inlineStr">
        <is>
          <t>Kywi / Megakywi</t>
        </is>
      </c>
      <c r="L71" s="8">
        <f>F71*G71</f>
        <v/>
      </c>
      <c r="M71" s="145" t="inlineStr">
        <is>
          <t>A-C20-BAR-INX-VTP-100</t>
        </is>
      </c>
      <c r="N71" s="18" t="inlineStr">
        <is>
          <t>Arquitectura</t>
        </is>
      </c>
      <c r="O71" s="18" t="inlineStr">
        <is>
          <t>Estimado DION · criterio de mercado Guayaquil 2026 (no verificado en tienda)</t>
        </is>
      </c>
      <c r="P71" s="18" t="inlineStr">
        <is>
          <t>oct-2026 (est.)</t>
        </is>
      </c>
      <c r="Q71" s="18" t="n"/>
    </row>
    <row r="72">
      <c r="A72" s="204" t="n">
        <v>52</v>
      </c>
      <c r="B72" s="205" t="inlineStr">
        <is>
          <t xml:space="preserve">        Pasamano Accesible Doble Altura Acero Inox (m)</t>
        </is>
      </c>
      <c r="C72" s="206" t="inlineStr">
        <is>
          <t>Accesibilidad</t>
        </is>
      </c>
      <c r="D72" s="204" t="inlineStr">
        <is>
          <t>Pasamanos</t>
        </is>
      </c>
      <c r="E72" s="204" t="inlineStr">
        <is>
          <t>m</t>
        </is>
      </c>
      <c r="F72" s="207" t="n">
        <v>20</v>
      </c>
      <c r="G72" s="208" t="n">
        <v>78</v>
      </c>
      <c r="H72" s="208" t="n">
        <v>81.12</v>
      </c>
      <c r="I72" s="204" t="inlineStr">
        <is>
          <t>Megametales</t>
        </is>
      </c>
      <c r="J72" s="208" t="n">
        <v>85.8</v>
      </c>
      <c r="K72" s="204" t="inlineStr">
        <is>
          <t>Kywi / Megakywi</t>
        </is>
      </c>
      <c r="L72" s="209">
        <f>F72*G72</f>
        <v/>
      </c>
      <c r="M72" s="210" t="inlineStr">
        <is>
          <t>A-C20-BAR-PAS-ACC-2H</t>
        </is>
      </c>
      <c r="N72" s="204" t="inlineStr">
        <is>
          <t>Arquitectura</t>
        </is>
      </c>
      <c r="O72" s="204" t="inlineStr">
        <is>
          <t>Estimado DION · criterio de mercado Guayaquil 2026 (no verificado en tienda)</t>
        </is>
      </c>
      <c r="P72" s="204" t="inlineStr">
        <is>
          <t>oct-2026 (est.)</t>
        </is>
      </c>
      <c r="Q72" s="204" t="n"/>
    </row>
    <row r="73">
      <c r="A73" s="18" t="n">
        <v>53</v>
      </c>
      <c r="B73" s="19" t="inlineStr">
        <is>
          <t xml:space="preserve">        Pasamano de Muro Acero Inox Ø1½" (m)</t>
        </is>
      </c>
      <c r="C73" s="20" t="inlineStr">
        <is>
          <t>Residencial / Comercial</t>
        </is>
      </c>
      <c r="D73" s="18" t="inlineStr">
        <is>
          <t>Pasamanos</t>
        </is>
      </c>
      <c r="E73" s="18" t="inlineStr">
        <is>
          <t>m</t>
        </is>
      </c>
      <c r="F73" s="21" t="n">
        <v>20</v>
      </c>
      <c r="G73" s="22" t="n">
        <v>42</v>
      </c>
      <c r="H73" s="22" t="n">
        <v>43.68</v>
      </c>
      <c r="I73" s="18" t="inlineStr">
        <is>
          <t>Megametales</t>
        </is>
      </c>
      <c r="J73" s="22" t="n">
        <v>45.78</v>
      </c>
      <c r="K73" s="18" t="inlineStr">
        <is>
          <t>Kywi / Megakywi</t>
        </is>
      </c>
      <c r="L73" s="8">
        <f>F73*G73</f>
        <v/>
      </c>
      <c r="M73" s="145" t="inlineStr">
        <is>
          <t>A-C20-BAR-PAS-MUR-090</t>
        </is>
      </c>
      <c r="N73" s="18" t="inlineStr">
        <is>
          <t>Arquitectura</t>
        </is>
      </c>
      <c r="O73" s="18" t="inlineStr">
        <is>
          <t>Estimado DION · criterio de mercado Guayaquil 2026 (no verificado en tienda)</t>
        </is>
      </c>
      <c r="P73" s="18" t="inlineStr">
        <is>
          <t>oct-2026 (est.)</t>
        </is>
      </c>
      <c r="Q73" s="18" t="n"/>
    </row>
    <row r="74">
      <c r="A74" s="204" t="n">
        <v>54</v>
      </c>
      <c r="B74" s="205" t="inlineStr">
        <is>
          <t xml:space="preserve">        Escalera Metálica Recta Ancho 1.00 m (por Peldaño)</t>
        </is>
      </c>
      <c r="C74" s="206" t="inlineStr">
        <is>
          <t>Residencial / Comercial</t>
        </is>
      </c>
      <c r="D74" s="204" t="inlineStr">
        <is>
          <t>Escaleras Metálicas</t>
        </is>
      </c>
      <c r="E74" s="204" t="inlineStr">
        <is>
          <t>U</t>
        </is>
      </c>
      <c r="F74" s="207" t="n">
        <v>16</v>
      </c>
      <c r="G74" s="208" t="n">
        <v>95</v>
      </c>
      <c r="H74" s="208" t="n">
        <v>96.90000000000001</v>
      </c>
      <c r="I74" s="204" t="inlineStr">
        <is>
          <t>Megametales</t>
        </is>
      </c>
      <c r="J74" s="208" t="n">
        <v>103.55</v>
      </c>
      <c r="K74" s="204" t="inlineStr">
        <is>
          <t>Kywi / Megakywi</t>
        </is>
      </c>
      <c r="L74" s="209">
        <f>F74*G74</f>
        <v/>
      </c>
      <c r="M74" s="210" t="inlineStr">
        <is>
          <t>A-C20-ESC-ACE-REC-100</t>
        </is>
      </c>
      <c r="N74" s="204" t="inlineStr">
        <is>
          <t>Arquitectura</t>
        </is>
      </c>
      <c r="O74" s="204" t="inlineStr">
        <is>
          <t>Estimado DION · criterio de mercado Guayaquil 2026 (no verificado en tienda)</t>
        </is>
      </c>
      <c r="P74" s="204" t="inlineStr">
        <is>
          <t>oct-2026 (est.)</t>
        </is>
      </c>
      <c r="Q74" s="204" t="n"/>
    </row>
    <row r="75">
      <c r="A75" s="18" t="n">
        <v>55</v>
      </c>
      <c r="B75" s="19" t="inlineStr">
        <is>
          <t xml:space="preserve">        Escalera Metálica Helicoidal Ø1.60 m (por Peldaño)</t>
        </is>
      </c>
      <c r="C75" s="20" t="inlineStr">
        <is>
          <t>Residencial / Comercial</t>
        </is>
      </c>
      <c r="D75" s="18" t="inlineStr">
        <is>
          <t>Escaleras Helicoidales</t>
        </is>
      </c>
      <c r="E75" s="18" t="inlineStr">
        <is>
          <t>U</t>
        </is>
      </c>
      <c r="F75" s="21" t="n">
        <v>16</v>
      </c>
      <c r="G75" s="22" t="n">
        <v>140</v>
      </c>
      <c r="H75" s="22" t="n">
        <v>145.6</v>
      </c>
      <c r="I75" s="18" t="inlineStr">
        <is>
          <t>Megametales</t>
        </is>
      </c>
      <c r="J75" s="22" t="n">
        <v>154</v>
      </c>
      <c r="K75" s="18" t="inlineStr">
        <is>
          <t>Kywi / Megakywi</t>
        </is>
      </c>
      <c r="L75" s="8">
        <f>F75*G75</f>
        <v/>
      </c>
      <c r="M75" s="145" t="inlineStr">
        <is>
          <t>A-C20-ESC-ACE-HEL-160</t>
        </is>
      </c>
      <c r="N75" s="18" t="inlineStr">
        <is>
          <t>Arquitectura</t>
        </is>
      </c>
      <c r="O75" s="18" t="inlineStr">
        <is>
          <t>Estimado DION · criterio de mercado Guayaquil 2026 (no verificado en tienda)</t>
        </is>
      </c>
      <c r="P75" s="18" t="inlineStr">
        <is>
          <t>oct-2026 (est.)</t>
        </is>
      </c>
      <c r="Q75" s="18" t="n"/>
    </row>
    <row r="76">
      <c r="A76" s="204" t="n">
        <v>56</v>
      </c>
      <c r="B76" s="205" t="inlineStr">
        <is>
          <t xml:space="preserve">        Escalera Marinera con Guardacuerpo (m)</t>
        </is>
      </c>
      <c r="C76" s="206" t="inlineStr">
        <is>
          <t>Comercial / Industrial</t>
        </is>
      </c>
      <c r="D76" s="204" t="inlineStr">
        <is>
          <t>Escaleras Marineras</t>
        </is>
      </c>
      <c r="E76" s="204" t="inlineStr">
        <is>
          <t>m</t>
        </is>
      </c>
      <c r="F76" s="207" t="n">
        <v>6</v>
      </c>
      <c r="G76" s="208" t="n">
        <v>95</v>
      </c>
      <c r="H76" s="208" t="n">
        <v>99.75</v>
      </c>
      <c r="I76" s="204" t="inlineStr">
        <is>
          <t>Megametales</t>
        </is>
      </c>
      <c r="J76" s="208" t="n">
        <v>101.65</v>
      </c>
      <c r="K76" s="204" t="inlineStr">
        <is>
          <t>Kywi / Megakywi</t>
        </is>
      </c>
      <c r="L76" s="209">
        <f>F76*G76</f>
        <v/>
      </c>
      <c r="M76" s="210" t="inlineStr">
        <is>
          <t>A-C20-ESC-ACE-MAR-060</t>
        </is>
      </c>
      <c r="N76" s="204" t="inlineStr">
        <is>
          <t>Arquitectura</t>
        </is>
      </c>
      <c r="O76" s="204" t="inlineStr">
        <is>
          <t>Estimado DION · criterio de mercado Guayaquil 2026 (no verificado en tienda)</t>
        </is>
      </c>
      <c r="P76" s="204" t="inlineStr">
        <is>
          <t>oct-2026 (est.)</t>
        </is>
      </c>
      <c r="Q76" s="204" t="n"/>
    </row>
    <row r="77">
      <c r="A77" s="18" t="n">
        <v>57</v>
      </c>
      <c r="B77" s="19" t="inlineStr">
        <is>
          <t xml:space="preserve">        Escalera de Emergencia Exterior Metálica (por Peldaño)</t>
        </is>
      </c>
      <c r="C77" s="20" t="inlineStr">
        <is>
          <t>Comercial / Industrial</t>
        </is>
      </c>
      <c r="D77" s="18" t="inlineStr">
        <is>
          <t>Escaleras Emergencia</t>
        </is>
      </c>
      <c r="E77" s="18" t="inlineStr">
        <is>
          <t>U</t>
        </is>
      </c>
      <c r="F77" s="21" t="n">
        <v>16</v>
      </c>
      <c r="G77" s="22" t="n">
        <v>155</v>
      </c>
      <c r="H77" s="22" t="n">
        <v>159.65</v>
      </c>
      <c r="I77" s="18" t="inlineStr">
        <is>
          <t>Megametales</t>
        </is>
      </c>
      <c r="J77" s="22" t="n">
        <v>168.95</v>
      </c>
      <c r="K77" s="18" t="inlineStr">
        <is>
          <t>Kywi / Megakywi</t>
        </is>
      </c>
      <c r="L77" s="8">
        <f>F77*G77</f>
        <v/>
      </c>
      <c r="M77" s="145" t="inlineStr">
        <is>
          <t>A-C20-ESC-ACE-EME-120</t>
        </is>
      </c>
      <c r="N77" s="18" t="inlineStr">
        <is>
          <t>Arquitectura</t>
        </is>
      </c>
      <c r="O77" s="18" t="inlineStr">
        <is>
          <t>Estimado DION · criterio de mercado Guayaquil 2026 (no verificado en tienda)</t>
        </is>
      </c>
      <c r="P77" s="18" t="inlineStr">
        <is>
          <t>oct-2026 (est.)</t>
        </is>
      </c>
      <c r="Q77" s="18" t="n"/>
    </row>
    <row r="78">
      <c r="A78" s="204" t="n">
        <v>58</v>
      </c>
      <c r="B78" s="205" t="inlineStr">
        <is>
          <t xml:space="preserve">        Escalera Flotante Volada Metálica (por Peldaño)</t>
        </is>
      </c>
      <c r="C78" s="206" t="inlineStr">
        <is>
          <t>Residencial / Comercial</t>
        </is>
      </c>
      <c r="D78" s="204" t="inlineStr">
        <is>
          <t>Escaleras Flotantes</t>
        </is>
      </c>
      <c r="E78" s="204" t="inlineStr">
        <is>
          <t>U</t>
        </is>
      </c>
      <c r="F78" s="207" t="n">
        <v>16</v>
      </c>
      <c r="G78" s="208" t="n">
        <v>180</v>
      </c>
      <c r="H78" s="208" t="n">
        <v>183.6</v>
      </c>
      <c r="I78" s="204" t="inlineStr">
        <is>
          <t>Megametales</t>
        </is>
      </c>
      <c r="J78" s="208" t="n">
        <v>194.4</v>
      </c>
      <c r="K78" s="204" t="inlineStr">
        <is>
          <t>Kywi / Megakywi</t>
        </is>
      </c>
      <c r="L78" s="209">
        <f>F78*G78</f>
        <v/>
      </c>
      <c r="M78" s="210" t="inlineStr">
        <is>
          <t>A-C20-ESC-ACE-FLO-100</t>
        </is>
      </c>
      <c r="N78" s="204" t="inlineStr">
        <is>
          <t>Arquitectura</t>
        </is>
      </c>
      <c r="O78" s="204" t="inlineStr">
        <is>
          <t>Estimado DION · criterio de mercado Guayaquil 2026 (no verificado en tienda)</t>
        </is>
      </c>
      <c r="P78" s="204" t="inlineStr">
        <is>
          <t>oct-2026 (est.)</t>
        </is>
      </c>
      <c r="Q78" s="204" t="n"/>
    </row>
    <row r="79">
      <c r="A79" s="10" t="n"/>
      <c r="B79" s="147" t="inlineStr">
        <is>
          <t>TOTAL BASE DE DATOS CARPINTERÍA METÁLICA (ESTIMADO)</t>
        </is>
      </c>
      <c r="C79" s="148" t="n"/>
      <c r="D79" s="148" t="n"/>
      <c r="E79" s="148" t="n"/>
      <c r="F79" s="148" t="n"/>
      <c r="G79" s="148" t="n"/>
      <c r="H79" s="148" t="n"/>
      <c r="I79" s="148" t="n"/>
      <c r="J79" s="148" t="n"/>
      <c r="K79" s="148" t="n"/>
      <c r="L79" s="30">
        <f>SUM(L6:L78)</f>
        <v/>
      </c>
      <c r="M79" s="30" t="n"/>
      <c r="N79" s="30" t="n"/>
      <c r="O79" s="30" t="n"/>
      <c r="P79" s="30" t="n"/>
      <c r="Q79" s="30" t="n"/>
    </row>
  </sheetData>
  <mergeCells count="16">
    <mergeCell ref="A8:Q8"/>
    <mergeCell ref="A6:Q6"/>
    <mergeCell ref="B79:K79"/>
    <mergeCell ref="A53:Q53"/>
    <mergeCell ref="A55:Q55"/>
    <mergeCell ref="A7:Q7"/>
    <mergeCell ref="A65:Q65"/>
    <mergeCell ref="A26:Q26"/>
    <mergeCell ref="A24:Q24"/>
    <mergeCell ref="A38:Q38"/>
    <mergeCell ref="A54:Q54"/>
    <mergeCell ref="A64:Q64"/>
    <mergeCell ref="A25:Q25"/>
    <mergeCell ref="A66:Q66"/>
    <mergeCell ref="A37:Q37"/>
    <mergeCell ref="A36:Q36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8" customWidth="1" min="2" max="2"/>
    <col width="30" customWidth="1" min="3" max="3"/>
    <col width="32" customWidth="1" min="4" max="4"/>
    <col width="8" customWidth="1" min="5" max="5"/>
    <col width="10" customWidth="1" min="6" max="6"/>
    <col width="15" customWidth="1" min="7" max="7"/>
    <col width="16" customWidth="1" min="8" max="8"/>
    <col width="22" customWidth="1" min="9" max="9"/>
    <col width="16" customWidth="1" min="10" max="10"/>
    <col width="20" customWidth="1" min="11" max="11"/>
    <col width="16" customWidth="1" min="12" max="12"/>
    <col width="27" customWidth="1" min="13" max="13"/>
    <col width="30" customWidth="1" min="14" max="14"/>
    <col width="44" customWidth="1" min="15" max="15"/>
    <col width="15" customWidth="1" min="16" max="16"/>
    <col width="14" customWidth="1" min="17" max="17"/>
  </cols>
  <sheetData>
    <row r="1">
      <c r="A1" s="1" t="inlineStr">
        <is>
          <t>BASE DE DATOS COMPLETA DE CATALOGACIÓN: PINTURA</t>
        </is>
      </c>
    </row>
    <row r="2">
      <c r="A2" s="2" t="inlineStr">
        <is>
          <t>Estructura Jerárquica Homogénea: Accesorios &gt; Tuberías &gt; Equipos &gt; Conexiones &gt; Equipos Especializados | Degradé por Niveles (Ecuador - USD)</t>
        </is>
      </c>
    </row>
    <row r="3">
      <c r="A3" s="13" t="inlineStr">
        <is>
          <t>« Volver al Índice General</t>
        </is>
      </c>
    </row>
    <row r="5" ht="30" customHeight="1">
      <c r="A5" s="4" t="inlineStr">
        <is>
          <t>Item</t>
        </is>
      </c>
      <c r="B5" s="4" t="inlineStr">
        <is>
          <t>Descripción de Accesorio / Ítem Especificado</t>
        </is>
      </c>
      <c r="C5" s="4" t="inlineStr">
        <is>
          <t>Clasificación / Ámbito de Uso
(Residencial/Comercial/Industrial)</t>
        </is>
      </c>
      <c r="D5" s="4" t="inlineStr">
        <is>
          <t>Tipo / Familia</t>
        </is>
      </c>
      <c r="E5" s="4" t="inlineStr">
        <is>
          <t>Unidad</t>
        </is>
      </c>
      <c r="F5" s="4" t="inlineStr">
        <is>
          <t>Cant.</t>
        </is>
      </c>
      <c r="G5" s="4" t="inlineStr">
        <is>
          <t>P. Ref. Est. ($)</t>
        </is>
      </c>
      <c r="H5" s="4" t="inlineStr">
        <is>
          <t>P. Unit. Local A ($)
(Kywi / Megakywi)</t>
        </is>
      </c>
      <c r="I5" s="4" t="inlineStr">
        <is>
          <t>Local A
Especificado</t>
        </is>
      </c>
      <c r="J5" s="4" t="inlineStr">
        <is>
          <t>P. Unit. Local B ($)
(Pinturas Cóndor / Unidas)</t>
        </is>
      </c>
      <c r="K5" s="4" t="inlineStr">
        <is>
          <t>Local B
Especificado</t>
        </is>
      </c>
      <c r="L5" s="4" t="inlineStr">
        <is>
          <t>Subtotal Est. ($)</t>
        </is>
      </c>
      <c r="M5" s="4" t="inlineStr">
        <is>
          <t>Código DION</t>
        </is>
      </c>
      <c r="N5" s="4" t="inlineStr">
        <is>
          <t>Disciplina</t>
        </is>
      </c>
      <c r="O5" s="4" t="inlineStr">
        <is>
          <t>Fuente del precio</t>
        </is>
      </c>
      <c r="P5" s="4" t="inlineStr">
        <is>
          <t>Fecha precio</t>
        </is>
      </c>
      <c r="Q5" s="4" t="inlineStr">
        <is>
          <t>Rendimiento /
desperdicio %</t>
        </is>
      </c>
    </row>
    <row r="6">
      <c r="A6" s="211" t="inlineStr">
        <is>
          <t>ACCESORIOS</t>
        </is>
      </c>
      <c r="B6" s="143" t="n"/>
      <c r="C6" s="143" t="n"/>
      <c r="D6" s="143" t="n"/>
      <c r="E6" s="143" t="n"/>
      <c r="F6" s="143" t="n"/>
      <c r="G6" s="143" t="n"/>
      <c r="H6" s="143" t="n"/>
      <c r="I6" s="143" t="n"/>
      <c r="J6" s="143" t="n"/>
      <c r="K6" s="143" t="n"/>
      <c r="L6" s="143" t="n"/>
      <c r="M6" s="143" t="n"/>
      <c r="N6" s="143" t="n"/>
      <c r="O6" s="143" t="n"/>
      <c r="P6" s="143" t="n"/>
      <c r="Q6" s="144" t="n"/>
    </row>
    <row r="7">
      <c r="A7" s="212" t="inlineStr">
        <is>
          <t xml:space="preserve">  ► CATEGORÍA: HERRAMIENTAS Y CONSUMIBLES DE PINTURA</t>
        </is>
      </c>
      <c r="B7" s="143" t="n"/>
      <c r="C7" s="143" t="n"/>
      <c r="D7" s="143" t="n"/>
      <c r="E7" s="143" t="n"/>
      <c r="F7" s="143" t="n"/>
      <c r="G7" s="143" t="n"/>
      <c r="H7" s="143" t="n"/>
      <c r="I7" s="143" t="n"/>
      <c r="J7" s="143" t="n"/>
      <c r="K7" s="143" t="n"/>
      <c r="L7" s="143" t="n"/>
      <c r="M7" s="143" t="n"/>
      <c r="N7" s="143" t="n"/>
      <c r="O7" s="143" t="n"/>
      <c r="P7" s="143" t="n"/>
      <c r="Q7" s="144" t="n"/>
    </row>
    <row r="8">
      <c r="A8" s="213" t="inlineStr">
        <is>
          <t xml:space="preserve">      • Subcategoría Especificada: Brochas, Rodillos, Lijas, Cintas y Plásticos</t>
        </is>
      </c>
      <c r="B8" s="143" t="n"/>
      <c r="C8" s="143" t="n"/>
      <c r="D8" s="143" t="n"/>
      <c r="E8" s="143" t="n"/>
      <c r="F8" s="143" t="n"/>
      <c r="G8" s="143" t="n"/>
      <c r="H8" s="143" t="n"/>
      <c r="I8" s="143" t="n"/>
      <c r="J8" s="143" t="n"/>
      <c r="K8" s="143" t="n"/>
      <c r="L8" s="143" t="n"/>
      <c r="M8" s="143" t="n"/>
      <c r="N8" s="143" t="n"/>
      <c r="O8" s="143" t="n"/>
      <c r="P8" s="143" t="n"/>
      <c r="Q8" s="144" t="n"/>
    </row>
    <row r="9">
      <c r="A9" s="18" t="n">
        <v>1</v>
      </c>
      <c r="B9" s="19" t="inlineStr">
        <is>
          <t xml:space="preserve">        Brocha de Cerda 3"</t>
        </is>
      </c>
      <c r="C9" s="20" t="inlineStr">
        <is>
          <t>Residencial / Comercial</t>
        </is>
      </c>
      <c r="D9" s="18" t="inlineStr">
        <is>
          <t>Brochas</t>
        </is>
      </c>
      <c r="E9" s="18" t="inlineStr">
        <is>
          <t>U</t>
        </is>
      </c>
      <c r="F9" s="21" t="n">
        <v>6</v>
      </c>
      <c r="G9" s="22" t="n">
        <v>2.6</v>
      </c>
      <c r="H9" s="22" t="n">
        <v>2.68</v>
      </c>
      <c r="I9" s="18" t="inlineStr">
        <is>
          <t>Kywi / Megakywi</t>
        </is>
      </c>
      <c r="J9" s="22" t="n">
        <v>2.81</v>
      </c>
      <c r="K9" s="18" t="inlineStr">
        <is>
          <t>Pinturas Cóndor / Unidas</t>
        </is>
      </c>
      <c r="L9" s="8">
        <f>F9*G9</f>
        <v/>
      </c>
      <c r="M9" s="145" t="inlineStr">
        <is>
          <t>A-C30-PNT-BRO-3</t>
        </is>
      </c>
      <c r="N9" s="18" t="inlineStr">
        <is>
          <t>Arquitectura</t>
        </is>
      </c>
      <c r="O9" s="18" t="inlineStr">
        <is>
          <t>Estimado DION · criterio de mercado Guayaquil 2026 (no verificado en tienda)</t>
        </is>
      </c>
      <c r="P9" s="18" t="inlineStr">
        <is>
          <t>oct-2026 (est.)</t>
        </is>
      </c>
      <c r="Q9" s="18" t="n">
        <v>5</v>
      </c>
    </row>
    <row r="10">
      <c r="A10" s="214" t="n">
        <v>2</v>
      </c>
      <c r="B10" s="215" t="inlineStr">
        <is>
          <t xml:space="preserve">        Rodillo de Felpa 9" + Bandeja</t>
        </is>
      </c>
      <c r="C10" s="216" t="inlineStr">
        <is>
          <t>Residencial / Comercial</t>
        </is>
      </c>
      <c r="D10" s="214" t="inlineStr">
        <is>
          <t>Rodillos</t>
        </is>
      </c>
      <c r="E10" s="214" t="inlineStr">
        <is>
          <t>Juego</t>
        </is>
      </c>
      <c r="F10" s="217" t="n">
        <v>4</v>
      </c>
      <c r="G10" s="218" t="n">
        <v>6.5</v>
      </c>
      <c r="H10" s="218" t="n">
        <v>6.63</v>
      </c>
      <c r="I10" s="214" t="inlineStr">
        <is>
          <t>Kywi / Megakywi</t>
        </is>
      </c>
      <c r="J10" s="218" t="n">
        <v>7.22</v>
      </c>
      <c r="K10" s="214" t="inlineStr">
        <is>
          <t>Pinturas Cóndor / Unidas</t>
        </is>
      </c>
      <c r="L10" s="219">
        <f>F10*G10</f>
        <v/>
      </c>
      <c r="M10" s="220" t="inlineStr">
        <is>
          <t>A-C30-PNT-ROD-9</t>
        </is>
      </c>
      <c r="N10" s="214" t="inlineStr">
        <is>
          <t>Arquitectura</t>
        </is>
      </c>
      <c r="O10" s="214" t="inlineStr">
        <is>
          <t>Estimado DION · criterio de mercado Guayaquil 2026 (no verificado en tienda)</t>
        </is>
      </c>
      <c r="P10" s="214" t="inlineStr">
        <is>
          <t>oct-2026 (est.)</t>
        </is>
      </c>
      <c r="Q10" s="214" t="n">
        <v>5</v>
      </c>
    </row>
    <row r="11">
      <c r="A11" s="18" t="n">
        <v>3</v>
      </c>
      <c r="B11" s="19" t="inlineStr">
        <is>
          <t xml:space="preserve">        Extensión Telescópica para Rodillo 2-4 m</t>
        </is>
      </c>
      <c r="C11" s="20" t="inlineStr">
        <is>
          <t>Residencial / Comercial</t>
        </is>
      </c>
      <c r="D11" s="18" t="inlineStr">
        <is>
          <t>Extensiones</t>
        </is>
      </c>
      <c r="E11" s="18" t="inlineStr">
        <is>
          <t>U</t>
        </is>
      </c>
      <c r="F11" s="21" t="n">
        <v>2</v>
      </c>
      <c r="G11" s="22" t="n">
        <v>9.5</v>
      </c>
      <c r="H11" s="22" t="n">
        <v>9.69</v>
      </c>
      <c r="I11" s="18" t="inlineStr">
        <is>
          <t>Kywi / Megakywi</t>
        </is>
      </c>
      <c r="J11" s="22" t="n">
        <v>10.26</v>
      </c>
      <c r="K11" s="18" t="inlineStr">
        <is>
          <t>Pinturas Cóndor / Unidas</t>
        </is>
      </c>
      <c r="L11" s="8">
        <f>F11*G11</f>
        <v/>
      </c>
      <c r="M11" s="145" t="inlineStr">
        <is>
          <t>A-C30-PNT-ROD-EXT</t>
        </is>
      </c>
      <c r="N11" s="18" t="inlineStr">
        <is>
          <t>Arquitectura</t>
        </is>
      </c>
      <c r="O11" s="18" t="inlineStr">
        <is>
          <t>Estimado DION · criterio de mercado Guayaquil 2026 (no verificado en tienda)</t>
        </is>
      </c>
      <c r="P11" s="18" t="inlineStr">
        <is>
          <t>oct-2026 (est.)</t>
        </is>
      </c>
      <c r="Q11" s="18" t="n">
        <v>5</v>
      </c>
    </row>
    <row r="12">
      <c r="A12" s="214" t="n">
        <v>4</v>
      </c>
      <c r="B12" s="215" t="inlineStr">
        <is>
          <t xml:space="preserve">        Lija de Agua #120 (Pliego)</t>
        </is>
      </c>
      <c r="C12" s="216" t="inlineStr">
        <is>
          <t>Residencial / Comercial</t>
        </is>
      </c>
      <c r="D12" s="214" t="inlineStr">
        <is>
          <t>Lijas</t>
        </is>
      </c>
      <c r="E12" s="214" t="inlineStr">
        <is>
          <t>U</t>
        </is>
      </c>
      <c r="F12" s="217" t="n">
        <v>50</v>
      </c>
      <c r="G12" s="218" t="n">
        <v>0.45</v>
      </c>
      <c r="H12" s="218" t="n">
        <v>0.46</v>
      </c>
      <c r="I12" s="214" t="inlineStr">
        <is>
          <t>Kywi / Megakywi</t>
        </is>
      </c>
      <c r="J12" s="218" t="n">
        <v>0.5</v>
      </c>
      <c r="K12" s="214" t="inlineStr">
        <is>
          <t>Pinturas Cóndor / Unidas</t>
        </is>
      </c>
      <c r="L12" s="219">
        <f>F12*G12</f>
        <v/>
      </c>
      <c r="M12" s="220" t="inlineStr">
        <is>
          <t>A-C30-PNT-LIJ-120</t>
        </is>
      </c>
      <c r="N12" s="214" t="inlineStr">
        <is>
          <t>Arquitectura</t>
        </is>
      </c>
      <c r="O12" s="214" t="inlineStr">
        <is>
          <t>Estimado DION · criterio de mercado Guayaquil 2026 (no verificado en tienda)</t>
        </is>
      </c>
      <c r="P12" s="214" t="inlineStr">
        <is>
          <t>oct-2026 (est.)</t>
        </is>
      </c>
      <c r="Q12" s="214" t="n">
        <v>5</v>
      </c>
    </row>
    <row r="13">
      <c r="A13" s="18" t="n">
        <v>5</v>
      </c>
      <c r="B13" s="19" t="inlineStr">
        <is>
          <t xml:space="preserve">        Lija para Pared #80 (Pliego)</t>
        </is>
      </c>
      <c r="C13" s="20" t="inlineStr">
        <is>
          <t>Residencial / Comercial</t>
        </is>
      </c>
      <c r="D13" s="18" t="inlineStr">
        <is>
          <t>Lijas</t>
        </is>
      </c>
      <c r="E13" s="18" t="inlineStr">
        <is>
          <t>U</t>
        </is>
      </c>
      <c r="F13" s="21" t="n">
        <v>50</v>
      </c>
      <c r="G13" s="22" t="n">
        <v>0.55</v>
      </c>
      <c r="H13" s="22" t="n">
        <v>0.57</v>
      </c>
      <c r="I13" s="18" t="inlineStr">
        <is>
          <t>Kywi / Megakywi</t>
        </is>
      </c>
      <c r="J13" s="22" t="n">
        <v>0.59</v>
      </c>
      <c r="K13" s="18" t="inlineStr">
        <is>
          <t>Pinturas Cóndor / Unidas</t>
        </is>
      </c>
      <c r="L13" s="8">
        <f>F13*G13</f>
        <v/>
      </c>
      <c r="M13" s="145" t="inlineStr">
        <is>
          <t>A-C30-PNT-LIJ-PAR</t>
        </is>
      </c>
      <c r="N13" s="18" t="inlineStr">
        <is>
          <t>Arquitectura</t>
        </is>
      </c>
      <c r="O13" s="18" t="inlineStr">
        <is>
          <t>Estimado DION · criterio de mercado Guayaquil 2026 (no verificado en tienda)</t>
        </is>
      </c>
      <c r="P13" s="18" t="inlineStr">
        <is>
          <t>oct-2026 (est.)</t>
        </is>
      </c>
      <c r="Q13" s="18" t="n">
        <v>5</v>
      </c>
    </row>
    <row r="14">
      <c r="A14" s="214" t="n">
        <v>6</v>
      </c>
      <c r="B14" s="215" t="inlineStr">
        <is>
          <t xml:space="preserve">        Cinta Masking 1" x 40 m</t>
        </is>
      </c>
      <c r="C14" s="216" t="inlineStr">
        <is>
          <t>Residencial / Comercial</t>
        </is>
      </c>
      <c r="D14" s="214" t="inlineStr">
        <is>
          <t>Cintas</t>
        </is>
      </c>
      <c r="E14" s="214" t="inlineStr">
        <is>
          <t>U</t>
        </is>
      </c>
      <c r="F14" s="217" t="n">
        <v>10</v>
      </c>
      <c r="G14" s="218" t="n">
        <v>1.6</v>
      </c>
      <c r="H14" s="218" t="n">
        <v>1.66</v>
      </c>
      <c r="I14" s="214" t="inlineStr">
        <is>
          <t>Kywi / Megakywi</t>
        </is>
      </c>
      <c r="J14" s="218" t="n">
        <v>1.71</v>
      </c>
      <c r="K14" s="214" t="inlineStr">
        <is>
          <t>Pinturas Cóndor / Unidas</t>
        </is>
      </c>
      <c r="L14" s="219">
        <f>F14*G14</f>
        <v/>
      </c>
      <c r="M14" s="220" t="inlineStr">
        <is>
          <t>A-C30-PNT-CIN-MAS</t>
        </is>
      </c>
      <c r="N14" s="214" t="inlineStr">
        <is>
          <t>Arquitectura</t>
        </is>
      </c>
      <c r="O14" s="214" t="inlineStr">
        <is>
          <t>Estimado DION · criterio de mercado Guayaquil 2026 (no verificado en tienda)</t>
        </is>
      </c>
      <c r="P14" s="214" t="inlineStr">
        <is>
          <t>oct-2026 (est.)</t>
        </is>
      </c>
      <c r="Q14" s="214" t="n">
        <v>5</v>
      </c>
    </row>
    <row r="15">
      <c r="A15" s="18" t="n">
        <v>7</v>
      </c>
      <c r="B15" s="19" t="inlineStr">
        <is>
          <t xml:space="preserve">        Plástico Protector 4x50 m</t>
        </is>
      </c>
      <c r="C15" s="20" t="inlineStr">
        <is>
          <t>Residencial / Comercial</t>
        </is>
      </c>
      <c r="D15" s="18" t="inlineStr">
        <is>
          <t>Protección</t>
        </is>
      </c>
      <c r="E15" s="18" t="inlineStr">
        <is>
          <t>Rollo</t>
        </is>
      </c>
      <c r="F15" s="21" t="n">
        <v>2</v>
      </c>
      <c r="G15" s="22" t="n">
        <v>9.5</v>
      </c>
      <c r="H15" s="22" t="n">
        <v>9.970000000000001</v>
      </c>
      <c r="I15" s="18" t="inlineStr">
        <is>
          <t>Kywi / Megakywi</t>
        </is>
      </c>
      <c r="J15" s="22" t="n">
        <v>10.36</v>
      </c>
      <c r="K15" s="18" t="inlineStr">
        <is>
          <t>Pinturas Cóndor / Unidas</t>
        </is>
      </c>
      <c r="L15" s="8">
        <f>F15*G15</f>
        <v/>
      </c>
      <c r="M15" s="145" t="inlineStr">
        <is>
          <t>A-C30-PNT-PLA-PRO</t>
        </is>
      </c>
      <c r="N15" s="18" t="inlineStr">
        <is>
          <t>Arquitectura</t>
        </is>
      </c>
      <c r="O15" s="18" t="inlineStr">
        <is>
          <t>Estimado DION · criterio de mercado Guayaquil 2026 (no verificado en tienda)</t>
        </is>
      </c>
      <c r="P15" s="18" t="inlineStr">
        <is>
          <t>oct-2026 (est.)</t>
        </is>
      </c>
      <c r="Q15" s="18" t="n">
        <v>5</v>
      </c>
    </row>
    <row r="16">
      <c r="A16" s="214" t="n">
        <v>8</v>
      </c>
      <c r="B16" s="215" t="inlineStr">
        <is>
          <t xml:space="preserve">        Espátula Metálica 4"</t>
        </is>
      </c>
      <c r="C16" s="216" t="inlineStr">
        <is>
          <t>Residencial / Comercial</t>
        </is>
      </c>
      <c r="D16" s="214" t="inlineStr">
        <is>
          <t>Espátulas</t>
        </is>
      </c>
      <c r="E16" s="214" t="inlineStr">
        <is>
          <t>U</t>
        </is>
      </c>
      <c r="F16" s="217" t="n">
        <v>4</v>
      </c>
      <c r="G16" s="218" t="n">
        <v>2.2</v>
      </c>
      <c r="H16" s="218" t="n">
        <v>2.27</v>
      </c>
      <c r="I16" s="214" t="inlineStr">
        <is>
          <t>Kywi / Megakywi</t>
        </is>
      </c>
      <c r="J16" s="218" t="n">
        <v>2.35</v>
      </c>
      <c r="K16" s="214" t="inlineStr">
        <is>
          <t>Pinturas Cóndor / Unidas</t>
        </is>
      </c>
      <c r="L16" s="219">
        <f>F16*G16</f>
        <v/>
      </c>
      <c r="M16" s="220" t="inlineStr">
        <is>
          <t>A-C30-PNT-ESP</t>
        </is>
      </c>
      <c r="N16" s="214" t="inlineStr">
        <is>
          <t>Arquitectura</t>
        </is>
      </c>
      <c r="O16" s="214" t="inlineStr">
        <is>
          <t>Estimado DION · criterio de mercado Guayaquil 2026 (no verificado en tienda)</t>
        </is>
      </c>
      <c r="P16" s="214" t="inlineStr">
        <is>
          <t>oct-2026 (est.)</t>
        </is>
      </c>
      <c r="Q16" s="214" t="n">
        <v>5</v>
      </c>
    </row>
    <row r="17">
      <c r="A17" s="18" t="n">
        <v>9</v>
      </c>
      <c r="B17" s="19" t="inlineStr">
        <is>
          <t xml:space="preserve">        Pistola Airless (Alquiler por Día)</t>
        </is>
      </c>
      <c r="C17" s="20" t="inlineStr">
        <is>
          <t>Residencial / Comercial</t>
        </is>
      </c>
      <c r="D17" s="18" t="inlineStr">
        <is>
          <t>Equipos</t>
        </is>
      </c>
      <c r="E17" s="18" t="inlineStr">
        <is>
          <t>Día</t>
        </is>
      </c>
      <c r="F17" s="21" t="n">
        <v>2</v>
      </c>
      <c r="G17" s="22" t="n">
        <v>35</v>
      </c>
      <c r="H17" s="22" t="n">
        <v>36.75</v>
      </c>
      <c r="I17" s="18" t="inlineStr">
        <is>
          <t>Kywi / Megakywi</t>
        </is>
      </c>
      <c r="J17" s="22" t="n">
        <v>38.15</v>
      </c>
      <c r="K17" s="18" t="inlineStr">
        <is>
          <t>Pinturas Cóndor / Unidas</t>
        </is>
      </c>
      <c r="L17" s="8">
        <f>F17*G17</f>
        <v/>
      </c>
      <c r="M17" s="145" t="inlineStr">
        <is>
          <t>A-C30-PNT-PIS-AIR</t>
        </is>
      </c>
      <c r="N17" s="18" t="inlineStr">
        <is>
          <t>Arquitectura</t>
        </is>
      </c>
      <c r="O17" s="18" t="inlineStr">
        <is>
          <t>Estimado DION · criterio de mercado Guayaquil 2026 (no verificado en tienda)</t>
        </is>
      </c>
      <c r="P17" s="18" t="inlineStr">
        <is>
          <t>oct-2026 (est.)</t>
        </is>
      </c>
      <c r="Q17" s="18" t="n">
        <v>5</v>
      </c>
    </row>
    <row r="18">
      <c r="A18" s="211" t="inlineStr">
        <is>
          <t>TUBERÍAS</t>
        </is>
      </c>
      <c r="B18" s="143" t="n"/>
      <c r="C18" s="143" t="n"/>
      <c r="D18" s="143" t="n"/>
      <c r="E18" s="143" t="n"/>
      <c r="F18" s="143" t="n"/>
      <c r="G18" s="143" t="n"/>
      <c r="H18" s="143" t="n"/>
      <c r="I18" s="143" t="n"/>
      <c r="J18" s="143" t="n"/>
      <c r="K18" s="143" t="n"/>
      <c r="L18" s="143" t="n"/>
      <c r="M18" s="143" t="n"/>
      <c r="N18" s="143" t="n"/>
      <c r="O18" s="143" t="n"/>
      <c r="P18" s="143" t="n"/>
      <c r="Q18" s="144" t="n"/>
    </row>
    <row r="19">
      <c r="A19" s="212" t="inlineStr">
        <is>
          <t xml:space="preserve">  ► CATEGORÍA: FONDOS Y SELLADORES</t>
        </is>
      </c>
      <c r="B19" s="143" t="n"/>
      <c r="C19" s="143" t="n"/>
      <c r="D19" s="143" t="n"/>
      <c r="E19" s="143" t="n"/>
      <c r="F19" s="143" t="n"/>
      <c r="G19" s="143" t="n"/>
      <c r="H19" s="143" t="n"/>
      <c r="I19" s="143" t="n"/>
      <c r="J19" s="143" t="n"/>
      <c r="K19" s="143" t="n"/>
      <c r="L19" s="143" t="n"/>
      <c r="M19" s="143" t="n"/>
      <c r="N19" s="143" t="n"/>
      <c r="O19" s="143" t="n"/>
      <c r="P19" s="143" t="n"/>
      <c r="Q19" s="144" t="n"/>
    </row>
    <row r="20">
      <c r="A20" s="213" t="inlineStr">
        <is>
          <t xml:space="preserve">      • Subcategoría Especificada: Imprimantes por Sustrato</t>
        </is>
      </c>
      <c r="B20" s="143" t="n"/>
      <c r="C20" s="143" t="n"/>
      <c r="D20" s="143" t="n"/>
      <c r="E20" s="143" t="n"/>
      <c r="F20" s="143" t="n"/>
      <c r="G20" s="143" t="n"/>
      <c r="H20" s="143" t="n"/>
      <c r="I20" s="143" t="n"/>
      <c r="J20" s="143" t="n"/>
      <c r="K20" s="143" t="n"/>
      <c r="L20" s="143" t="n"/>
      <c r="M20" s="143" t="n"/>
      <c r="N20" s="143" t="n"/>
      <c r="O20" s="143" t="n"/>
      <c r="P20" s="143" t="n"/>
      <c r="Q20" s="144" t="n"/>
    </row>
    <row r="21">
      <c r="A21" s="214" t="n">
        <v>10</v>
      </c>
      <c r="B21" s="215" t="inlineStr">
        <is>
          <t xml:space="preserve">        Sellador Alcalino para Paredes Nuevas (Galón)</t>
        </is>
      </c>
      <c r="C21" s="216" t="inlineStr">
        <is>
          <t>Residencial / Comercial</t>
        </is>
      </c>
      <c r="D21" s="214" t="inlineStr">
        <is>
          <t>Selladores</t>
        </is>
      </c>
      <c r="E21" s="214" t="inlineStr">
        <is>
          <t>Galón</t>
        </is>
      </c>
      <c r="F21" s="217" t="n">
        <v>4</v>
      </c>
      <c r="G21" s="218" t="n">
        <v>11.5</v>
      </c>
      <c r="H21" s="218" t="n">
        <v>11.85</v>
      </c>
      <c r="I21" s="214" t="inlineStr">
        <is>
          <t>Kywi / Megakywi</t>
        </is>
      </c>
      <c r="J21" s="218" t="n">
        <v>12.77</v>
      </c>
      <c r="K21" s="214" t="inlineStr">
        <is>
          <t>Pinturas Cóndor / Unidas</t>
        </is>
      </c>
      <c r="L21" s="219">
        <f>F21*G21</f>
        <v/>
      </c>
      <c r="M21" s="220" t="inlineStr">
        <is>
          <t>A-C30-PNT-SEL-ALC</t>
        </is>
      </c>
      <c r="N21" s="214" t="inlineStr">
        <is>
          <t>Arquitectura</t>
        </is>
      </c>
      <c r="O21" s="214" t="inlineStr">
        <is>
          <t>Estimado DION · criterio de mercado Guayaquil 2026 (no verificado en tienda)</t>
        </is>
      </c>
      <c r="P21" s="214" t="inlineStr">
        <is>
          <t>oct-2026 (est.)</t>
        </is>
      </c>
      <c r="Q21" s="214" t="n">
        <v>10</v>
      </c>
    </row>
    <row r="22">
      <c r="A22" s="18" t="n">
        <v>11</v>
      </c>
      <c r="B22" s="19" t="inlineStr">
        <is>
          <t xml:space="preserve">        Sellador para Madera (Galón)</t>
        </is>
      </c>
      <c r="C22" s="20" t="inlineStr">
        <is>
          <t>Residencial / Comercial</t>
        </is>
      </c>
      <c r="D22" s="18" t="inlineStr">
        <is>
          <t>Selladores</t>
        </is>
      </c>
      <c r="E22" s="18" t="inlineStr">
        <is>
          <t>Galón</t>
        </is>
      </c>
      <c r="F22" s="21" t="n">
        <v>4</v>
      </c>
      <c r="G22" s="22" t="n">
        <v>16</v>
      </c>
      <c r="H22" s="22" t="n">
        <v>16.64</v>
      </c>
      <c r="I22" s="18" t="inlineStr">
        <is>
          <t>Kywi / Megakywi</t>
        </is>
      </c>
      <c r="J22" s="22" t="n">
        <v>17.76</v>
      </c>
      <c r="K22" s="18" t="inlineStr">
        <is>
          <t>Pinturas Cóndor / Unidas</t>
        </is>
      </c>
      <c r="L22" s="8">
        <f>F22*G22</f>
        <v/>
      </c>
      <c r="M22" s="145" t="inlineStr">
        <is>
          <t>A-C30-PNT-SEL-MAD</t>
        </is>
      </c>
      <c r="N22" s="18" t="inlineStr">
        <is>
          <t>Arquitectura</t>
        </is>
      </c>
      <c r="O22" s="18" t="inlineStr">
        <is>
          <t>Estimado DION · criterio de mercado Guayaquil 2026 (no verificado en tienda)</t>
        </is>
      </c>
      <c r="P22" s="18" t="inlineStr">
        <is>
          <t>oct-2026 (est.)</t>
        </is>
      </c>
      <c r="Q22" s="18" t="n">
        <v>10</v>
      </c>
    </row>
    <row r="23">
      <c r="A23" s="214" t="n">
        <v>12</v>
      </c>
      <c r="B23" s="215" t="inlineStr">
        <is>
          <t xml:space="preserve">        Fondo Universal / Wash Primer para Galvanizado (Galón)</t>
        </is>
      </c>
      <c r="C23" s="216" t="inlineStr">
        <is>
          <t>Residencial / Comercial</t>
        </is>
      </c>
      <c r="D23" s="214" t="inlineStr">
        <is>
          <t>Fondos</t>
        </is>
      </c>
      <c r="E23" s="214" t="inlineStr">
        <is>
          <t>Galón</t>
        </is>
      </c>
      <c r="F23" s="217" t="n">
        <v>4</v>
      </c>
      <c r="G23" s="218" t="n">
        <v>19</v>
      </c>
      <c r="H23" s="218" t="n">
        <v>19.95</v>
      </c>
      <c r="I23" s="214" t="inlineStr">
        <is>
          <t>Kywi / Megakywi</t>
        </is>
      </c>
      <c r="J23" s="218" t="n">
        <v>20.33</v>
      </c>
      <c r="K23" s="214" t="inlineStr">
        <is>
          <t>Pinturas Cóndor / Unidas</t>
        </is>
      </c>
      <c r="L23" s="219">
        <f>F23*G23</f>
        <v/>
      </c>
      <c r="M23" s="220" t="inlineStr">
        <is>
          <t>A-C30-PNT-FON-UNI</t>
        </is>
      </c>
      <c r="N23" s="214" t="inlineStr">
        <is>
          <t>Arquitectura</t>
        </is>
      </c>
      <c r="O23" s="214" t="inlineStr">
        <is>
          <t>Estimado DION · criterio de mercado Guayaquil 2026 (no verificado en tienda)</t>
        </is>
      </c>
      <c r="P23" s="214" t="inlineStr">
        <is>
          <t>oct-2026 (est.)</t>
        </is>
      </c>
      <c r="Q23" s="214" t="n">
        <v>10</v>
      </c>
    </row>
    <row r="24">
      <c r="A24" s="18" t="n">
        <v>13</v>
      </c>
      <c r="B24" s="19" t="inlineStr">
        <is>
          <t xml:space="preserve">        Empaste Listo Interior (Caneca 5 gal)</t>
        </is>
      </c>
      <c r="C24" s="20" t="inlineStr">
        <is>
          <t>Residencial / Comercial</t>
        </is>
      </c>
      <c r="D24" s="18" t="inlineStr">
        <is>
          <t>Empastes</t>
        </is>
      </c>
      <c r="E24" s="18" t="inlineStr">
        <is>
          <t>Galón</t>
        </is>
      </c>
      <c r="F24" s="21" t="n">
        <v>4</v>
      </c>
      <c r="G24" s="22" t="n">
        <v>32</v>
      </c>
      <c r="H24" s="22" t="n">
        <v>32.64</v>
      </c>
      <c r="I24" s="18" t="inlineStr">
        <is>
          <t>Kywi / Megakywi</t>
        </is>
      </c>
      <c r="J24" s="22" t="n">
        <v>35.2</v>
      </c>
      <c r="K24" s="18" t="inlineStr">
        <is>
          <t>Pinturas Cóndor / Unidas</t>
        </is>
      </c>
      <c r="L24" s="8">
        <f>F24*G24</f>
        <v/>
      </c>
      <c r="M24" s="145" t="inlineStr">
        <is>
          <t>A-C30-PNT-EMP-INT</t>
        </is>
      </c>
      <c r="N24" s="18" t="inlineStr">
        <is>
          <t>Arquitectura</t>
        </is>
      </c>
      <c r="O24" s="18" t="inlineStr">
        <is>
          <t>Estimado DION · criterio de mercado Guayaquil 2026 (no verificado en tienda)</t>
        </is>
      </c>
      <c r="P24" s="18" t="inlineStr">
        <is>
          <t>oct-2026 (est.)</t>
        </is>
      </c>
      <c r="Q24" s="18" t="n">
        <v>10</v>
      </c>
    </row>
    <row r="25">
      <c r="A25" s="214" t="n">
        <v>14</v>
      </c>
      <c r="B25" s="215" t="inlineStr">
        <is>
          <t xml:space="preserve">        Empaste Exterior Elastomérico (Caneca 5 gal)</t>
        </is>
      </c>
      <c r="C25" s="216" t="inlineStr">
        <is>
          <t>Residencial / Comercial</t>
        </is>
      </c>
      <c r="D25" s="214" t="inlineStr">
        <is>
          <t>Empastes</t>
        </is>
      </c>
      <c r="E25" s="214" t="inlineStr">
        <is>
          <t>Galón</t>
        </is>
      </c>
      <c r="F25" s="217" t="n">
        <v>4</v>
      </c>
      <c r="G25" s="218" t="n">
        <v>45</v>
      </c>
      <c r="H25" s="218" t="n">
        <v>47.25</v>
      </c>
      <c r="I25" s="214" t="inlineStr">
        <is>
          <t>Kywi / Megakywi</t>
        </is>
      </c>
      <c r="J25" s="218" t="n">
        <v>48.15</v>
      </c>
      <c r="K25" s="214" t="inlineStr">
        <is>
          <t>Pinturas Cóndor / Unidas</t>
        </is>
      </c>
      <c r="L25" s="219">
        <f>F25*G25</f>
        <v/>
      </c>
      <c r="M25" s="220" t="inlineStr">
        <is>
          <t>A-C30-PNT-EMP-EXT</t>
        </is>
      </c>
      <c r="N25" s="214" t="inlineStr">
        <is>
          <t>Arquitectura</t>
        </is>
      </c>
      <c r="O25" s="214" t="inlineStr">
        <is>
          <t>Estimado DION · criterio de mercado Guayaquil 2026 (no verificado en tienda)</t>
        </is>
      </c>
      <c r="P25" s="214" t="inlineStr">
        <is>
          <t>oct-2026 (est.)</t>
        </is>
      </c>
      <c r="Q25" s="214" t="n">
        <v>10</v>
      </c>
    </row>
    <row r="26">
      <c r="A26" s="211" t="inlineStr">
        <is>
          <t>EQUIPOS</t>
        </is>
      </c>
      <c r="B26" s="143" t="n"/>
      <c r="C26" s="143" t="n"/>
      <c r="D26" s="143" t="n"/>
      <c r="E26" s="143" t="n"/>
      <c r="F26" s="143" t="n"/>
      <c r="G26" s="143" t="n"/>
      <c r="H26" s="143" t="n"/>
      <c r="I26" s="143" t="n"/>
      <c r="J26" s="143" t="n"/>
      <c r="K26" s="143" t="n"/>
      <c r="L26" s="143" t="n"/>
      <c r="M26" s="143" t="n"/>
      <c r="N26" s="143" t="n"/>
      <c r="O26" s="143" t="n"/>
      <c r="P26" s="143" t="n"/>
      <c r="Q26" s="144" t="n"/>
    </row>
    <row r="27">
      <c r="A27" s="212" t="inlineStr">
        <is>
          <t xml:space="preserve">  ► CATEGORÍA: EQUIPOS DE APLICACIÓN</t>
        </is>
      </c>
      <c r="B27" s="143" t="n"/>
      <c r="C27" s="143" t="n"/>
      <c r="D27" s="143" t="n"/>
      <c r="E27" s="143" t="n"/>
      <c r="F27" s="143" t="n"/>
      <c r="G27" s="143" t="n"/>
      <c r="H27" s="143" t="n"/>
      <c r="I27" s="143" t="n"/>
      <c r="J27" s="143" t="n"/>
      <c r="K27" s="143" t="n"/>
      <c r="L27" s="143" t="n"/>
      <c r="M27" s="143" t="n"/>
      <c r="N27" s="143" t="n"/>
      <c r="O27" s="143" t="n"/>
      <c r="P27" s="143" t="n"/>
      <c r="Q27" s="144" t="n"/>
    </row>
    <row r="28">
      <c r="A28" s="213" t="inlineStr">
        <is>
          <t xml:space="preserve">      • Subcategoría Especificada: Compra</t>
        </is>
      </c>
      <c r="B28" s="143" t="n"/>
      <c r="C28" s="143" t="n"/>
      <c r="D28" s="143" t="n"/>
      <c r="E28" s="143" t="n"/>
      <c r="F28" s="143" t="n"/>
      <c r="G28" s="143" t="n"/>
      <c r="H28" s="143" t="n"/>
      <c r="I28" s="143" t="n"/>
      <c r="J28" s="143" t="n"/>
      <c r="K28" s="143" t="n"/>
      <c r="L28" s="143" t="n"/>
      <c r="M28" s="143" t="n"/>
      <c r="N28" s="143" t="n"/>
      <c r="O28" s="143" t="n"/>
      <c r="P28" s="143" t="n"/>
      <c r="Q28" s="144" t="n"/>
    </row>
    <row r="29">
      <c r="A29" s="18" t="n">
        <v>15</v>
      </c>
      <c r="B29" s="19" t="inlineStr">
        <is>
          <t xml:space="preserve">        Equipo Airless de Pintura 1 HP</t>
        </is>
      </c>
      <c r="C29" s="20" t="inlineStr">
        <is>
          <t>Comercial</t>
        </is>
      </c>
      <c r="D29" s="18" t="inlineStr">
        <is>
          <t>Equipos Airless</t>
        </is>
      </c>
      <c r="E29" s="18" t="inlineStr">
        <is>
          <t>U</t>
        </is>
      </c>
      <c r="F29" s="21" t="n">
        <v>0</v>
      </c>
      <c r="G29" s="22" t="n">
        <v>1250</v>
      </c>
      <c r="H29" s="22" t="n">
        <v>1300</v>
      </c>
      <c r="I29" s="18" t="inlineStr">
        <is>
          <t>Kywi / Megakywi</t>
        </is>
      </c>
      <c r="J29" s="22" t="n">
        <v>1350</v>
      </c>
      <c r="K29" s="18" t="inlineStr">
        <is>
          <t>Pinturas Cóndor / Unidas</t>
        </is>
      </c>
      <c r="L29" s="8">
        <f>F29*G29</f>
        <v/>
      </c>
      <c r="M29" s="145" t="inlineStr">
        <is>
          <t>Z-Z10-EQH-AIR-1HP</t>
        </is>
      </c>
      <c r="N29" s="18" t="inlineStr">
        <is>
          <t>General / coordinación multidisciplinar</t>
        </is>
      </c>
      <c r="O29" s="18" t="inlineStr">
        <is>
          <t>Estimado DION · criterio de mercado Guayaquil 2026 (no verificado en tienda)</t>
        </is>
      </c>
      <c r="P29" s="18" t="inlineStr">
        <is>
          <t>oct-2026 (est.)</t>
        </is>
      </c>
      <c r="Q29" s="18" t="n"/>
    </row>
    <row r="30">
      <c r="A30" s="214" t="n">
        <v>16</v>
      </c>
      <c r="B30" s="215" t="inlineStr">
        <is>
          <t xml:space="preserve">        Pistola de Pintura HVLP con Compresor</t>
        </is>
      </c>
      <c r="C30" s="216" t="inlineStr">
        <is>
          <t>Residencial / Comercial</t>
        </is>
      </c>
      <c r="D30" s="214" t="inlineStr">
        <is>
          <t>Pistolas</t>
        </is>
      </c>
      <c r="E30" s="214" t="inlineStr">
        <is>
          <t>Juego</t>
        </is>
      </c>
      <c r="F30" s="217" t="n">
        <v>1</v>
      </c>
      <c r="G30" s="218" t="n">
        <v>185</v>
      </c>
      <c r="H30" s="218" t="n">
        <v>190.55</v>
      </c>
      <c r="I30" s="214" t="inlineStr">
        <is>
          <t>Kywi / Megakywi</t>
        </is>
      </c>
      <c r="J30" s="218" t="n">
        <v>201.65</v>
      </c>
      <c r="K30" s="214" t="inlineStr">
        <is>
          <t>Pinturas Cóndor / Unidas</t>
        </is>
      </c>
      <c r="L30" s="219">
        <f>F30*G30</f>
        <v/>
      </c>
      <c r="M30" s="220" t="inlineStr">
        <is>
          <t>Z-Z10-EQH-PIS-HVL</t>
        </is>
      </c>
      <c r="N30" s="214" t="inlineStr">
        <is>
          <t>General / coordinación multidisciplinar</t>
        </is>
      </c>
      <c r="O30" s="214" t="inlineStr">
        <is>
          <t>Estimado DION · criterio de mercado Guayaquil 2026 (no verificado en tienda)</t>
        </is>
      </c>
      <c r="P30" s="214" t="inlineStr">
        <is>
          <t>oct-2026 (est.)</t>
        </is>
      </c>
      <c r="Q30" s="214" t="n"/>
    </row>
    <row r="31">
      <c r="A31" s="211" t="inlineStr">
        <is>
          <t>CONEXIONES</t>
        </is>
      </c>
      <c r="B31" s="143" t="n"/>
      <c r="C31" s="143" t="n"/>
      <c r="D31" s="143" t="n"/>
      <c r="E31" s="143" t="n"/>
      <c r="F31" s="143" t="n"/>
      <c r="G31" s="143" t="n"/>
      <c r="H31" s="143" t="n"/>
      <c r="I31" s="143" t="n"/>
      <c r="J31" s="143" t="n"/>
      <c r="K31" s="143" t="n"/>
      <c r="L31" s="143" t="n"/>
      <c r="M31" s="143" t="n"/>
      <c r="N31" s="143" t="n"/>
      <c r="O31" s="143" t="n"/>
      <c r="P31" s="143" t="n"/>
      <c r="Q31" s="144" t="n"/>
    </row>
    <row r="32">
      <c r="A32" s="212" t="inlineStr">
        <is>
          <t xml:space="preserve">  ► CATEGORÍA: DILUYENTES Y COMPLEMENTOS</t>
        </is>
      </c>
      <c r="B32" s="143" t="n"/>
      <c r="C32" s="143" t="n"/>
      <c r="D32" s="143" t="n"/>
      <c r="E32" s="143" t="n"/>
      <c r="F32" s="143" t="n"/>
      <c r="G32" s="143" t="n"/>
      <c r="H32" s="143" t="n"/>
      <c r="I32" s="143" t="n"/>
      <c r="J32" s="143" t="n"/>
      <c r="K32" s="143" t="n"/>
      <c r="L32" s="143" t="n"/>
      <c r="M32" s="143" t="n"/>
      <c r="N32" s="143" t="n"/>
      <c r="O32" s="143" t="n"/>
      <c r="P32" s="143" t="n"/>
      <c r="Q32" s="144" t="n"/>
    </row>
    <row r="33">
      <c r="A33" s="213" t="inlineStr">
        <is>
          <t xml:space="preserve">      • Subcategoría Especificada: Solventes, Catalizadores y Tintas</t>
        </is>
      </c>
      <c r="B33" s="143" t="n"/>
      <c r="C33" s="143" t="n"/>
      <c r="D33" s="143" t="n"/>
      <c r="E33" s="143" t="n"/>
      <c r="F33" s="143" t="n"/>
      <c r="G33" s="143" t="n"/>
      <c r="H33" s="143" t="n"/>
      <c r="I33" s="143" t="n"/>
      <c r="J33" s="143" t="n"/>
      <c r="K33" s="143" t="n"/>
      <c r="L33" s="143" t="n"/>
      <c r="M33" s="143" t="n"/>
      <c r="N33" s="143" t="n"/>
      <c r="O33" s="143" t="n"/>
      <c r="P33" s="143" t="n"/>
      <c r="Q33" s="144" t="n"/>
    </row>
    <row r="34">
      <c r="A34" s="18" t="n">
        <v>17</v>
      </c>
      <c r="B34" s="19" t="inlineStr">
        <is>
          <t xml:space="preserve">        Thinner Laca (Galón)</t>
        </is>
      </c>
      <c r="C34" s="20" t="inlineStr">
        <is>
          <t>Residencial / Comercial</t>
        </is>
      </c>
      <c r="D34" s="18" t="inlineStr">
        <is>
          <t>Diluyentes</t>
        </is>
      </c>
      <c r="E34" s="18" t="inlineStr">
        <is>
          <t>Galón</t>
        </is>
      </c>
      <c r="F34" s="21" t="n">
        <v>4</v>
      </c>
      <c r="G34" s="22" t="n">
        <v>7.5</v>
      </c>
      <c r="H34" s="22" t="n">
        <v>7.65</v>
      </c>
      <c r="I34" s="18" t="inlineStr">
        <is>
          <t>Kywi / Megakywi</t>
        </is>
      </c>
      <c r="J34" s="22" t="n">
        <v>8.1</v>
      </c>
      <c r="K34" s="18" t="inlineStr">
        <is>
          <t>Pinturas Cóndor / Unidas</t>
        </is>
      </c>
      <c r="L34" s="8">
        <f>F34*G34</f>
        <v/>
      </c>
      <c r="M34" s="145" t="inlineStr">
        <is>
          <t>A-C30-PNT-DIL-THI</t>
        </is>
      </c>
      <c r="N34" s="18" t="inlineStr">
        <is>
          <t>Arquitectura</t>
        </is>
      </c>
      <c r="O34" s="18" t="inlineStr">
        <is>
          <t>Estimado DION · criterio de mercado Guayaquil 2026 (no verificado en tienda)</t>
        </is>
      </c>
      <c r="P34" s="18" t="inlineStr">
        <is>
          <t>oct-2026 (est.)</t>
        </is>
      </c>
      <c r="Q34" s="18" t="n">
        <v>5</v>
      </c>
    </row>
    <row r="35">
      <c r="A35" s="214" t="n">
        <v>18</v>
      </c>
      <c r="B35" s="215" t="inlineStr">
        <is>
          <t xml:space="preserve">        Diluyente Aguarrás Mineral (Galón)</t>
        </is>
      </c>
      <c r="C35" s="216" t="inlineStr">
        <is>
          <t>Residencial / Comercial</t>
        </is>
      </c>
      <c r="D35" s="214" t="inlineStr">
        <is>
          <t>Diluyentes</t>
        </is>
      </c>
      <c r="E35" s="214" t="inlineStr">
        <is>
          <t>Galón</t>
        </is>
      </c>
      <c r="F35" s="217" t="n">
        <v>2</v>
      </c>
      <c r="G35" s="218" t="n">
        <v>8.5</v>
      </c>
      <c r="H35" s="218" t="n">
        <v>8.84</v>
      </c>
      <c r="I35" s="214" t="inlineStr">
        <is>
          <t>Kywi / Megakywi</t>
        </is>
      </c>
      <c r="J35" s="218" t="n">
        <v>9.35</v>
      </c>
      <c r="K35" s="214" t="inlineStr">
        <is>
          <t>Pinturas Cóndor / Unidas</t>
        </is>
      </c>
      <c r="L35" s="219">
        <f>F35*G35</f>
        <v/>
      </c>
      <c r="M35" s="220" t="inlineStr">
        <is>
          <t>A-C30-PNT-DIL-AGU</t>
        </is>
      </c>
      <c r="N35" s="214" t="inlineStr">
        <is>
          <t>Arquitectura</t>
        </is>
      </c>
      <c r="O35" s="214" t="inlineStr">
        <is>
          <t>Estimado DION · criterio de mercado Guayaquil 2026 (no verificado en tienda)</t>
        </is>
      </c>
      <c r="P35" s="214" t="inlineStr">
        <is>
          <t>oct-2026 (est.)</t>
        </is>
      </c>
      <c r="Q35" s="214" t="n">
        <v>5</v>
      </c>
    </row>
    <row r="36">
      <c r="A36" s="18" t="n">
        <v>19</v>
      </c>
      <c r="B36" s="19" t="inlineStr">
        <is>
          <t xml:space="preserve">        Catalizador Epóxico (Cuarto)</t>
        </is>
      </c>
      <c r="C36" s="20" t="inlineStr">
        <is>
          <t>Residencial / Comercial</t>
        </is>
      </c>
      <c r="D36" s="18" t="inlineStr">
        <is>
          <t>Catalizadores</t>
        </is>
      </c>
      <c r="E36" s="18" t="inlineStr">
        <is>
          <t>U</t>
        </is>
      </c>
      <c r="F36" s="21" t="n">
        <v>2</v>
      </c>
      <c r="G36" s="22" t="n">
        <v>12</v>
      </c>
      <c r="H36" s="22" t="n">
        <v>12.48</v>
      </c>
      <c r="I36" s="18" t="inlineStr">
        <is>
          <t>Kywi / Megakywi</t>
        </is>
      </c>
      <c r="J36" s="22" t="n">
        <v>13.32</v>
      </c>
      <c r="K36" s="18" t="inlineStr">
        <is>
          <t>Pinturas Cóndor / Unidas</t>
        </is>
      </c>
      <c r="L36" s="8">
        <f>F36*G36</f>
        <v/>
      </c>
      <c r="M36" s="145" t="inlineStr">
        <is>
          <t>A-C30-PNT-CAT-EPX</t>
        </is>
      </c>
      <c r="N36" s="18" t="inlineStr">
        <is>
          <t>Arquitectura</t>
        </is>
      </c>
      <c r="O36" s="18" t="inlineStr">
        <is>
          <t>Estimado DION · criterio de mercado Guayaquil 2026 (no verificado en tienda)</t>
        </is>
      </c>
      <c r="P36" s="18" t="inlineStr">
        <is>
          <t>oct-2026 (est.)</t>
        </is>
      </c>
      <c r="Q36" s="18" t="n">
        <v>5</v>
      </c>
    </row>
    <row r="37">
      <c r="A37" s="214" t="n">
        <v>20</v>
      </c>
      <c r="B37" s="215" t="inlineStr">
        <is>
          <t xml:space="preserve">        Tinta Universal Entonador (Onza)</t>
        </is>
      </c>
      <c r="C37" s="216" t="inlineStr">
        <is>
          <t>Residencial / Comercial</t>
        </is>
      </c>
      <c r="D37" s="214" t="inlineStr">
        <is>
          <t>Entonadores</t>
        </is>
      </c>
      <c r="E37" s="214" t="inlineStr">
        <is>
          <t>U</t>
        </is>
      </c>
      <c r="F37" s="217" t="n">
        <v>10</v>
      </c>
      <c r="G37" s="218" t="n">
        <v>1.2</v>
      </c>
      <c r="H37" s="218" t="n">
        <v>1.24</v>
      </c>
      <c r="I37" s="214" t="inlineStr">
        <is>
          <t>Kywi / Megakywi</t>
        </is>
      </c>
      <c r="J37" s="218" t="n">
        <v>1.31</v>
      </c>
      <c r="K37" s="214" t="inlineStr">
        <is>
          <t>Pinturas Cóndor / Unidas</t>
        </is>
      </c>
      <c r="L37" s="219">
        <f>F37*G37</f>
        <v/>
      </c>
      <c r="M37" s="220" t="inlineStr">
        <is>
          <t>A-C30-PNT-TIN-UNI</t>
        </is>
      </c>
      <c r="N37" s="214" t="inlineStr">
        <is>
          <t>Arquitectura</t>
        </is>
      </c>
      <c r="O37" s="214" t="inlineStr">
        <is>
          <t>Estimado DION · criterio de mercado Guayaquil 2026 (no verificado en tienda)</t>
        </is>
      </c>
      <c r="P37" s="214" t="inlineStr">
        <is>
          <t>oct-2026 (est.)</t>
        </is>
      </c>
      <c r="Q37" s="214" t="n">
        <v>5</v>
      </c>
    </row>
    <row r="38">
      <c r="A38" s="18" t="n">
        <v>21</v>
      </c>
      <c r="B38" s="19" t="inlineStr">
        <is>
          <t xml:space="preserve">        Masilla para Madera (¼ Galón)</t>
        </is>
      </c>
      <c r="C38" s="20" t="inlineStr">
        <is>
          <t>Residencial / Comercial</t>
        </is>
      </c>
      <c r="D38" s="18" t="inlineStr">
        <is>
          <t>Masillas</t>
        </is>
      </c>
      <c r="E38" s="18" t="inlineStr">
        <is>
          <t>U</t>
        </is>
      </c>
      <c r="F38" s="21" t="n">
        <v>2</v>
      </c>
      <c r="G38" s="22" t="n">
        <v>6.5</v>
      </c>
      <c r="H38" s="22" t="n">
        <v>6.63</v>
      </c>
      <c r="I38" s="18" t="inlineStr">
        <is>
          <t>Kywi / Megakywi</t>
        </is>
      </c>
      <c r="J38" s="22" t="n">
        <v>7.22</v>
      </c>
      <c r="K38" s="18" t="inlineStr">
        <is>
          <t>Pinturas Cóndor / Unidas</t>
        </is>
      </c>
      <c r="L38" s="8">
        <f>F38*G38</f>
        <v/>
      </c>
      <c r="M38" s="145" t="inlineStr">
        <is>
          <t>A-C30-PNT-MAS-MAD</t>
        </is>
      </c>
      <c r="N38" s="18" t="inlineStr">
        <is>
          <t>Arquitectura</t>
        </is>
      </c>
      <c r="O38" s="18" t="inlineStr">
        <is>
          <t>Estimado DION · criterio de mercado Guayaquil 2026 (no verificado en tienda)</t>
        </is>
      </c>
      <c r="P38" s="18" t="inlineStr">
        <is>
          <t>oct-2026 (est.)</t>
        </is>
      </c>
      <c r="Q38" s="18" t="n">
        <v>5</v>
      </c>
    </row>
    <row r="39">
      <c r="A39" s="211" t="inlineStr">
        <is>
          <t>EQUIPOS ESPECIALIZADOS</t>
        </is>
      </c>
      <c r="B39" s="143" t="n"/>
      <c r="C39" s="143" t="n"/>
      <c r="D39" s="143" t="n"/>
      <c r="E39" s="143" t="n"/>
      <c r="F39" s="143" t="n"/>
      <c r="G39" s="143" t="n"/>
      <c r="H39" s="143" t="n"/>
      <c r="I39" s="143" t="n"/>
      <c r="J39" s="143" t="n"/>
      <c r="K39" s="143" t="n"/>
      <c r="L39" s="143" t="n"/>
      <c r="M39" s="143" t="n"/>
      <c r="N39" s="143" t="n"/>
      <c r="O39" s="143" t="n"/>
      <c r="P39" s="143" t="n"/>
      <c r="Q39" s="144" t="n"/>
    </row>
    <row r="40">
      <c r="A40" s="212" t="inlineStr">
        <is>
          <t xml:space="preserve">  ► CATEGORÍA: PINTURAS POR TIPO Y USO</t>
        </is>
      </c>
      <c r="B40" s="143" t="n"/>
      <c r="C40" s="143" t="n"/>
      <c r="D40" s="143" t="n"/>
      <c r="E40" s="143" t="n"/>
      <c r="F40" s="143" t="n"/>
      <c r="G40" s="143" t="n"/>
      <c r="H40" s="143" t="n"/>
      <c r="I40" s="143" t="n"/>
      <c r="J40" s="143" t="n"/>
      <c r="K40" s="143" t="n"/>
      <c r="L40" s="143" t="n"/>
      <c r="M40" s="143" t="n"/>
      <c r="N40" s="143" t="n"/>
      <c r="O40" s="143" t="n"/>
      <c r="P40" s="143" t="n"/>
      <c r="Q40" s="144" t="n"/>
    </row>
    <row r="41">
      <c r="A41" s="213" t="inlineStr">
        <is>
          <t xml:space="preserve">      • Subcategoría Especificada: Interiores, Exteriores, Epóxicos, Esmaltes, Barnices y Especiales</t>
        </is>
      </c>
      <c r="B41" s="143" t="n"/>
      <c r="C41" s="143" t="n"/>
      <c r="D41" s="143" t="n"/>
      <c r="E41" s="143" t="n"/>
      <c r="F41" s="143" t="n"/>
      <c r="G41" s="143" t="n"/>
      <c r="H41" s="143" t="n"/>
      <c r="I41" s="143" t="n"/>
      <c r="J41" s="143" t="n"/>
      <c r="K41" s="143" t="n"/>
      <c r="L41" s="143" t="n"/>
      <c r="M41" s="143" t="n"/>
      <c r="N41" s="143" t="n"/>
      <c r="O41" s="143" t="n"/>
      <c r="P41" s="143" t="n"/>
      <c r="Q41" s="144" t="n"/>
    </row>
    <row r="42">
      <c r="A42" s="214" t="n">
        <v>22</v>
      </c>
      <c r="B42" s="215" t="inlineStr">
        <is>
          <t xml:space="preserve">        Pintura Látex Vinílica Interior Económica (Galón)</t>
        </is>
      </c>
      <c r="C42" s="216" t="inlineStr">
        <is>
          <t>Residencial / Comercial</t>
        </is>
      </c>
      <c r="D42" s="214" t="inlineStr">
        <is>
          <t>Látex Interior</t>
        </is>
      </c>
      <c r="E42" s="214" t="inlineStr">
        <is>
          <t>Galón</t>
        </is>
      </c>
      <c r="F42" s="217" t="n">
        <v>4</v>
      </c>
      <c r="G42" s="218" t="n">
        <v>9.5</v>
      </c>
      <c r="H42" s="218" t="n">
        <v>9.880000000000001</v>
      </c>
      <c r="I42" s="214" t="inlineStr">
        <is>
          <t>Kywi / Megakywi</t>
        </is>
      </c>
      <c r="J42" s="218" t="n">
        <v>10.55</v>
      </c>
      <c r="K42" s="214" t="inlineStr">
        <is>
          <t>Pinturas Cóndor / Unidas</t>
        </is>
      </c>
      <c r="L42" s="219">
        <f>F42*G42</f>
        <v/>
      </c>
      <c r="M42" s="220" t="inlineStr">
        <is>
          <t>A-C30-PNT-LAT-INT-ECO</t>
        </is>
      </c>
      <c r="N42" s="214" t="inlineStr">
        <is>
          <t>Arquitectura</t>
        </is>
      </c>
      <c r="O42" s="214" t="inlineStr">
        <is>
          <t>Estimado DION · criterio de mercado Guayaquil 2026 (no verificado en tienda)</t>
        </is>
      </c>
      <c r="P42" s="214" t="inlineStr">
        <is>
          <t>oct-2026 (est.)</t>
        </is>
      </c>
      <c r="Q42" s="214" t="n">
        <v>10</v>
      </c>
    </row>
    <row r="43">
      <c r="A43" s="18" t="n">
        <v>23</v>
      </c>
      <c r="B43" s="19" t="inlineStr">
        <is>
          <t xml:space="preserve">        Pintura Látex Acrílica Interior Premium Lavable (Galón)</t>
        </is>
      </c>
      <c r="C43" s="20" t="inlineStr">
        <is>
          <t>Residencial / Comercial</t>
        </is>
      </c>
      <c r="D43" s="18" t="inlineStr">
        <is>
          <t>Látex Interior</t>
        </is>
      </c>
      <c r="E43" s="18" t="inlineStr">
        <is>
          <t>Galón</t>
        </is>
      </c>
      <c r="F43" s="21" t="n">
        <v>4</v>
      </c>
      <c r="G43" s="22" t="n">
        <v>19.5</v>
      </c>
      <c r="H43" s="22" t="n">
        <v>20.28</v>
      </c>
      <c r="I43" s="18" t="inlineStr">
        <is>
          <t>Kywi / Megakywi</t>
        </is>
      </c>
      <c r="J43" s="22" t="n">
        <v>21.06</v>
      </c>
      <c r="K43" s="18" t="inlineStr">
        <is>
          <t>Pinturas Cóndor / Unidas</t>
        </is>
      </c>
      <c r="L43" s="8">
        <f>F43*G43</f>
        <v/>
      </c>
      <c r="M43" s="145" t="inlineStr">
        <is>
          <t>A-C30-PNT-LAT-INT-PRE</t>
        </is>
      </c>
      <c r="N43" s="18" t="inlineStr">
        <is>
          <t>Arquitectura</t>
        </is>
      </c>
      <c r="O43" s="18" t="inlineStr">
        <is>
          <t>Estimado DION · criterio de mercado Guayaquil 2026 (no verificado en tienda)</t>
        </is>
      </c>
      <c r="P43" s="18" t="inlineStr">
        <is>
          <t>oct-2026 (est.)</t>
        </is>
      </c>
      <c r="Q43" s="18" t="n">
        <v>10</v>
      </c>
    </row>
    <row r="44">
      <c r="A44" s="214" t="n">
        <v>24</v>
      </c>
      <c r="B44" s="215" t="inlineStr">
        <is>
          <t xml:space="preserve">        Pintura Látex Interior Premium (Caneca 5 gal)</t>
        </is>
      </c>
      <c r="C44" s="216" t="inlineStr">
        <is>
          <t>Residencial / Comercial</t>
        </is>
      </c>
      <c r="D44" s="214" t="inlineStr">
        <is>
          <t>Látex Interior</t>
        </is>
      </c>
      <c r="E44" s="214" t="inlineStr">
        <is>
          <t>Caneca</t>
        </is>
      </c>
      <c r="F44" s="217" t="n">
        <v>4</v>
      </c>
      <c r="G44" s="218" t="n">
        <v>88</v>
      </c>
      <c r="H44" s="218" t="n">
        <v>90.64</v>
      </c>
      <c r="I44" s="214" t="inlineStr">
        <is>
          <t>Kywi / Megakywi</t>
        </is>
      </c>
      <c r="J44" s="218" t="n">
        <v>95.92</v>
      </c>
      <c r="K44" s="214" t="inlineStr">
        <is>
          <t>Pinturas Cóndor / Unidas</t>
        </is>
      </c>
      <c r="L44" s="219">
        <f>F44*G44</f>
        <v/>
      </c>
      <c r="M44" s="220" t="inlineStr">
        <is>
          <t>A-C30-PNT-LAT-INT-CAN</t>
        </is>
      </c>
      <c r="N44" s="214" t="inlineStr">
        <is>
          <t>Arquitectura</t>
        </is>
      </c>
      <c r="O44" s="214" t="inlineStr">
        <is>
          <t>Estimado DION · criterio de mercado Guayaquil 2026 (no verificado en tienda)</t>
        </is>
      </c>
      <c r="P44" s="214" t="inlineStr">
        <is>
          <t>oct-2026 (est.)</t>
        </is>
      </c>
      <c r="Q44" s="214" t="n">
        <v>10</v>
      </c>
    </row>
    <row r="45">
      <c r="A45" s="18" t="n">
        <v>25</v>
      </c>
      <c r="B45" s="19" t="inlineStr">
        <is>
          <t xml:space="preserve">        Pintura Látex Acrílica Exterior Elastomérica (Galón)</t>
        </is>
      </c>
      <c r="C45" s="20" t="inlineStr">
        <is>
          <t>Residencial / Comercial</t>
        </is>
      </c>
      <c r="D45" s="18" t="inlineStr">
        <is>
          <t>Látex Exterior</t>
        </is>
      </c>
      <c r="E45" s="18" t="inlineStr">
        <is>
          <t>Galón</t>
        </is>
      </c>
      <c r="F45" s="21" t="n">
        <v>4</v>
      </c>
      <c r="G45" s="22" t="n">
        <v>24</v>
      </c>
      <c r="H45" s="22" t="n">
        <v>24.48</v>
      </c>
      <c r="I45" s="18" t="inlineStr">
        <is>
          <t>Kywi / Megakywi</t>
        </is>
      </c>
      <c r="J45" s="22" t="n">
        <v>25.68</v>
      </c>
      <c r="K45" s="18" t="inlineStr">
        <is>
          <t>Pinturas Cóndor / Unidas</t>
        </is>
      </c>
      <c r="L45" s="8">
        <f>F45*G45</f>
        <v/>
      </c>
      <c r="M45" s="145" t="inlineStr">
        <is>
          <t>A-C30-PNT-LAT-EXT-PRE</t>
        </is>
      </c>
      <c r="N45" s="18" t="inlineStr">
        <is>
          <t>Arquitectura</t>
        </is>
      </c>
      <c r="O45" s="18" t="inlineStr">
        <is>
          <t>Estimado DION · criterio de mercado Guayaquil 2026 (no verificado en tienda)</t>
        </is>
      </c>
      <c r="P45" s="18" t="inlineStr">
        <is>
          <t>oct-2026 (est.)</t>
        </is>
      </c>
      <c r="Q45" s="18" t="n">
        <v>10</v>
      </c>
    </row>
    <row r="46">
      <c r="A46" s="214" t="n">
        <v>26</v>
      </c>
      <c r="B46" s="215" t="inlineStr">
        <is>
          <t xml:space="preserve">        Pintura Látex Exterior (Caneca 5 gal)</t>
        </is>
      </c>
      <c r="C46" s="216" t="inlineStr">
        <is>
          <t>Residencial / Comercial</t>
        </is>
      </c>
      <c r="D46" s="214" t="inlineStr">
        <is>
          <t>Látex Exterior</t>
        </is>
      </c>
      <c r="E46" s="214" t="inlineStr">
        <is>
          <t>Caneca</t>
        </is>
      </c>
      <c r="F46" s="217" t="n">
        <v>4</v>
      </c>
      <c r="G46" s="218" t="n">
        <v>110</v>
      </c>
      <c r="H46" s="218" t="n">
        <v>113.3</v>
      </c>
      <c r="I46" s="214" t="inlineStr">
        <is>
          <t>Kywi / Megakywi</t>
        </is>
      </c>
      <c r="J46" s="218" t="n">
        <v>119.9</v>
      </c>
      <c r="K46" s="214" t="inlineStr">
        <is>
          <t>Pinturas Cóndor / Unidas</t>
        </is>
      </c>
      <c r="L46" s="219">
        <f>F46*G46</f>
        <v/>
      </c>
      <c r="M46" s="220" t="inlineStr">
        <is>
          <t>A-C30-PNT-LAT-EXT-CAN</t>
        </is>
      </c>
      <c r="N46" s="214" t="inlineStr">
        <is>
          <t>Arquitectura</t>
        </is>
      </c>
      <c r="O46" s="214" t="inlineStr">
        <is>
          <t>Estimado DION · criterio de mercado Guayaquil 2026 (no verificado en tienda)</t>
        </is>
      </c>
      <c r="P46" s="214" t="inlineStr">
        <is>
          <t>oct-2026 (est.)</t>
        </is>
      </c>
      <c r="Q46" s="214" t="n">
        <v>10</v>
      </c>
    </row>
    <row r="47">
      <c r="A47" s="18" t="n">
        <v>27</v>
      </c>
      <c r="B47" s="19" t="inlineStr">
        <is>
          <t xml:space="preserve">        Pintura Antihongos / Antibacterial (Galón)</t>
        </is>
      </c>
      <c r="C47" s="20" t="inlineStr">
        <is>
          <t>Hospitalario / Comercial</t>
        </is>
      </c>
      <c r="D47" s="18" t="inlineStr">
        <is>
          <t>Pinturas Especiales</t>
        </is>
      </c>
      <c r="E47" s="18" t="inlineStr">
        <is>
          <t>Galón</t>
        </is>
      </c>
      <c r="F47" s="21" t="n">
        <v>4</v>
      </c>
      <c r="G47" s="22" t="n">
        <v>28</v>
      </c>
      <c r="H47" s="22" t="n">
        <v>28.84</v>
      </c>
      <c r="I47" s="18" t="inlineStr">
        <is>
          <t>Kywi / Megakywi</t>
        </is>
      </c>
      <c r="J47" s="22" t="n">
        <v>30.24</v>
      </c>
      <c r="K47" s="18" t="inlineStr">
        <is>
          <t>Pinturas Cóndor / Unidas</t>
        </is>
      </c>
      <c r="L47" s="8">
        <f>F47*G47</f>
        <v/>
      </c>
      <c r="M47" s="145" t="inlineStr">
        <is>
          <t>A-C30-PNT-ANT-HON</t>
        </is>
      </c>
      <c r="N47" s="18" t="inlineStr">
        <is>
          <t>Arquitectura</t>
        </is>
      </c>
      <c r="O47" s="18" t="inlineStr">
        <is>
          <t>Estimado DION · criterio de mercado Guayaquil 2026 (no verificado en tienda)</t>
        </is>
      </c>
      <c r="P47" s="18" t="inlineStr">
        <is>
          <t>oct-2026 (est.)</t>
        </is>
      </c>
      <c r="Q47" s="18" t="n">
        <v>10</v>
      </c>
    </row>
    <row r="48">
      <c r="A48" s="214" t="n">
        <v>28</v>
      </c>
      <c r="B48" s="215" t="inlineStr">
        <is>
          <t xml:space="preserve">        Pintura Epóxica Sanitaria Pared (Kit Galón)</t>
        </is>
      </c>
      <c r="C48" s="216" t="inlineStr">
        <is>
          <t>Hospitalario / Alimentos</t>
        </is>
      </c>
      <c r="D48" s="214" t="inlineStr">
        <is>
          <t>Pinturas Epóxicas</t>
        </is>
      </c>
      <c r="E48" s="214" t="inlineStr">
        <is>
          <t>Galón</t>
        </is>
      </c>
      <c r="F48" s="217" t="n">
        <v>4</v>
      </c>
      <c r="G48" s="218" t="n">
        <v>48</v>
      </c>
      <c r="H48" s="218" t="n">
        <v>48.96</v>
      </c>
      <c r="I48" s="214" t="inlineStr">
        <is>
          <t>Kywi / Megakywi</t>
        </is>
      </c>
      <c r="J48" s="218" t="n">
        <v>52.8</v>
      </c>
      <c r="K48" s="214" t="inlineStr">
        <is>
          <t>Pinturas Cóndor / Unidas</t>
        </is>
      </c>
      <c r="L48" s="219">
        <f>F48*G48</f>
        <v/>
      </c>
      <c r="M48" s="220" t="inlineStr">
        <is>
          <t>A-C30-PNT-EPX-SAN</t>
        </is>
      </c>
      <c r="N48" s="214" t="inlineStr">
        <is>
          <t>Arquitectura</t>
        </is>
      </c>
      <c r="O48" s="214" t="inlineStr">
        <is>
          <t>Estimado DION · criterio de mercado Guayaquil 2026 (no verificado en tienda)</t>
        </is>
      </c>
      <c r="P48" s="214" t="inlineStr">
        <is>
          <t>oct-2026 (est.)</t>
        </is>
      </c>
      <c r="Q48" s="214" t="n">
        <v>10</v>
      </c>
    </row>
    <row r="49">
      <c r="A49" s="18" t="n">
        <v>29</v>
      </c>
      <c r="B49" s="19" t="inlineStr">
        <is>
          <t xml:space="preserve">        Pintura Epóxica de Piso / Tráfico (Kit Galón)</t>
        </is>
      </c>
      <c r="C49" s="20" t="inlineStr">
        <is>
          <t>Industrial</t>
        </is>
      </c>
      <c r="D49" s="18" t="inlineStr">
        <is>
          <t>Pinturas Epóxicas</t>
        </is>
      </c>
      <c r="E49" s="18" t="inlineStr">
        <is>
          <t>Galón</t>
        </is>
      </c>
      <c r="F49" s="21" t="n">
        <v>4</v>
      </c>
      <c r="G49" s="22" t="n">
        <v>45</v>
      </c>
      <c r="H49" s="22" t="n">
        <v>46.35</v>
      </c>
      <c r="I49" s="18" t="inlineStr">
        <is>
          <t>Kywi / Megakywi</t>
        </is>
      </c>
      <c r="J49" s="22" t="n">
        <v>49.95</v>
      </c>
      <c r="K49" s="18" t="inlineStr">
        <is>
          <t>Pinturas Cóndor / Unidas</t>
        </is>
      </c>
      <c r="L49" s="8">
        <f>F49*G49</f>
        <v/>
      </c>
      <c r="M49" s="145" t="inlineStr">
        <is>
          <t>A-C30-PNT-EPX-PIS</t>
        </is>
      </c>
      <c r="N49" s="18" t="inlineStr">
        <is>
          <t>Arquitectura</t>
        </is>
      </c>
      <c r="O49" s="18" t="inlineStr">
        <is>
          <t>Estimado DION · criterio de mercado Guayaquil 2026 (no verificado en tienda)</t>
        </is>
      </c>
      <c r="P49" s="18" t="inlineStr">
        <is>
          <t>oct-2026 (est.)</t>
        </is>
      </c>
      <c r="Q49" s="18" t="n">
        <v>10</v>
      </c>
    </row>
    <row r="50">
      <c r="A50" s="214" t="n">
        <v>30</v>
      </c>
      <c r="B50" s="215" t="inlineStr">
        <is>
          <t xml:space="preserve">        Esmalte Sintético Brillante (Galón)</t>
        </is>
      </c>
      <c r="C50" s="216" t="inlineStr">
        <is>
          <t>Residencial / Comercial</t>
        </is>
      </c>
      <c r="D50" s="214" t="inlineStr">
        <is>
          <t>Esmaltes</t>
        </is>
      </c>
      <c r="E50" s="214" t="inlineStr">
        <is>
          <t>Galón</t>
        </is>
      </c>
      <c r="F50" s="217" t="n">
        <v>4</v>
      </c>
      <c r="G50" s="218" t="n">
        <v>18</v>
      </c>
      <c r="H50" s="218" t="n">
        <v>18.36</v>
      </c>
      <c r="I50" s="214" t="inlineStr">
        <is>
          <t>Kywi / Megakywi</t>
        </is>
      </c>
      <c r="J50" s="218" t="n">
        <v>19.98</v>
      </c>
      <c r="K50" s="214" t="inlineStr">
        <is>
          <t>Pinturas Cóndor / Unidas</t>
        </is>
      </c>
      <c r="L50" s="219">
        <f>F50*G50</f>
        <v/>
      </c>
      <c r="M50" s="220" t="inlineStr">
        <is>
          <t>A-C30-PNT-ESM-SIN</t>
        </is>
      </c>
      <c r="N50" s="214" t="inlineStr">
        <is>
          <t>Arquitectura</t>
        </is>
      </c>
      <c r="O50" s="214" t="inlineStr">
        <is>
          <t>Estimado DION · criterio de mercado Guayaquil 2026 (no verificado en tienda)</t>
        </is>
      </c>
      <c r="P50" s="214" t="inlineStr">
        <is>
          <t>oct-2026 (est.)</t>
        </is>
      </c>
      <c r="Q50" s="214" t="n">
        <v>10</v>
      </c>
    </row>
    <row r="51">
      <c r="A51" s="18" t="n">
        <v>31</v>
      </c>
      <c r="B51" s="19" t="inlineStr">
        <is>
          <t xml:space="preserve">        Esmalte Base Agua Satinado (Galón)</t>
        </is>
      </c>
      <c r="C51" s="20" t="inlineStr">
        <is>
          <t>Residencial / Comercial</t>
        </is>
      </c>
      <c r="D51" s="18" t="inlineStr">
        <is>
          <t>Esmaltes</t>
        </is>
      </c>
      <c r="E51" s="18" t="inlineStr">
        <is>
          <t>Galón</t>
        </is>
      </c>
      <c r="F51" s="21" t="n">
        <v>4</v>
      </c>
      <c r="G51" s="22" t="n">
        <v>24</v>
      </c>
      <c r="H51" s="22" t="n">
        <v>24.96</v>
      </c>
      <c r="I51" s="18" t="inlineStr">
        <is>
          <t>Kywi / Megakywi</t>
        </is>
      </c>
      <c r="J51" s="22" t="n">
        <v>25.68</v>
      </c>
      <c r="K51" s="18" t="inlineStr">
        <is>
          <t>Pinturas Cóndor / Unidas</t>
        </is>
      </c>
      <c r="L51" s="8">
        <f>F51*G51</f>
        <v/>
      </c>
      <c r="M51" s="145" t="inlineStr">
        <is>
          <t>A-C30-PNT-ESM-AGU</t>
        </is>
      </c>
      <c r="N51" s="18" t="inlineStr">
        <is>
          <t>Arquitectura</t>
        </is>
      </c>
      <c r="O51" s="18" t="inlineStr">
        <is>
          <t>Estimado DION · criterio de mercado Guayaquil 2026 (no verificado en tienda)</t>
        </is>
      </c>
      <c r="P51" s="18" t="inlineStr">
        <is>
          <t>oct-2026 (est.)</t>
        </is>
      </c>
      <c r="Q51" s="18" t="n">
        <v>10</v>
      </c>
    </row>
    <row r="52">
      <c r="A52" s="214" t="n">
        <v>32</v>
      </c>
      <c r="B52" s="215" t="inlineStr">
        <is>
          <t xml:space="preserve">        Anticorrosivo Gris / Óxido (Galón)</t>
        </is>
      </c>
      <c r="C52" s="216" t="inlineStr">
        <is>
          <t>Residencial / Comercial / Ind</t>
        </is>
      </c>
      <c r="D52" s="214" t="inlineStr">
        <is>
          <t>Anticorrosivos</t>
        </is>
      </c>
      <c r="E52" s="214" t="inlineStr">
        <is>
          <t>Galón</t>
        </is>
      </c>
      <c r="F52" s="217" t="n">
        <v>4</v>
      </c>
      <c r="G52" s="218" t="n">
        <v>15.5</v>
      </c>
      <c r="H52" s="218" t="n">
        <v>16.12</v>
      </c>
      <c r="I52" s="214" t="inlineStr">
        <is>
          <t>Kywi / Megakywi</t>
        </is>
      </c>
      <c r="J52" s="218" t="n">
        <v>17.21</v>
      </c>
      <c r="K52" s="214" t="inlineStr">
        <is>
          <t>Pinturas Cóndor / Unidas</t>
        </is>
      </c>
      <c r="L52" s="219">
        <f>F52*G52</f>
        <v/>
      </c>
      <c r="M52" s="220" t="inlineStr">
        <is>
          <t>A-C30-PNT-ANT-COR</t>
        </is>
      </c>
      <c r="N52" s="214" t="inlineStr">
        <is>
          <t>Arquitectura</t>
        </is>
      </c>
      <c r="O52" s="214" t="inlineStr">
        <is>
          <t>Estimado DION · criterio de mercado Guayaquil 2026 (no verificado en tienda)</t>
        </is>
      </c>
      <c r="P52" s="214" t="inlineStr">
        <is>
          <t>oct-2026 (est.)</t>
        </is>
      </c>
      <c r="Q52" s="214" t="n">
        <v>10</v>
      </c>
    </row>
    <row r="53">
      <c r="A53" s="18" t="n">
        <v>33</v>
      </c>
      <c r="B53" s="19" t="inlineStr">
        <is>
          <t xml:space="preserve">        Pintura de Tráfico Vial Amarilla/Blanca (Galón)</t>
        </is>
      </c>
      <c r="C53" s="20" t="inlineStr">
        <is>
          <t>Vías / Parqueos</t>
        </is>
      </c>
      <c r="D53" s="18" t="inlineStr">
        <is>
          <t>Pintura Tráfico</t>
        </is>
      </c>
      <c r="E53" s="18" t="inlineStr">
        <is>
          <t>Galón</t>
        </is>
      </c>
      <c r="F53" s="21" t="n">
        <v>4</v>
      </c>
      <c r="G53" s="22" t="n">
        <v>22</v>
      </c>
      <c r="H53" s="22" t="n">
        <v>22.88</v>
      </c>
      <c r="I53" s="18" t="inlineStr">
        <is>
          <t>Kywi / Megakywi</t>
        </is>
      </c>
      <c r="J53" s="22" t="n">
        <v>24.2</v>
      </c>
      <c r="K53" s="18" t="inlineStr">
        <is>
          <t>Pinturas Cóndor / Unidas</t>
        </is>
      </c>
      <c r="L53" s="8">
        <f>F53*G53</f>
        <v/>
      </c>
      <c r="M53" s="145" t="inlineStr">
        <is>
          <t>A-C30-PNT-TRA-VIA</t>
        </is>
      </c>
      <c r="N53" s="18" t="inlineStr">
        <is>
          <t>Arquitectura</t>
        </is>
      </c>
      <c r="O53" s="18" t="inlineStr">
        <is>
          <t>Estimado DION · criterio de mercado Guayaquil 2026 (no verificado en tienda)</t>
        </is>
      </c>
      <c r="P53" s="18" t="inlineStr">
        <is>
          <t>oct-2026 (est.)</t>
        </is>
      </c>
      <c r="Q53" s="18" t="n">
        <v>10</v>
      </c>
    </row>
    <row r="54">
      <c r="A54" s="214" t="n">
        <v>34</v>
      </c>
      <c r="B54" s="215" t="inlineStr">
        <is>
          <t xml:space="preserve">        Pintura Acrílica para Techos / Cubiertas (Galón)</t>
        </is>
      </c>
      <c r="C54" s="216" t="inlineStr">
        <is>
          <t>Residencial / Comercial</t>
        </is>
      </c>
      <c r="D54" s="214" t="inlineStr">
        <is>
          <t>Pinturas Techo</t>
        </is>
      </c>
      <c r="E54" s="214" t="inlineStr">
        <is>
          <t>Galón</t>
        </is>
      </c>
      <c r="F54" s="217" t="n">
        <v>4</v>
      </c>
      <c r="G54" s="218" t="n">
        <v>21</v>
      </c>
      <c r="H54" s="218" t="n">
        <v>21.42</v>
      </c>
      <c r="I54" s="214" t="inlineStr">
        <is>
          <t>Kywi / Megakywi</t>
        </is>
      </c>
      <c r="J54" s="218" t="n">
        <v>22.68</v>
      </c>
      <c r="K54" s="214" t="inlineStr">
        <is>
          <t>Pinturas Cóndor / Unidas</t>
        </is>
      </c>
      <c r="L54" s="219">
        <f>F54*G54</f>
        <v/>
      </c>
      <c r="M54" s="220" t="inlineStr">
        <is>
          <t>A-C30-PNT-ACR-TEC</t>
        </is>
      </c>
      <c r="N54" s="214" t="inlineStr">
        <is>
          <t>Arquitectura</t>
        </is>
      </c>
      <c r="O54" s="214" t="inlineStr">
        <is>
          <t>Estimado DION · criterio de mercado Guayaquil 2026 (no verificado en tienda)</t>
        </is>
      </c>
      <c r="P54" s="214" t="inlineStr">
        <is>
          <t>oct-2026 (est.)</t>
        </is>
      </c>
      <c r="Q54" s="214" t="n">
        <v>10</v>
      </c>
    </row>
    <row r="55">
      <c r="A55" s="18" t="n">
        <v>35</v>
      </c>
      <c r="B55" s="19" t="inlineStr">
        <is>
          <t xml:space="preserve">        Hidrofugante Siloxano para Fachadas (Galón)</t>
        </is>
      </c>
      <c r="C55" s="20" t="inlineStr">
        <is>
          <t>Residencial / Comercial</t>
        </is>
      </c>
      <c r="D55" s="18" t="inlineStr">
        <is>
          <t>Hidrofugantes</t>
        </is>
      </c>
      <c r="E55" s="18" t="inlineStr">
        <is>
          <t>Galón</t>
        </is>
      </c>
      <c r="F55" s="21" t="n">
        <v>4</v>
      </c>
      <c r="G55" s="22" t="n">
        <v>26</v>
      </c>
      <c r="H55" s="22" t="n">
        <v>26.78</v>
      </c>
      <c r="I55" s="18" t="inlineStr">
        <is>
          <t>Kywi / Megakywi</t>
        </is>
      </c>
      <c r="J55" s="22" t="n">
        <v>28.6</v>
      </c>
      <c r="K55" s="18" t="inlineStr">
        <is>
          <t>Pinturas Cóndor / Unidas</t>
        </is>
      </c>
      <c r="L55" s="8">
        <f>F55*G55</f>
        <v/>
      </c>
      <c r="M55" s="145" t="inlineStr">
        <is>
          <t>A-C30-PNT-IMP-FAC</t>
        </is>
      </c>
      <c r="N55" s="18" t="inlineStr">
        <is>
          <t>Arquitectura</t>
        </is>
      </c>
      <c r="O55" s="18" t="inlineStr">
        <is>
          <t>Estimado DION · criterio de mercado Guayaquil 2026 (no verificado en tienda)</t>
        </is>
      </c>
      <c r="P55" s="18" t="inlineStr">
        <is>
          <t>oct-2026 (est.)</t>
        </is>
      </c>
      <c r="Q55" s="18" t="n">
        <v>10</v>
      </c>
    </row>
    <row r="56">
      <c r="A56" s="214" t="n">
        <v>36</v>
      </c>
      <c r="B56" s="215" t="inlineStr">
        <is>
          <t xml:space="preserve">        Barniz / Laca Poliuretano para Madera (Galón)</t>
        </is>
      </c>
      <c r="C56" s="216" t="inlineStr">
        <is>
          <t>Residencial / Comercial</t>
        </is>
      </c>
      <c r="D56" s="214" t="inlineStr">
        <is>
          <t>Barnices</t>
        </is>
      </c>
      <c r="E56" s="214" t="inlineStr">
        <is>
          <t>Galón</t>
        </is>
      </c>
      <c r="F56" s="217" t="n">
        <v>4</v>
      </c>
      <c r="G56" s="218" t="n">
        <v>32</v>
      </c>
      <c r="H56" s="218" t="n">
        <v>33.6</v>
      </c>
      <c r="I56" s="214" t="inlineStr">
        <is>
          <t>Kywi / Megakywi</t>
        </is>
      </c>
      <c r="J56" s="218" t="n">
        <v>34.88</v>
      </c>
      <c r="K56" s="214" t="inlineStr">
        <is>
          <t>Pinturas Cóndor / Unidas</t>
        </is>
      </c>
      <c r="L56" s="219">
        <f>F56*G56</f>
        <v/>
      </c>
      <c r="M56" s="220" t="inlineStr">
        <is>
          <t>A-C30-PNT-BAR-MAD</t>
        </is>
      </c>
      <c r="N56" s="214" t="inlineStr">
        <is>
          <t>Arquitectura</t>
        </is>
      </c>
      <c r="O56" s="214" t="inlineStr">
        <is>
          <t>Estimado DION · criterio de mercado Guayaquil 2026 (no verificado en tienda)</t>
        </is>
      </c>
      <c r="P56" s="214" t="inlineStr">
        <is>
          <t>oct-2026 (est.)</t>
        </is>
      </c>
      <c r="Q56" s="214" t="n">
        <v>10</v>
      </c>
    </row>
    <row r="57">
      <c r="A57" s="18" t="n">
        <v>37</v>
      </c>
      <c r="B57" s="19" t="inlineStr">
        <is>
          <t xml:space="preserve">        Tinte para Madera (Litro)</t>
        </is>
      </c>
      <c r="C57" s="20" t="inlineStr">
        <is>
          <t>Residencial / Comercial</t>
        </is>
      </c>
      <c r="D57" s="18" t="inlineStr">
        <is>
          <t>Tintes</t>
        </is>
      </c>
      <c r="E57" s="18" t="inlineStr">
        <is>
          <t>Litro</t>
        </is>
      </c>
      <c r="F57" s="21" t="n">
        <v>4</v>
      </c>
      <c r="G57" s="22" t="n">
        <v>8.5</v>
      </c>
      <c r="H57" s="22" t="n">
        <v>8.67</v>
      </c>
      <c r="I57" s="18" t="inlineStr">
        <is>
          <t>Kywi / Megakywi</t>
        </is>
      </c>
      <c r="J57" s="22" t="n">
        <v>9.18</v>
      </c>
      <c r="K57" s="18" t="inlineStr">
        <is>
          <t>Pinturas Cóndor / Unidas</t>
        </is>
      </c>
      <c r="L57" s="8">
        <f>F57*G57</f>
        <v/>
      </c>
      <c r="M57" s="145" t="inlineStr">
        <is>
          <t>A-C30-PNT-TIN-MAD</t>
        </is>
      </c>
      <c r="N57" s="18" t="inlineStr">
        <is>
          <t>Arquitectura</t>
        </is>
      </c>
      <c r="O57" s="18" t="inlineStr">
        <is>
          <t>Estimado DION · criterio de mercado Guayaquil 2026 (no verificado en tienda)</t>
        </is>
      </c>
      <c r="P57" s="18" t="inlineStr">
        <is>
          <t>oct-2026 (est.)</t>
        </is>
      </c>
      <c r="Q57" s="18" t="n">
        <v>10</v>
      </c>
    </row>
    <row r="58">
      <c r="A58" s="214" t="n">
        <v>38</v>
      </c>
      <c r="B58" s="215" t="inlineStr">
        <is>
          <t xml:space="preserve">        Laca Catalizada / Poliuretano para Muebles (Galón)</t>
        </is>
      </c>
      <c r="C58" s="216" t="inlineStr">
        <is>
          <t>Residencial / Comercial</t>
        </is>
      </c>
      <c r="D58" s="214" t="inlineStr">
        <is>
          <t>Lacas</t>
        </is>
      </c>
      <c r="E58" s="214" t="inlineStr">
        <is>
          <t>Galón</t>
        </is>
      </c>
      <c r="F58" s="217" t="n">
        <v>4</v>
      </c>
      <c r="G58" s="218" t="n">
        <v>38</v>
      </c>
      <c r="H58" s="218" t="n">
        <v>39.9</v>
      </c>
      <c r="I58" s="214" t="inlineStr">
        <is>
          <t>Kywi / Megakywi</t>
        </is>
      </c>
      <c r="J58" s="218" t="n">
        <v>40.66</v>
      </c>
      <c r="K58" s="214" t="inlineStr">
        <is>
          <t>Pinturas Cóndor / Unidas</t>
        </is>
      </c>
      <c r="L58" s="219">
        <f>F58*G58</f>
        <v/>
      </c>
      <c r="M58" s="220" t="inlineStr">
        <is>
          <t>A-C30-PNT-LAC-CAT</t>
        </is>
      </c>
      <c r="N58" s="214" t="inlineStr">
        <is>
          <t>Arquitectura</t>
        </is>
      </c>
      <c r="O58" s="214" t="inlineStr">
        <is>
          <t>Estimado DION · criterio de mercado Guayaquil 2026 (no verificado en tienda)</t>
        </is>
      </c>
      <c r="P58" s="214" t="inlineStr">
        <is>
          <t>oct-2026 (est.)</t>
        </is>
      </c>
      <c r="Q58" s="214" t="n">
        <v>10</v>
      </c>
    </row>
    <row r="59">
      <c r="A59" s="18" t="n">
        <v>39</v>
      </c>
      <c r="B59" s="19" t="inlineStr">
        <is>
          <t xml:space="preserve">        Recubrimiento Texturizado Graniplast (Caneca 20 kg)</t>
        </is>
      </c>
      <c r="C59" s="20" t="inlineStr">
        <is>
          <t>Residencial / Comercial</t>
        </is>
      </c>
      <c r="D59" s="18" t="inlineStr">
        <is>
          <t>Texturizados</t>
        </is>
      </c>
      <c r="E59" s="18" t="inlineStr">
        <is>
          <t>Caneca</t>
        </is>
      </c>
      <c r="F59" s="21" t="n">
        <v>4</v>
      </c>
      <c r="G59" s="22" t="n">
        <v>42</v>
      </c>
      <c r="H59" s="22" t="n">
        <v>43.26</v>
      </c>
      <c r="I59" s="18" t="inlineStr">
        <is>
          <t>Kywi / Megakywi</t>
        </is>
      </c>
      <c r="J59" s="22" t="n">
        <v>44.94</v>
      </c>
      <c r="K59" s="18" t="inlineStr">
        <is>
          <t>Pinturas Cóndor / Unidas</t>
        </is>
      </c>
      <c r="L59" s="8">
        <f>F59*G59</f>
        <v/>
      </c>
      <c r="M59" s="145" t="inlineStr">
        <is>
          <t>A-C30-PNT-TEX-GRA</t>
        </is>
      </c>
      <c r="N59" s="18" t="inlineStr">
        <is>
          <t>Arquitectura</t>
        </is>
      </c>
      <c r="O59" s="18" t="inlineStr">
        <is>
          <t>Estimado DION · criterio de mercado Guayaquil 2026 (no verificado en tienda)</t>
        </is>
      </c>
      <c r="P59" s="18" t="inlineStr">
        <is>
          <t>oct-2026 (est.)</t>
        </is>
      </c>
      <c r="Q59" s="18" t="n">
        <v>10</v>
      </c>
    </row>
    <row r="60">
      <c r="A60" s="214" t="n">
        <v>40</v>
      </c>
      <c r="B60" s="215" t="inlineStr">
        <is>
          <t xml:space="preserve">        Pintura Intumescente R60 (Galón)</t>
        </is>
      </c>
      <c r="C60" s="216" t="inlineStr">
        <is>
          <t>Comercial / Industrial</t>
        </is>
      </c>
      <c r="D60" s="214" t="inlineStr">
        <is>
          <t>Pintura Intumescente</t>
        </is>
      </c>
      <c r="E60" s="214" t="inlineStr">
        <is>
          <t>Galón</t>
        </is>
      </c>
      <c r="F60" s="217" t="n">
        <v>4</v>
      </c>
      <c r="G60" s="218" t="n">
        <v>85</v>
      </c>
      <c r="H60" s="218" t="n">
        <v>88.40000000000001</v>
      </c>
      <c r="I60" s="214" t="inlineStr">
        <is>
          <t>Kywi / Megakywi</t>
        </is>
      </c>
      <c r="J60" s="218" t="n">
        <v>92.65000000000001</v>
      </c>
      <c r="K60" s="214" t="inlineStr">
        <is>
          <t>Pinturas Cóndor / Unidas</t>
        </is>
      </c>
      <c r="L60" s="219">
        <f>F60*G60</f>
        <v/>
      </c>
      <c r="M60" s="220" t="inlineStr">
        <is>
          <t>A-C30-PNT-INT-R60</t>
        </is>
      </c>
      <c r="N60" s="214" t="inlineStr">
        <is>
          <t>Arquitectura</t>
        </is>
      </c>
      <c r="O60" s="214" t="inlineStr">
        <is>
          <t>Estimado DION · criterio de mercado Guayaquil 2026 (no verificado en tienda)</t>
        </is>
      </c>
      <c r="P60" s="214" t="inlineStr">
        <is>
          <t>oct-2026 (est.)</t>
        </is>
      </c>
      <c r="Q60" s="214" t="n">
        <v>10</v>
      </c>
    </row>
    <row r="61">
      <c r="A61" s="18" t="n">
        <v>41</v>
      </c>
      <c r="B61" s="19" t="inlineStr">
        <is>
          <t xml:space="preserve">        Pintura para Canchas Deportivas Acrílica (Galón)</t>
        </is>
      </c>
      <c r="C61" s="20" t="inlineStr">
        <is>
          <t>Deportivo</t>
        </is>
      </c>
      <c r="D61" s="18" t="inlineStr">
        <is>
          <t>Pintura Deportiva</t>
        </is>
      </c>
      <c r="E61" s="18" t="inlineStr">
        <is>
          <t>Galón</t>
        </is>
      </c>
      <c r="F61" s="21" t="n">
        <v>4</v>
      </c>
      <c r="G61" s="22" t="n">
        <v>28</v>
      </c>
      <c r="H61" s="22" t="n">
        <v>29.4</v>
      </c>
      <c r="I61" s="18" t="inlineStr">
        <is>
          <t>Kywi / Megakywi</t>
        </is>
      </c>
      <c r="J61" s="22" t="n">
        <v>31.08</v>
      </c>
      <c r="K61" s="18" t="inlineStr">
        <is>
          <t>Pinturas Cóndor / Unidas</t>
        </is>
      </c>
      <c r="L61" s="8">
        <f>F61*G61</f>
        <v/>
      </c>
      <c r="M61" s="145" t="inlineStr">
        <is>
          <t>A-C30-PNT-PIS-CAN</t>
        </is>
      </c>
      <c r="N61" s="18" t="inlineStr">
        <is>
          <t>Arquitectura</t>
        </is>
      </c>
      <c r="O61" s="18" t="inlineStr">
        <is>
          <t>Estimado DION · criterio de mercado Guayaquil 2026 (no verificado en tienda)</t>
        </is>
      </c>
      <c r="P61" s="18" t="inlineStr">
        <is>
          <t>oct-2026 (est.)</t>
        </is>
      </c>
      <c r="Q61" s="18" t="n">
        <v>10</v>
      </c>
    </row>
    <row r="62">
      <c r="A62" s="212" t="inlineStr">
        <is>
          <t xml:space="preserve">  ► CATEGORÍA: RUBROS DE PINTURA APLICADA (REFERENCIAL)</t>
        </is>
      </c>
      <c r="B62" s="143" t="n"/>
      <c r="C62" s="143" t="n"/>
      <c r="D62" s="143" t="n"/>
      <c r="E62" s="143" t="n"/>
      <c r="F62" s="143" t="n"/>
      <c r="G62" s="143" t="n"/>
      <c r="H62" s="143" t="n"/>
      <c r="I62" s="143" t="n"/>
      <c r="J62" s="143" t="n"/>
      <c r="K62" s="143" t="n"/>
      <c r="L62" s="143" t="n"/>
      <c r="M62" s="143" t="n"/>
      <c r="N62" s="143" t="n"/>
      <c r="O62" s="143" t="n"/>
      <c r="P62" s="143" t="n"/>
      <c r="Q62" s="144" t="n"/>
    </row>
    <row r="63">
      <c r="A63" s="213" t="inlineStr">
        <is>
          <t xml:space="preserve">      • Subcategoría Especificada: Precio por m² Incluye Material y Mano de Obra</t>
        </is>
      </c>
      <c r="B63" s="143" t="n"/>
      <c r="C63" s="143" t="n"/>
      <c r="D63" s="143" t="n"/>
      <c r="E63" s="143" t="n"/>
      <c r="F63" s="143" t="n"/>
      <c r="G63" s="143" t="n"/>
      <c r="H63" s="143" t="n"/>
      <c r="I63" s="143" t="n"/>
      <c r="J63" s="143" t="n"/>
      <c r="K63" s="143" t="n"/>
      <c r="L63" s="143" t="n"/>
      <c r="M63" s="143" t="n"/>
      <c r="N63" s="143" t="n"/>
      <c r="O63" s="143" t="n"/>
      <c r="P63" s="143" t="n"/>
      <c r="Q63" s="144" t="n"/>
    </row>
    <row r="64">
      <c r="A64" s="214" t="n">
        <v>42</v>
      </c>
      <c r="B64" s="215" t="inlineStr">
        <is>
          <t xml:space="preserve">        Pintura Látex Interior 2 Manos + Empaste (m²)</t>
        </is>
      </c>
      <c r="C64" s="216" t="inlineStr">
        <is>
          <t>Residencial / Comercial</t>
        </is>
      </c>
      <c r="D64" s="214" t="inlineStr">
        <is>
          <t>Rubros Pintura</t>
        </is>
      </c>
      <c r="E64" s="214" t="inlineStr">
        <is>
          <t>m2</t>
        </is>
      </c>
      <c r="F64" s="217" t="n">
        <v>200</v>
      </c>
      <c r="G64" s="218" t="n">
        <v>4.2</v>
      </c>
      <c r="H64" s="218" t="n">
        <v>4.33</v>
      </c>
      <c r="I64" s="214" t="inlineStr">
        <is>
          <t>Kywi / Megakywi</t>
        </is>
      </c>
      <c r="J64" s="218" t="n">
        <v>4.58</v>
      </c>
      <c r="K64" s="214" t="inlineStr">
        <is>
          <t>Pinturas Cóndor / Unidas</t>
        </is>
      </c>
      <c r="L64" s="219">
        <f>F64*G64</f>
        <v/>
      </c>
      <c r="M64" s="220" t="inlineStr">
        <is>
          <t>A-C30-RPA-PIN-INT</t>
        </is>
      </c>
      <c r="N64" s="214" t="inlineStr">
        <is>
          <t>Arquitectura</t>
        </is>
      </c>
      <c r="O64" s="214" t="inlineStr">
        <is>
          <t>Estimado DION · criterio de mercado Guayaquil 2026 (no verificado en tienda)</t>
        </is>
      </c>
      <c r="P64" s="214" t="inlineStr">
        <is>
          <t>oct-2026 (est.)</t>
        </is>
      </c>
      <c r="Q64" s="214" t="n"/>
    </row>
    <row r="65">
      <c r="A65" s="18" t="n">
        <v>43</v>
      </c>
      <c r="B65" s="19" t="inlineStr">
        <is>
          <t xml:space="preserve">        Pintura Elastomérica Exterior 2 Manos (m²)</t>
        </is>
      </c>
      <c r="C65" s="20" t="inlineStr">
        <is>
          <t>Residencial / Comercial</t>
        </is>
      </c>
      <c r="D65" s="18" t="inlineStr">
        <is>
          <t>Rubros Pintura</t>
        </is>
      </c>
      <c r="E65" s="18" t="inlineStr">
        <is>
          <t>m2</t>
        </is>
      </c>
      <c r="F65" s="21" t="n">
        <v>200</v>
      </c>
      <c r="G65" s="22" t="n">
        <v>5.2</v>
      </c>
      <c r="H65" s="22" t="n">
        <v>5.46</v>
      </c>
      <c r="I65" s="18" t="inlineStr">
        <is>
          <t>Kywi / Megakywi</t>
        </is>
      </c>
      <c r="J65" s="22" t="n">
        <v>5.72</v>
      </c>
      <c r="K65" s="18" t="inlineStr">
        <is>
          <t>Pinturas Cóndor / Unidas</t>
        </is>
      </c>
      <c r="L65" s="8">
        <f>F65*G65</f>
        <v/>
      </c>
      <c r="M65" s="145" t="inlineStr">
        <is>
          <t>A-C30-RPA-PIN-EXT</t>
        </is>
      </c>
      <c r="N65" s="18" t="inlineStr">
        <is>
          <t>Arquitectura</t>
        </is>
      </c>
      <c r="O65" s="18" t="inlineStr">
        <is>
          <t>Estimado DION · criterio de mercado Guayaquil 2026 (no verificado en tienda)</t>
        </is>
      </c>
      <c r="P65" s="18" t="inlineStr">
        <is>
          <t>oct-2026 (est.)</t>
        </is>
      </c>
      <c r="Q65" s="18" t="n"/>
    </row>
    <row r="66">
      <c r="A66" s="214" t="n">
        <v>44</v>
      </c>
      <c r="B66" s="215" t="inlineStr">
        <is>
          <t xml:space="preserve">        Pintura Epóxica Sanitaria Pared (m²)</t>
        </is>
      </c>
      <c r="C66" s="216" t="inlineStr">
        <is>
          <t>Residencial / Comercial</t>
        </is>
      </c>
      <c r="D66" s="214" t="inlineStr">
        <is>
          <t>Rubros Pintura</t>
        </is>
      </c>
      <c r="E66" s="214" t="inlineStr">
        <is>
          <t>m2</t>
        </is>
      </c>
      <c r="F66" s="217" t="n">
        <v>200</v>
      </c>
      <c r="G66" s="218" t="n">
        <v>9.5</v>
      </c>
      <c r="H66" s="218" t="n">
        <v>9.69</v>
      </c>
      <c r="I66" s="214" t="inlineStr">
        <is>
          <t>Kywi / Megakywi</t>
        </is>
      </c>
      <c r="J66" s="218" t="n">
        <v>10.55</v>
      </c>
      <c r="K66" s="214" t="inlineStr">
        <is>
          <t>Pinturas Cóndor / Unidas</t>
        </is>
      </c>
      <c r="L66" s="219">
        <f>F66*G66</f>
        <v/>
      </c>
      <c r="M66" s="220" t="inlineStr">
        <is>
          <t>A-C30-RPA-PIN-EPX</t>
        </is>
      </c>
      <c r="N66" s="214" t="inlineStr">
        <is>
          <t>Arquitectura</t>
        </is>
      </c>
      <c r="O66" s="214" t="inlineStr">
        <is>
          <t>Estimado DION · criterio de mercado Guayaquil 2026 (no verificado en tienda)</t>
        </is>
      </c>
      <c r="P66" s="214" t="inlineStr">
        <is>
          <t>oct-2026 (est.)</t>
        </is>
      </c>
      <c r="Q66" s="214" t="n"/>
    </row>
    <row r="67">
      <c r="A67" s="18" t="n">
        <v>45</v>
      </c>
      <c r="B67" s="19" t="inlineStr">
        <is>
          <t xml:space="preserve">        Pintura Antibacterial (m²)</t>
        </is>
      </c>
      <c r="C67" s="20" t="inlineStr">
        <is>
          <t>Residencial / Comercial</t>
        </is>
      </c>
      <c r="D67" s="18" t="inlineStr">
        <is>
          <t>Rubros Pintura</t>
        </is>
      </c>
      <c r="E67" s="18" t="inlineStr">
        <is>
          <t>m2</t>
        </is>
      </c>
      <c r="F67" s="21" t="n">
        <v>200</v>
      </c>
      <c r="G67" s="22" t="n">
        <v>6.2</v>
      </c>
      <c r="H67" s="22" t="n">
        <v>6.32</v>
      </c>
      <c r="I67" s="18" t="inlineStr">
        <is>
          <t>Kywi / Megakywi</t>
        </is>
      </c>
      <c r="J67" s="22" t="n">
        <v>6.82</v>
      </c>
      <c r="K67" s="18" t="inlineStr">
        <is>
          <t>Pinturas Cóndor / Unidas</t>
        </is>
      </c>
      <c r="L67" s="8">
        <f>F67*G67</f>
        <v/>
      </c>
      <c r="M67" s="145" t="inlineStr">
        <is>
          <t>A-C30-RPA-PIN-ANT</t>
        </is>
      </c>
      <c r="N67" s="18" t="inlineStr">
        <is>
          <t>Arquitectura</t>
        </is>
      </c>
      <c r="O67" s="18" t="inlineStr">
        <is>
          <t>Estimado DION · criterio de mercado Guayaquil 2026 (no verificado en tienda)</t>
        </is>
      </c>
      <c r="P67" s="18" t="inlineStr">
        <is>
          <t>oct-2026 (est.)</t>
        </is>
      </c>
      <c r="Q67" s="18" t="n"/>
    </row>
    <row r="68">
      <c r="A68" s="214" t="n">
        <v>46</v>
      </c>
      <c r="B68" s="215" t="inlineStr">
        <is>
          <t xml:space="preserve">        Graniplast / Texturizado Exterior (m²)</t>
        </is>
      </c>
      <c r="C68" s="216" t="inlineStr">
        <is>
          <t>Residencial / Comercial</t>
        </is>
      </c>
      <c r="D68" s="214" t="inlineStr">
        <is>
          <t>Rubros Pintura</t>
        </is>
      </c>
      <c r="E68" s="214" t="inlineStr">
        <is>
          <t>m2</t>
        </is>
      </c>
      <c r="F68" s="217" t="n">
        <v>200</v>
      </c>
      <c r="G68" s="218" t="n">
        <v>9.800000000000001</v>
      </c>
      <c r="H68" s="218" t="n">
        <v>10.19</v>
      </c>
      <c r="I68" s="214" t="inlineStr">
        <is>
          <t>Kywi / Megakywi</t>
        </is>
      </c>
      <c r="J68" s="218" t="n">
        <v>10.68</v>
      </c>
      <c r="K68" s="214" t="inlineStr">
        <is>
          <t>Pinturas Cóndor / Unidas</t>
        </is>
      </c>
      <c r="L68" s="219">
        <f>F68*G68</f>
        <v/>
      </c>
      <c r="M68" s="220" t="inlineStr">
        <is>
          <t>A-C30-RPA-GRF-EXT</t>
        </is>
      </c>
      <c r="N68" s="214" t="inlineStr">
        <is>
          <t>Arquitectura</t>
        </is>
      </c>
      <c r="O68" s="214" t="inlineStr">
        <is>
          <t>Estimado DION · criterio de mercado Guayaquil 2026 (no verificado en tienda)</t>
        </is>
      </c>
      <c r="P68" s="214" t="inlineStr">
        <is>
          <t>oct-2026 (est.)</t>
        </is>
      </c>
      <c r="Q68" s="214" t="n"/>
    </row>
    <row r="69">
      <c r="A69" s="18" t="n">
        <v>47</v>
      </c>
      <c r="B69" s="19" t="inlineStr">
        <is>
          <t xml:space="preserve">        Estuco Veneciano (m²)</t>
        </is>
      </c>
      <c r="C69" s="20" t="inlineStr">
        <is>
          <t>Residencial / Comercial</t>
        </is>
      </c>
      <c r="D69" s="18" t="inlineStr">
        <is>
          <t>Rubros Pintura</t>
        </is>
      </c>
      <c r="E69" s="18" t="inlineStr">
        <is>
          <t>m2</t>
        </is>
      </c>
      <c r="F69" s="21" t="n">
        <v>200</v>
      </c>
      <c r="G69" s="22" t="n">
        <v>18</v>
      </c>
      <c r="H69" s="22" t="n">
        <v>18.36</v>
      </c>
      <c r="I69" s="18" t="inlineStr">
        <is>
          <t>Kywi / Megakywi</t>
        </is>
      </c>
      <c r="J69" s="22" t="n">
        <v>19.26</v>
      </c>
      <c r="K69" s="18" t="inlineStr">
        <is>
          <t>Pinturas Cóndor / Unidas</t>
        </is>
      </c>
      <c r="L69" s="8">
        <f>F69*G69</f>
        <v/>
      </c>
      <c r="M69" s="145" t="inlineStr">
        <is>
          <t>A-C30-RPA-EST-VEN</t>
        </is>
      </c>
      <c r="N69" s="18" t="inlineStr">
        <is>
          <t>Arquitectura</t>
        </is>
      </c>
      <c r="O69" s="18" t="inlineStr">
        <is>
          <t>Estimado DION · criterio de mercado Guayaquil 2026 (no verificado en tienda)</t>
        </is>
      </c>
      <c r="P69" s="18" t="inlineStr">
        <is>
          <t>oct-2026 (est.)</t>
        </is>
      </c>
      <c r="Q69" s="18" t="n"/>
    </row>
    <row r="70">
      <c r="A70" s="10" t="n"/>
      <c r="B70" s="147" t="inlineStr">
        <is>
          <t>TOTAL BASE DE DATOS PINTURA (ESTIMADO)</t>
        </is>
      </c>
      <c r="C70" s="148" t="n"/>
      <c r="D70" s="148" t="n"/>
      <c r="E70" s="148" t="n"/>
      <c r="F70" s="148" t="n"/>
      <c r="G70" s="148" t="n"/>
      <c r="H70" s="148" t="n"/>
      <c r="I70" s="148" t="n"/>
      <c r="J70" s="148" t="n"/>
      <c r="K70" s="148" t="n"/>
      <c r="L70" s="30">
        <f>SUM(L6:L69)</f>
        <v/>
      </c>
      <c r="M70" s="30" t="n"/>
      <c r="N70" s="30" t="n"/>
      <c r="O70" s="30" t="n"/>
      <c r="P70" s="30" t="n"/>
      <c r="Q70" s="30" t="n"/>
    </row>
  </sheetData>
  <mergeCells count="18">
    <mergeCell ref="A8:Q8"/>
    <mergeCell ref="A31:Q31"/>
    <mergeCell ref="A6:Q6"/>
    <mergeCell ref="A40:Q40"/>
    <mergeCell ref="A18:Q18"/>
    <mergeCell ref="A27:Q27"/>
    <mergeCell ref="A39:Q39"/>
    <mergeCell ref="A7:Q7"/>
    <mergeCell ref="A62:Q62"/>
    <mergeCell ref="A20:Q20"/>
    <mergeCell ref="A26:Q26"/>
    <mergeCell ref="B70:K70"/>
    <mergeCell ref="A33:Q33"/>
    <mergeCell ref="A28:Q28"/>
    <mergeCell ref="A41:Q41"/>
    <mergeCell ref="A19:Q19"/>
    <mergeCell ref="A63:Q63"/>
    <mergeCell ref="A32:Q32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9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8" customWidth="1" min="2" max="2"/>
    <col width="30" customWidth="1" min="3" max="3"/>
    <col width="32" customWidth="1" min="4" max="4"/>
    <col width="8" customWidth="1" min="5" max="5"/>
    <col width="10" customWidth="1" min="6" max="6"/>
    <col width="15" customWidth="1" min="7" max="7"/>
    <col width="16" customWidth="1" min="8" max="8"/>
    <col width="22" customWidth="1" min="9" max="9"/>
    <col width="16" customWidth="1" min="10" max="10"/>
    <col width="20" customWidth="1" min="11" max="11"/>
    <col width="16" customWidth="1" min="12" max="12"/>
    <col width="27" customWidth="1" min="13" max="13"/>
    <col width="30" customWidth="1" min="14" max="14"/>
    <col width="44" customWidth="1" min="15" max="15"/>
    <col width="15" customWidth="1" min="16" max="16"/>
    <col width="14" customWidth="1" min="17" max="17"/>
  </cols>
  <sheetData>
    <row r="1">
      <c r="A1" s="1" t="inlineStr">
        <is>
          <t>BASE DE DATOS COMPLETA DE CATALOGACIÓN: APARATOS SANITARIOS Y GRIFERÍA</t>
        </is>
      </c>
    </row>
    <row r="2">
      <c r="A2" s="2" t="inlineStr">
        <is>
          <t>Estructura Jerárquica Homogénea: Accesorios &gt; Tuberías &gt; Equipos &gt; Conexiones &gt; Equipos Especializados | Degradé por Niveles (Ecuador - USD)</t>
        </is>
      </c>
    </row>
    <row r="3">
      <c r="A3" s="13" t="inlineStr">
        <is>
          <t>« Volver al Índice General</t>
        </is>
      </c>
    </row>
    <row r="5" ht="30" customHeight="1">
      <c r="A5" s="4" t="inlineStr">
        <is>
          <t>Item</t>
        </is>
      </c>
      <c r="B5" s="4" t="inlineStr">
        <is>
          <t>Descripción de Accesorio / Ítem Especificado</t>
        </is>
      </c>
      <c r="C5" s="4" t="inlineStr">
        <is>
          <t>Clasificación / Ámbito de Uso
(Residencial/Comercial/Industrial)</t>
        </is>
      </c>
      <c r="D5" s="4" t="inlineStr">
        <is>
          <t>Tipo / Familia</t>
        </is>
      </c>
      <c r="E5" s="4" t="inlineStr">
        <is>
          <t>Unidad</t>
        </is>
      </c>
      <c r="F5" s="4" t="inlineStr">
        <is>
          <t>Cant.</t>
        </is>
      </c>
      <c r="G5" s="4" t="inlineStr">
        <is>
          <t>P. Ref. Est. ($)</t>
        </is>
      </c>
      <c r="H5" s="4" t="inlineStr">
        <is>
          <t>P. Unit. Local A ($)
(Kywi / Megakywi)</t>
        </is>
      </c>
      <c r="I5" s="4" t="inlineStr">
        <is>
          <t>Local A
Especificado</t>
        </is>
      </c>
      <c r="J5" s="4" t="inlineStr">
        <is>
          <t>P. Unit. Local B ($)
(Ferrisariato)</t>
        </is>
      </c>
      <c r="K5" s="4" t="inlineStr">
        <is>
          <t>Local B
Especificado</t>
        </is>
      </c>
      <c r="L5" s="4" t="inlineStr">
        <is>
          <t>Subtotal Est. ($)</t>
        </is>
      </c>
      <c r="M5" s="4" t="inlineStr">
        <is>
          <t>Código DION</t>
        </is>
      </c>
      <c r="N5" s="4" t="inlineStr">
        <is>
          <t>Disciplina</t>
        </is>
      </c>
      <c r="O5" s="4" t="inlineStr">
        <is>
          <t>Fuente del precio</t>
        </is>
      </c>
      <c r="P5" s="4" t="inlineStr">
        <is>
          <t>Fecha precio</t>
        </is>
      </c>
      <c r="Q5" s="4" t="inlineStr">
        <is>
          <t>Rendimiento /
desperdicio %</t>
        </is>
      </c>
    </row>
    <row r="6">
      <c r="A6" s="221" t="inlineStr">
        <is>
          <t>ACCESORIOS</t>
        </is>
      </c>
      <c r="B6" s="143" t="n"/>
      <c r="C6" s="143" t="n"/>
      <c r="D6" s="143" t="n"/>
      <c r="E6" s="143" t="n"/>
      <c r="F6" s="143" t="n"/>
      <c r="G6" s="143" t="n"/>
      <c r="H6" s="143" t="n"/>
      <c r="I6" s="143" t="n"/>
      <c r="J6" s="143" t="n"/>
      <c r="K6" s="143" t="n"/>
      <c r="L6" s="143" t="n"/>
      <c r="M6" s="143" t="n"/>
      <c r="N6" s="143" t="n"/>
      <c r="O6" s="143" t="n"/>
      <c r="P6" s="143" t="n"/>
      <c r="Q6" s="144" t="n"/>
    </row>
    <row r="7">
      <c r="A7" s="222" t="inlineStr">
        <is>
          <t xml:space="preserve">  ► CATEGORÍA: ACCESORIOS DE BAÑO Y ACCESIBILIDAD</t>
        </is>
      </c>
      <c r="B7" s="143" t="n"/>
      <c r="C7" s="143" t="n"/>
      <c r="D7" s="143" t="n"/>
      <c r="E7" s="143" t="n"/>
      <c r="F7" s="143" t="n"/>
      <c r="G7" s="143" t="n"/>
      <c r="H7" s="143" t="n"/>
      <c r="I7" s="143" t="n"/>
      <c r="J7" s="143" t="n"/>
      <c r="K7" s="143" t="n"/>
      <c r="L7" s="143" t="n"/>
      <c r="M7" s="143" t="n"/>
      <c r="N7" s="143" t="n"/>
      <c r="O7" s="143" t="n"/>
      <c r="P7" s="143" t="n"/>
      <c r="Q7" s="144" t="n"/>
    </row>
    <row r="8">
      <c r="A8" s="223" t="inlineStr">
        <is>
          <t xml:space="preserve">      • Subcategoría Especificada: Barras, Dispensadores, Secadores y Complementos</t>
        </is>
      </c>
      <c r="B8" s="143" t="n"/>
      <c r="C8" s="143" t="n"/>
      <c r="D8" s="143" t="n"/>
      <c r="E8" s="143" t="n"/>
      <c r="F8" s="143" t="n"/>
      <c r="G8" s="143" t="n"/>
      <c r="H8" s="143" t="n"/>
      <c r="I8" s="143" t="n"/>
      <c r="J8" s="143" t="n"/>
      <c r="K8" s="143" t="n"/>
      <c r="L8" s="143" t="n"/>
      <c r="M8" s="143" t="n"/>
      <c r="N8" s="143" t="n"/>
      <c r="O8" s="143" t="n"/>
      <c r="P8" s="143" t="n"/>
      <c r="Q8" s="144" t="n"/>
    </row>
    <row r="9">
      <c r="A9" s="18" t="n">
        <v>1</v>
      </c>
      <c r="B9" s="19" t="inlineStr">
        <is>
          <t xml:space="preserve">        Barra de Apoyo Recta Acero Inox 60 cm</t>
        </is>
      </c>
      <c r="C9" s="20" t="inlineStr">
        <is>
          <t>Hospitalario / Comercial</t>
        </is>
      </c>
      <c r="D9" s="18" t="inlineStr">
        <is>
          <t>Accesibilidad</t>
        </is>
      </c>
      <c r="E9" s="18" t="inlineStr">
        <is>
          <t>U</t>
        </is>
      </c>
      <c r="F9" s="21" t="n">
        <v>4</v>
      </c>
      <c r="G9" s="22" t="n">
        <v>28</v>
      </c>
      <c r="H9" s="22" t="n">
        <v>28.84</v>
      </c>
      <c r="I9" s="18" t="inlineStr">
        <is>
          <t>Kywi / Megakywi</t>
        </is>
      </c>
      <c r="J9" s="22" t="n">
        <v>30.24</v>
      </c>
      <c r="K9" s="18" t="inlineStr">
        <is>
          <t>Ferrisariato</t>
        </is>
      </c>
      <c r="L9" s="8">
        <f>F9*G9</f>
        <v/>
      </c>
      <c r="M9" s="145" t="inlineStr">
        <is>
          <t>A-C10-ACS-BAP-060</t>
        </is>
      </c>
      <c r="N9" s="18" t="inlineStr">
        <is>
          <t>Arquitectura</t>
        </is>
      </c>
      <c r="O9" s="18" t="inlineStr">
        <is>
          <t>Estimado DION · criterio de mercado Guayaquil 2026 (no verificado en tienda)</t>
        </is>
      </c>
      <c r="P9" s="18" t="inlineStr">
        <is>
          <t>oct-2026 (est.)</t>
        </is>
      </c>
      <c r="Q9" s="18" t="n"/>
    </row>
    <row r="10">
      <c r="A10" s="224" t="n">
        <v>2</v>
      </c>
      <c r="B10" s="225" t="inlineStr">
        <is>
          <t xml:space="preserve">        Barra de Apoyo Recta 90 cm</t>
        </is>
      </c>
      <c r="C10" s="226" t="inlineStr">
        <is>
          <t>Hospitalario / Comercial</t>
        </is>
      </c>
      <c r="D10" s="224" t="inlineStr">
        <is>
          <t>Accesibilidad</t>
        </is>
      </c>
      <c r="E10" s="224" t="inlineStr">
        <is>
          <t>U</t>
        </is>
      </c>
      <c r="F10" s="227" t="n">
        <v>4</v>
      </c>
      <c r="G10" s="228" t="n">
        <v>36</v>
      </c>
      <c r="H10" s="228" t="n">
        <v>37.44</v>
      </c>
      <c r="I10" s="224" t="inlineStr">
        <is>
          <t>Kywi / Megakywi</t>
        </is>
      </c>
      <c r="J10" s="228" t="n">
        <v>39.6</v>
      </c>
      <c r="K10" s="224" t="inlineStr">
        <is>
          <t>Ferrisariato</t>
        </is>
      </c>
      <c r="L10" s="229">
        <f>F10*G10</f>
        <v/>
      </c>
      <c r="M10" s="230" t="inlineStr">
        <is>
          <t>A-C10-ACS-BAP-090</t>
        </is>
      </c>
      <c r="N10" s="224" t="inlineStr">
        <is>
          <t>Arquitectura</t>
        </is>
      </c>
      <c r="O10" s="224" t="inlineStr">
        <is>
          <t>Estimado DION · criterio de mercado Guayaquil 2026 (no verificado en tienda)</t>
        </is>
      </c>
      <c r="P10" s="224" t="inlineStr">
        <is>
          <t>oct-2026 (est.)</t>
        </is>
      </c>
      <c r="Q10" s="224" t="n"/>
    </row>
    <row r="11">
      <c r="A11" s="18" t="n">
        <v>3</v>
      </c>
      <c r="B11" s="19" t="inlineStr">
        <is>
          <t xml:space="preserve">        Barra de Apoyo Abatible 75 cm</t>
        </is>
      </c>
      <c r="C11" s="20" t="inlineStr">
        <is>
          <t>Hospitalario / Comercial</t>
        </is>
      </c>
      <c r="D11" s="18" t="inlineStr">
        <is>
          <t>Accesibilidad</t>
        </is>
      </c>
      <c r="E11" s="18" t="inlineStr">
        <is>
          <t>U</t>
        </is>
      </c>
      <c r="F11" s="21" t="n">
        <v>4</v>
      </c>
      <c r="G11" s="22" t="n">
        <v>85</v>
      </c>
      <c r="H11" s="22" t="n">
        <v>88.40000000000001</v>
      </c>
      <c r="I11" s="18" t="inlineStr">
        <is>
          <t>Kywi / Megakywi</t>
        </is>
      </c>
      <c r="J11" s="22" t="n">
        <v>90.95</v>
      </c>
      <c r="K11" s="18" t="inlineStr">
        <is>
          <t>Ferrisariato</t>
        </is>
      </c>
      <c r="L11" s="8">
        <f>F11*G11</f>
        <v/>
      </c>
      <c r="M11" s="145" t="inlineStr">
        <is>
          <t>A-C10-ACS-BAP-ABT</t>
        </is>
      </c>
      <c r="N11" s="18" t="inlineStr">
        <is>
          <t>Arquitectura</t>
        </is>
      </c>
      <c r="O11" s="18" t="inlineStr">
        <is>
          <t>Estimado DION · criterio de mercado Guayaquil 2026 (no verificado en tienda)</t>
        </is>
      </c>
      <c r="P11" s="18" t="inlineStr">
        <is>
          <t>oct-2026 (est.)</t>
        </is>
      </c>
      <c r="Q11" s="18" t="n"/>
    </row>
    <row r="12">
      <c r="A12" s="224" t="n">
        <v>4</v>
      </c>
      <c r="B12" s="225" t="inlineStr">
        <is>
          <t xml:space="preserve">        Barra de Apoyo en L</t>
        </is>
      </c>
      <c r="C12" s="226" t="inlineStr">
        <is>
          <t>Hospitalario / Comercial</t>
        </is>
      </c>
      <c r="D12" s="224" t="inlineStr">
        <is>
          <t>Accesibilidad</t>
        </is>
      </c>
      <c r="E12" s="224" t="inlineStr">
        <is>
          <t>U</t>
        </is>
      </c>
      <c r="F12" s="227" t="n">
        <v>4</v>
      </c>
      <c r="G12" s="228" t="n">
        <v>58</v>
      </c>
      <c r="H12" s="228" t="n">
        <v>59.74</v>
      </c>
      <c r="I12" s="224" t="inlineStr">
        <is>
          <t>Kywi / Megakywi</t>
        </is>
      </c>
      <c r="J12" s="228" t="n">
        <v>63.22</v>
      </c>
      <c r="K12" s="224" t="inlineStr">
        <is>
          <t>Ferrisariato</t>
        </is>
      </c>
      <c r="L12" s="229">
        <f>F12*G12</f>
        <v/>
      </c>
      <c r="M12" s="230" t="inlineStr">
        <is>
          <t>A-C10-ACS-BAP-L</t>
        </is>
      </c>
      <c r="N12" s="224" t="inlineStr">
        <is>
          <t>Arquitectura</t>
        </is>
      </c>
      <c r="O12" s="224" t="inlineStr">
        <is>
          <t>Estimado DION · criterio de mercado Guayaquil 2026 (no verificado en tienda)</t>
        </is>
      </c>
      <c r="P12" s="224" t="inlineStr">
        <is>
          <t>oct-2026 (est.)</t>
        </is>
      </c>
      <c r="Q12" s="224" t="n"/>
    </row>
    <row r="13">
      <c r="A13" s="18" t="n">
        <v>5</v>
      </c>
      <c r="B13" s="19" t="inlineStr">
        <is>
          <t xml:space="preserve">        Espejo Basculante Accesible</t>
        </is>
      </c>
      <c r="C13" s="20" t="inlineStr">
        <is>
          <t>Hospitalario / Comercial</t>
        </is>
      </c>
      <c r="D13" s="18" t="inlineStr">
        <is>
          <t>Accesibilidad</t>
        </is>
      </c>
      <c r="E13" s="18" t="inlineStr">
        <is>
          <t>U</t>
        </is>
      </c>
      <c r="F13" s="21" t="n">
        <v>4</v>
      </c>
      <c r="G13" s="22" t="n">
        <v>95</v>
      </c>
      <c r="H13" s="22" t="n">
        <v>99.75</v>
      </c>
      <c r="I13" s="18" t="inlineStr">
        <is>
          <t>Kywi / Megakywi</t>
        </is>
      </c>
      <c r="J13" s="22" t="n">
        <v>103.55</v>
      </c>
      <c r="K13" s="18" t="inlineStr">
        <is>
          <t>Ferrisariato</t>
        </is>
      </c>
      <c r="L13" s="8">
        <f>F13*G13</f>
        <v/>
      </c>
      <c r="M13" s="145" t="inlineStr">
        <is>
          <t>A-C10-ACS-ESP-ACC</t>
        </is>
      </c>
      <c r="N13" s="18" t="inlineStr">
        <is>
          <t>Arquitectura</t>
        </is>
      </c>
      <c r="O13" s="18" t="inlineStr">
        <is>
          <t>Estimado DION · criterio de mercado Guayaquil 2026 (no verificado en tienda)</t>
        </is>
      </c>
      <c r="P13" s="18" t="inlineStr">
        <is>
          <t>oct-2026 (est.)</t>
        </is>
      </c>
      <c r="Q13" s="18" t="n"/>
    </row>
    <row r="14">
      <c r="A14" s="224" t="n">
        <v>6</v>
      </c>
      <c r="B14" s="225" t="inlineStr">
        <is>
          <t xml:space="preserve">        Dispensador de Papel Higiénico Jumbo</t>
        </is>
      </c>
      <c r="C14" s="226" t="inlineStr">
        <is>
          <t>Residencial / Comercial</t>
        </is>
      </c>
      <c r="D14" s="224" t="inlineStr">
        <is>
          <t>Dispensadores</t>
        </is>
      </c>
      <c r="E14" s="224" t="inlineStr">
        <is>
          <t>U</t>
        </is>
      </c>
      <c r="F14" s="227" t="n">
        <v>4</v>
      </c>
      <c r="G14" s="228" t="n">
        <v>22</v>
      </c>
      <c r="H14" s="228" t="n">
        <v>22.66</v>
      </c>
      <c r="I14" s="224" t="inlineStr">
        <is>
          <t>Kywi / Megakywi</t>
        </is>
      </c>
      <c r="J14" s="228" t="n">
        <v>23.54</v>
      </c>
      <c r="K14" s="224" t="inlineStr">
        <is>
          <t>Ferrisariato</t>
        </is>
      </c>
      <c r="L14" s="229">
        <f>F14*G14</f>
        <v/>
      </c>
      <c r="M14" s="230" t="inlineStr">
        <is>
          <t>A-C10-ACS-DPH</t>
        </is>
      </c>
      <c r="N14" s="224" t="inlineStr">
        <is>
          <t>Arquitectura</t>
        </is>
      </c>
      <c r="O14" s="224" t="inlineStr">
        <is>
          <t>Estimado DION · criterio de mercado Guayaquil 2026 (no verificado en tienda)</t>
        </is>
      </c>
      <c r="P14" s="224" t="inlineStr">
        <is>
          <t>oct-2026 (est.)</t>
        </is>
      </c>
      <c r="Q14" s="224" t="n"/>
    </row>
    <row r="15">
      <c r="A15" s="18" t="n">
        <v>7</v>
      </c>
      <c r="B15" s="19" t="inlineStr">
        <is>
          <t xml:space="preserve">        Dispensador de Toalla de Papel</t>
        </is>
      </c>
      <c r="C15" s="20" t="inlineStr">
        <is>
          <t>Residencial / Comercial</t>
        </is>
      </c>
      <c r="D15" s="18" t="inlineStr">
        <is>
          <t>Dispensadores</t>
        </is>
      </c>
      <c r="E15" s="18" t="inlineStr">
        <is>
          <t>U</t>
        </is>
      </c>
      <c r="F15" s="21" t="n">
        <v>4</v>
      </c>
      <c r="G15" s="22" t="n">
        <v>28</v>
      </c>
      <c r="H15" s="22" t="n">
        <v>28.84</v>
      </c>
      <c r="I15" s="18" t="inlineStr">
        <is>
          <t>Kywi / Megakywi</t>
        </is>
      </c>
      <c r="J15" s="22" t="n">
        <v>30.52</v>
      </c>
      <c r="K15" s="18" t="inlineStr">
        <is>
          <t>Ferrisariato</t>
        </is>
      </c>
      <c r="L15" s="8">
        <f>F15*G15</f>
        <v/>
      </c>
      <c r="M15" s="145" t="inlineStr">
        <is>
          <t>A-C10-ACS-DPT</t>
        </is>
      </c>
      <c r="N15" s="18" t="inlineStr">
        <is>
          <t>Arquitectura</t>
        </is>
      </c>
      <c r="O15" s="18" t="inlineStr">
        <is>
          <t>Estimado DION · criterio de mercado Guayaquil 2026 (no verificado en tienda)</t>
        </is>
      </c>
      <c r="P15" s="18" t="inlineStr">
        <is>
          <t>oct-2026 (est.)</t>
        </is>
      </c>
      <c r="Q15" s="18" t="n"/>
    </row>
    <row r="16">
      <c r="A16" s="224" t="n">
        <v>8</v>
      </c>
      <c r="B16" s="225" t="inlineStr">
        <is>
          <t xml:space="preserve">        Dispensador de Jabón Líquido</t>
        </is>
      </c>
      <c r="C16" s="226" t="inlineStr">
        <is>
          <t>Residencial / Comercial</t>
        </is>
      </c>
      <c r="D16" s="224" t="inlineStr">
        <is>
          <t>Dispensadores</t>
        </is>
      </c>
      <c r="E16" s="224" t="inlineStr">
        <is>
          <t>U</t>
        </is>
      </c>
      <c r="F16" s="227" t="n">
        <v>4</v>
      </c>
      <c r="G16" s="228" t="n">
        <v>14</v>
      </c>
      <c r="H16" s="228" t="n">
        <v>14.7</v>
      </c>
      <c r="I16" s="224" t="inlineStr">
        <is>
          <t>Kywi / Megakywi</t>
        </is>
      </c>
      <c r="J16" s="228" t="n">
        <v>15.4</v>
      </c>
      <c r="K16" s="224" t="inlineStr">
        <is>
          <t>Ferrisariato</t>
        </is>
      </c>
      <c r="L16" s="229">
        <f>F16*G16</f>
        <v/>
      </c>
      <c r="M16" s="230" t="inlineStr">
        <is>
          <t>A-C10-ACS-DJB</t>
        </is>
      </c>
      <c r="N16" s="224" t="inlineStr">
        <is>
          <t>Arquitectura</t>
        </is>
      </c>
      <c r="O16" s="224" t="inlineStr">
        <is>
          <t>Estimado DION · criterio de mercado Guayaquil 2026 (no verificado en tienda)</t>
        </is>
      </c>
      <c r="P16" s="224" t="inlineStr">
        <is>
          <t>oct-2026 (est.)</t>
        </is>
      </c>
      <c r="Q16" s="224" t="n"/>
    </row>
    <row r="17">
      <c r="A17" s="18" t="n">
        <v>9</v>
      </c>
      <c r="B17" s="19" t="inlineStr">
        <is>
          <t xml:space="preserve">        Dispensador de Gel Antibacterial Automático</t>
        </is>
      </c>
      <c r="C17" s="20" t="inlineStr">
        <is>
          <t>Residencial / Comercial</t>
        </is>
      </c>
      <c r="D17" s="18" t="inlineStr">
        <is>
          <t>Dispensadores</t>
        </is>
      </c>
      <c r="E17" s="18" t="inlineStr">
        <is>
          <t>U</t>
        </is>
      </c>
      <c r="F17" s="21" t="n">
        <v>4</v>
      </c>
      <c r="G17" s="22" t="n">
        <v>32</v>
      </c>
      <c r="H17" s="22" t="n">
        <v>33.6</v>
      </c>
      <c r="I17" s="18" t="inlineStr">
        <is>
          <t>Kywi / Megakywi</t>
        </is>
      </c>
      <c r="J17" s="22" t="n">
        <v>35.52</v>
      </c>
      <c r="K17" s="18" t="inlineStr">
        <is>
          <t>Ferrisariato</t>
        </is>
      </c>
      <c r="L17" s="8">
        <f>F17*G17</f>
        <v/>
      </c>
      <c r="M17" s="145" t="inlineStr">
        <is>
          <t>A-C10-ACS-DGE</t>
        </is>
      </c>
      <c r="N17" s="18" t="inlineStr">
        <is>
          <t>Arquitectura</t>
        </is>
      </c>
      <c r="O17" s="18" t="inlineStr">
        <is>
          <t>Estimado DION · criterio de mercado Guayaquil 2026 (no verificado en tienda)</t>
        </is>
      </c>
      <c r="P17" s="18" t="inlineStr">
        <is>
          <t>oct-2026 (est.)</t>
        </is>
      </c>
      <c r="Q17" s="18" t="n"/>
    </row>
    <row r="18">
      <c r="A18" s="224" t="n">
        <v>10</v>
      </c>
      <c r="B18" s="225" t="inlineStr">
        <is>
          <t xml:space="preserve">        Secador de Manos Eléctrico Alta Velocidad</t>
        </is>
      </c>
      <c r="C18" s="226" t="inlineStr">
        <is>
          <t>Residencial / Comercial</t>
        </is>
      </c>
      <c r="D18" s="224" t="inlineStr">
        <is>
          <t>Secadores</t>
        </is>
      </c>
      <c r="E18" s="224" t="inlineStr">
        <is>
          <t>U</t>
        </is>
      </c>
      <c r="F18" s="227" t="n">
        <v>4</v>
      </c>
      <c r="G18" s="228" t="n">
        <v>165</v>
      </c>
      <c r="H18" s="228" t="n">
        <v>168.3</v>
      </c>
      <c r="I18" s="224" t="inlineStr">
        <is>
          <t>Kywi / Megakywi</t>
        </is>
      </c>
      <c r="J18" s="228" t="n">
        <v>176.55</v>
      </c>
      <c r="K18" s="224" t="inlineStr">
        <is>
          <t>Ferrisariato</t>
        </is>
      </c>
      <c r="L18" s="229">
        <f>F18*G18</f>
        <v/>
      </c>
      <c r="M18" s="230" t="inlineStr">
        <is>
          <t>A-C10-ACS-SEC</t>
        </is>
      </c>
      <c r="N18" s="224" t="inlineStr">
        <is>
          <t>Arquitectura</t>
        </is>
      </c>
      <c r="O18" s="224" t="inlineStr">
        <is>
          <t>Estimado DION · criterio de mercado Guayaquil 2026 (no verificado en tienda)</t>
        </is>
      </c>
      <c r="P18" s="224" t="inlineStr">
        <is>
          <t>oct-2026 (est.)</t>
        </is>
      </c>
      <c r="Q18" s="224" t="n"/>
    </row>
    <row r="19">
      <c r="A19" s="18" t="n">
        <v>11</v>
      </c>
      <c r="B19" s="19" t="inlineStr">
        <is>
          <t xml:space="preserve">        Cambiador de Pañales Abatible</t>
        </is>
      </c>
      <c r="C19" s="20" t="inlineStr">
        <is>
          <t>Residencial / Comercial</t>
        </is>
      </c>
      <c r="D19" s="18" t="inlineStr">
        <is>
          <t>Cambiadores</t>
        </is>
      </c>
      <c r="E19" s="18" t="inlineStr">
        <is>
          <t>U</t>
        </is>
      </c>
      <c r="F19" s="21" t="n">
        <v>4</v>
      </c>
      <c r="G19" s="22" t="n">
        <v>245</v>
      </c>
      <c r="H19" s="22" t="n">
        <v>252.35</v>
      </c>
      <c r="I19" s="18" t="inlineStr">
        <is>
          <t>Kywi / Megakywi</t>
        </is>
      </c>
      <c r="J19" s="22" t="n">
        <v>271.95</v>
      </c>
      <c r="K19" s="18" t="inlineStr">
        <is>
          <t>Ferrisariato</t>
        </is>
      </c>
      <c r="L19" s="8">
        <f>F19*G19</f>
        <v/>
      </c>
      <c r="M19" s="145" t="inlineStr">
        <is>
          <t>A-C10-ACS-CMB</t>
        </is>
      </c>
      <c r="N19" s="18" t="inlineStr">
        <is>
          <t>Arquitectura</t>
        </is>
      </c>
      <c r="O19" s="18" t="inlineStr">
        <is>
          <t>Estimado DION · criterio de mercado Guayaquil 2026 (no verificado en tienda)</t>
        </is>
      </c>
      <c r="P19" s="18" t="inlineStr">
        <is>
          <t>oct-2026 (est.)</t>
        </is>
      </c>
      <c r="Q19" s="18" t="n"/>
    </row>
    <row r="20">
      <c r="A20" s="224" t="n">
        <v>12</v>
      </c>
      <c r="B20" s="225" t="inlineStr">
        <is>
          <t xml:space="preserve">        Toallero Barra Acero Inox 60 cm</t>
        </is>
      </c>
      <c r="C20" s="226" t="inlineStr">
        <is>
          <t>Residencial / Comercial</t>
        </is>
      </c>
      <c r="D20" s="224" t="inlineStr">
        <is>
          <t>Toalleros</t>
        </is>
      </c>
      <c r="E20" s="224" t="inlineStr">
        <is>
          <t>U</t>
        </is>
      </c>
      <c r="F20" s="227" t="n">
        <v>4</v>
      </c>
      <c r="G20" s="228" t="n">
        <v>12</v>
      </c>
      <c r="H20" s="228" t="n">
        <v>12.48</v>
      </c>
      <c r="I20" s="224" t="inlineStr">
        <is>
          <t>Kywi / Megakywi</t>
        </is>
      </c>
      <c r="J20" s="228" t="n">
        <v>12.96</v>
      </c>
      <c r="K20" s="224" t="inlineStr">
        <is>
          <t>Ferrisariato</t>
        </is>
      </c>
      <c r="L20" s="229">
        <f>F20*G20</f>
        <v/>
      </c>
      <c r="M20" s="230" t="inlineStr">
        <is>
          <t>A-C10-ACS-TOA</t>
        </is>
      </c>
      <c r="N20" s="224" t="inlineStr">
        <is>
          <t>Arquitectura</t>
        </is>
      </c>
      <c r="O20" s="224" t="inlineStr">
        <is>
          <t>Estimado DION · criterio de mercado Guayaquil 2026 (no verificado en tienda)</t>
        </is>
      </c>
      <c r="P20" s="224" t="inlineStr">
        <is>
          <t>oct-2026 (est.)</t>
        </is>
      </c>
      <c r="Q20" s="224" t="n"/>
    </row>
    <row r="21">
      <c r="A21" s="18" t="n">
        <v>13</v>
      </c>
      <c r="B21" s="19" t="inlineStr">
        <is>
          <t xml:space="preserve">        Jabonera de Empotrar Cerámica</t>
        </is>
      </c>
      <c r="C21" s="20" t="inlineStr">
        <is>
          <t>Residencial / Comercial</t>
        </is>
      </c>
      <c r="D21" s="18" t="inlineStr">
        <is>
          <t>Jaboneras</t>
        </is>
      </c>
      <c r="E21" s="18" t="inlineStr">
        <is>
          <t>U</t>
        </is>
      </c>
      <c r="F21" s="21" t="n">
        <v>4</v>
      </c>
      <c r="G21" s="22" t="n">
        <v>6</v>
      </c>
      <c r="H21" s="22" t="n">
        <v>6.18</v>
      </c>
      <c r="I21" s="18" t="inlineStr">
        <is>
          <t>Kywi / Megakywi</t>
        </is>
      </c>
      <c r="J21" s="22" t="n">
        <v>6.48</v>
      </c>
      <c r="K21" s="18" t="inlineStr">
        <is>
          <t>Ferrisariato</t>
        </is>
      </c>
      <c r="L21" s="8">
        <f>F21*G21</f>
        <v/>
      </c>
      <c r="M21" s="145" t="inlineStr">
        <is>
          <t>A-C10-ACS-JAB</t>
        </is>
      </c>
      <c r="N21" s="18" t="inlineStr">
        <is>
          <t>Arquitectura</t>
        </is>
      </c>
      <c r="O21" s="18" t="inlineStr">
        <is>
          <t>Estimado DION · criterio de mercado Guayaquil 2026 (no verificado en tienda)</t>
        </is>
      </c>
      <c r="P21" s="18" t="inlineStr">
        <is>
          <t>oct-2026 (est.)</t>
        </is>
      </c>
      <c r="Q21" s="18" t="n"/>
    </row>
    <row r="22">
      <c r="A22" s="224" t="n">
        <v>14</v>
      </c>
      <c r="B22" s="225" t="inlineStr">
        <is>
          <t xml:space="preserve">        Gancho / Percha Doble Inox</t>
        </is>
      </c>
      <c r="C22" s="226" t="inlineStr">
        <is>
          <t>Residencial / Comercial</t>
        </is>
      </c>
      <c r="D22" s="224" t="inlineStr">
        <is>
          <t>Ganchos</t>
        </is>
      </c>
      <c r="E22" s="224" t="inlineStr">
        <is>
          <t>U</t>
        </is>
      </c>
      <c r="F22" s="227" t="n">
        <v>4</v>
      </c>
      <c r="G22" s="228" t="n">
        <v>4.5</v>
      </c>
      <c r="H22" s="228" t="n">
        <v>4.73</v>
      </c>
      <c r="I22" s="224" t="inlineStr">
        <is>
          <t>Kywi / Megakywi</t>
        </is>
      </c>
      <c r="J22" s="228" t="n">
        <v>4.86</v>
      </c>
      <c r="K22" s="224" t="inlineStr">
        <is>
          <t>Ferrisariato</t>
        </is>
      </c>
      <c r="L22" s="229">
        <f>F22*G22</f>
        <v/>
      </c>
      <c r="M22" s="230" t="inlineStr">
        <is>
          <t>A-C10-ACS-GAN</t>
        </is>
      </c>
      <c r="N22" s="224" t="inlineStr">
        <is>
          <t>Arquitectura</t>
        </is>
      </c>
      <c r="O22" s="224" t="inlineStr">
        <is>
          <t>Estimado DION · criterio de mercado Guayaquil 2026 (no verificado en tienda)</t>
        </is>
      </c>
      <c r="P22" s="224" t="inlineStr">
        <is>
          <t>oct-2026 (est.)</t>
        </is>
      </c>
      <c r="Q22" s="224" t="n"/>
    </row>
    <row r="23">
      <c r="A23" s="18" t="n">
        <v>15</v>
      </c>
      <c r="B23" s="19" t="inlineStr">
        <is>
          <t xml:space="preserve">        Basurero Acero Inox con Pedal 12 L</t>
        </is>
      </c>
      <c r="C23" s="20" t="inlineStr">
        <is>
          <t>Residencial / Comercial</t>
        </is>
      </c>
      <c r="D23" s="18" t="inlineStr">
        <is>
          <t>Basureros</t>
        </is>
      </c>
      <c r="E23" s="18" t="inlineStr">
        <is>
          <t>U</t>
        </is>
      </c>
      <c r="F23" s="21" t="n">
        <v>4</v>
      </c>
      <c r="G23" s="22" t="n">
        <v>24</v>
      </c>
      <c r="H23" s="22" t="n">
        <v>24.96</v>
      </c>
      <c r="I23" s="18" t="inlineStr">
        <is>
          <t>Kywi / Megakywi</t>
        </is>
      </c>
      <c r="J23" s="22" t="n">
        <v>26.16</v>
      </c>
      <c r="K23" s="18" t="inlineStr">
        <is>
          <t>Ferrisariato</t>
        </is>
      </c>
      <c r="L23" s="8">
        <f>F23*G23</f>
        <v/>
      </c>
      <c r="M23" s="145" t="inlineStr">
        <is>
          <t>A-C10-ACS-BAS</t>
        </is>
      </c>
      <c r="N23" s="18" t="inlineStr">
        <is>
          <t>Arquitectura</t>
        </is>
      </c>
      <c r="O23" s="18" t="inlineStr">
        <is>
          <t>Estimado DION · criterio de mercado Guayaquil 2026 (no verificado en tienda)</t>
        </is>
      </c>
      <c r="P23" s="18" t="inlineStr">
        <is>
          <t>oct-2026 (est.)</t>
        </is>
      </c>
      <c r="Q23" s="18" t="n"/>
    </row>
    <row r="24">
      <c r="A24" s="224" t="n">
        <v>16</v>
      </c>
      <c r="B24" s="225" t="inlineStr">
        <is>
          <t xml:space="preserve">        Portarrollo Acero Inox</t>
        </is>
      </c>
      <c r="C24" s="226" t="inlineStr">
        <is>
          <t>Residencial / Comercial</t>
        </is>
      </c>
      <c r="D24" s="224" t="inlineStr">
        <is>
          <t>Portarrollos</t>
        </is>
      </c>
      <c r="E24" s="224" t="inlineStr">
        <is>
          <t>U</t>
        </is>
      </c>
      <c r="F24" s="227" t="n">
        <v>4</v>
      </c>
      <c r="G24" s="228" t="n">
        <v>8.5</v>
      </c>
      <c r="H24" s="228" t="n">
        <v>8.67</v>
      </c>
      <c r="I24" s="224" t="inlineStr">
        <is>
          <t>Kywi / Megakywi</t>
        </is>
      </c>
      <c r="J24" s="228" t="n">
        <v>9.1</v>
      </c>
      <c r="K24" s="224" t="inlineStr">
        <is>
          <t>Ferrisariato</t>
        </is>
      </c>
      <c r="L24" s="229">
        <f>F24*G24</f>
        <v/>
      </c>
      <c r="M24" s="230" t="inlineStr">
        <is>
          <t>A-C10-ACS-PRE</t>
        </is>
      </c>
      <c r="N24" s="224" t="inlineStr">
        <is>
          <t>Arquitectura</t>
        </is>
      </c>
      <c r="O24" s="224" t="inlineStr">
        <is>
          <t>Estimado DION · criterio de mercado Guayaquil 2026 (no verificado en tienda)</t>
        </is>
      </c>
      <c r="P24" s="224" t="inlineStr">
        <is>
          <t>oct-2026 (est.)</t>
        </is>
      </c>
      <c r="Q24" s="224" t="n"/>
    </row>
    <row r="25">
      <c r="A25" s="221" t="inlineStr">
        <is>
          <t>TUBERÍAS</t>
        </is>
      </c>
      <c r="B25" s="143" t="n"/>
      <c r="C25" s="143" t="n"/>
      <c r="D25" s="143" t="n"/>
      <c r="E25" s="143" t="n"/>
      <c r="F25" s="143" t="n"/>
      <c r="G25" s="143" t="n"/>
      <c r="H25" s="143" t="n"/>
      <c r="I25" s="143" t="n"/>
      <c r="J25" s="143" t="n"/>
      <c r="K25" s="143" t="n"/>
      <c r="L25" s="143" t="n"/>
      <c r="M25" s="143" t="n"/>
      <c r="N25" s="143" t="n"/>
      <c r="O25" s="143" t="n"/>
      <c r="P25" s="143" t="n"/>
      <c r="Q25" s="144" t="n"/>
    </row>
    <row r="26">
      <c r="A26" s="222" t="inlineStr">
        <is>
          <t xml:space="preserve">  ► CATEGORÍA: CONEXIONES DE APARATOS</t>
        </is>
      </c>
      <c r="B26" s="143" t="n"/>
      <c r="C26" s="143" t="n"/>
      <c r="D26" s="143" t="n"/>
      <c r="E26" s="143" t="n"/>
      <c r="F26" s="143" t="n"/>
      <c r="G26" s="143" t="n"/>
      <c r="H26" s="143" t="n"/>
      <c r="I26" s="143" t="n"/>
      <c r="J26" s="143" t="n"/>
      <c r="K26" s="143" t="n"/>
      <c r="L26" s="143" t="n"/>
      <c r="M26" s="143" t="n"/>
      <c r="N26" s="143" t="n"/>
      <c r="O26" s="143" t="n"/>
      <c r="P26" s="143" t="n"/>
      <c r="Q26" s="144" t="n"/>
    </row>
    <row r="27">
      <c r="A27" s="223" t="inlineStr">
        <is>
          <t xml:space="preserve">      • Subcategoría Especificada: Abastos, Desagües, Válvulas y Complementos de Instalación</t>
        </is>
      </c>
      <c r="B27" s="143" t="n"/>
      <c r="C27" s="143" t="n"/>
      <c r="D27" s="143" t="n"/>
      <c r="E27" s="143" t="n"/>
      <c r="F27" s="143" t="n"/>
      <c r="G27" s="143" t="n"/>
      <c r="H27" s="143" t="n"/>
      <c r="I27" s="143" t="n"/>
      <c r="J27" s="143" t="n"/>
      <c r="K27" s="143" t="n"/>
      <c r="L27" s="143" t="n"/>
      <c r="M27" s="143" t="n"/>
      <c r="N27" s="143" t="n"/>
      <c r="O27" s="143" t="n"/>
      <c r="P27" s="143" t="n"/>
      <c r="Q27" s="144" t="n"/>
    </row>
    <row r="28">
      <c r="A28" s="18" t="n">
        <v>17</v>
      </c>
      <c r="B28" s="19" t="inlineStr">
        <is>
          <t xml:space="preserve">        Kit de Instalación de Inodoro (Abasto + Llave + Anillo de Cera + Pernos)</t>
        </is>
      </c>
      <c r="C28" s="20" t="inlineStr">
        <is>
          <t>Residencial / Comercial</t>
        </is>
      </c>
      <c r="D28" s="18" t="inlineStr">
        <is>
          <t>Kits Instalación</t>
        </is>
      </c>
      <c r="E28" s="18" t="inlineStr">
        <is>
          <t>U</t>
        </is>
      </c>
      <c r="F28" s="21" t="n">
        <v>10</v>
      </c>
      <c r="G28" s="22" t="n">
        <v>12.5</v>
      </c>
      <c r="H28" s="22" t="n">
        <v>13.12</v>
      </c>
      <c r="I28" s="18" t="inlineStr">
        <is>
          <t>Kywi / Megakywi</t>
        </is>
      </c>
      <c r="J28" s="22" t="n">
        <v>13.88</v>
      </c>
      <c r="K28" s="18" t="inlineStr">
        <is>
          <t>Ferrisariato</t>
        </is>
      </c>
      <c r="L28" s="8">
        <f>F28*G28</f>
        <v/>
      </c>
      <c r="M28" s="145" t="inlineStr">
        <is>
          <t>IS-D20-CNS-ABA-INO</t>
        </is>
      </c>
      <c r="N28" s="18" t="inlineStr">
        <is>
          <t>Instalaciones sanitarias (hidrosanitarias)</t>
        </is>
      </c>
      <c r="O28" s="18" t="inlineStr">
        <is>
          <t>Estimado DION · criterio de mercado Guayaquil 2026 (no verificado en tienda)</t>
        </is>
      </c>
      <c r="P28" s="18" t="inlineStr">
        <is>
          <t>oct-2026 (est.)</t>
        </is>
      </c>
      <c r="Q28" s="18" t="n"/>
    </row>
    <row r="29">
      <c r="A29" s="224" t="n">
        <v>18</v>
      </c>
      <c r="B29" s="225" t="inlineStr">
        <is>
          <t xml:space="preserve">        Desagüe de Lavamanos con Rebose Cromado (Push)</t>
        </is>
      </c>
      <c r="C29" s="226" t="inlineStr">
        <is>
          <t>Residencial / Comercial</t>
        </is>
      </c>
      <c r="D29" s="224" t="inlineStr">
        <is>
          <t>Desagües</t>
        </is>
      </c>
      <c r="E29" s="224" t="inlineStr">
        <is>
          <t>U</t>
        </is>
      </c>
      <c r="F29" s="227" t="n">
        <v>10</v>
      </c>
      <c r="G29" s="228" t="n">
        <v>9.5</v>
      </c>
      <c r="H29" s="228" t="n">
        <v>9.69</v>
      </c>
      <c r="I29" s="224" t="inlineStr">
        <is>
          <t>Kywi / Megakywi</t>
        </is>
      </c>
      <c r="J29" s="228" t="n">
        <v>10.36</v>
      </c>
      <c r="K29" s="224" t="inlineStr">
        <is>
          <t>Ferrisariato</t>
        </is>
      </c>
      <c r="L29" s="229">
        <f>F29*G29</f>
        <v/>
      </c>
      <c r="M29" s="230" t="inlineStr">
        <is>
          <t>IS-D20-CNS-DES-LAV</t>
        </is>
      </c>
      <c r="N29" s="224" t="inlineStr">
        <is>
          <t>Instalaciones sanitarias (hidrosanitarias)</t>
        </is>
      </c>
      <c r="O29" s="224" t="inlineStr">
        <is>
          <t>Estimado DION · criterio de mercado Guayaquil 2026 (no verificado en tienda)</t>
        </is>
      </c>
      <c r="P29" s="224" t="inlineStr">
        <is>
          <t>oct-2026 (est.)</t>
        </is>
      </c>
      <c r="Q29" s="224" t="n"/>
    </row>
    <row r="30">
      <c r="A30" s="18" t="n">
        <v>19</v>
      </c>
      <c r="B30" s="19" t="inlineStr">
        <is>
          <t xml:space="preserve">        Canastilla de Fregadero 3½"</t>
        </is>
      </c>
      <c r="C30" s="20" t="inlineStr">
        <is>
          <t>Residencial / Comercial</t>
        </is>
      </c>
      <c r="D30" s="18" t="inlineStr">
        <is>
          <t>Desagües</t>
        </is>
      </c>
      <c r="E30" s="18" t="inlineStr">
        <is>
          <t>U</t>
        </is>
      </c>
      <c r="F30" s="21" t="n">
        <v>4</v>
      </c>
      <c r="G30" s="22" t="n">
        <v>6.5</v>
      </c>
      <c r="H30" s="22" t="n">
        <v>6.63</v>
      </c>
      <c r="I30" s="18" t="inlineStr">
        <is>
          <t>Kywi / Megakywi</t>
        </is>
      </c>
      <c r="J30" s="22" t="n">
        <v>7.22</v>
      </c>
      <c r="K30" s="18" t="inlineStr">
        <is>
          <t>Ferrisariato</t>
        </is>
      </c>
      <c r="L30" s="8">
        <f>F30*G30</f>
        <v/>
      </c>
      <c r="M30" s="145" t="inlineStr">
        <is>
          <t>IS-D20-CNS-DES-FRE</t>
        </is>
      </c>
      <c r="N30" s="18" t="inlineStr">
        <is>
          <t>Instalaciones sanitarias (hidrosanitarias)</t>
        </is>
      </c>
      <c r="O30" s="18" t="inlineStr">
        <is>
          <t>Estimado DION · criterio de mercado Guayaquil 2026 (no verificado en tienda)</t>
        </is>
      </c>
      <c r="P30" s="18" t="inlineStr">
        <is>
          <t>oct-2026 (est.)</t>
        </is>
      </c>
      <c r="Q30" s="18" t="n"/>
    </row>
    <row r="31">
      <c r="A31" s="224" t="n">
        <v>20</v>
      </c>
      <c r="B31" s="225" t="inlineStr">
        <is>
          <t xml:space="preserve">        Sifón Cromado de Botella 1¼"</t>
        </is>
      </c>
      <c r="C31" s="226" t="inlineStr">
        <is>
          <t>Residencial / Comercial</t>
        </is>
      </c>
      <c r="D31" s="224" t="inlineStr">
        <is>
          <t>Sifones Cromados</t>
        </is>
      </c>
      <c r="E31" s="224" t="inlineStr">
        <is>
          <t>U</t>
        </is>
      </c>
      <c r="F31" s="227" t="n">
        <v>4</v>
      </c>
      <c r="G31" s="228" t="n">
        <v>24</v>
      </c>
      <c r="H31" s="228" t="n">
        <v>25.2</v>
      </c>
      <c r="I31" s="224" t="inlineStr">
        <is>
          <t>Kywi / Megakywi</t>
        </is>
      </c>
      <c r="J31" s="228" t="n">
        <v>26.64</v>
      </c>
      <c r="K31" s="224" t="inlineStr">
        <is>
          <t>Ferrisariato</t>
        </is>
      </c>
      <c r="L31" s="229">
        <f>F31*G31</f>
        <v/>
      </c>
      <c r="M31" s="230" t="inlineStr">
        <is>
          <t>IS-D20-CNS-SIF-CRO</t>
        </is>
      </c>
      <c r="N31" s="224" t="inlineStr">
        <is>
          <t>Instalaciones sanitarias (hidrosanitarias)</t>
        </is>
      </c>
      <c r="O31" s="224" t="inlineStr">
        <is>
          <t>Estimado DION · criterio de mercado Guayaquil 2026 (no verificado en tienda)</t>
        </is>
      </c>
      <c r="P31" s="224" t="inlineStr">
        <is>
          <t>oct-2026 (est.)</t>
        </is>
      </c>
      <c r="Q31" s="224" t="n"/>
    </row>
    <row r="32">
      <c r="A32" s="18" t="n">
        <v>21</v>
      </c>
      <c r="B32" s="19" t="inlineStr">
        <is>
          <t xml:space="preserve">        Herraje de Tanque Dual Flush Completo</t>
        </is>
      </c>
      <c r="C32" s="20" t="inlineStr">
        <is>
          <t>Residencial / Comercial</t>
        </is>
      </c>
      <c r="D32" s="18" t="inlineStr">
        <is>
          <t>Herrajes Tanque</t>
        </is>
      </c>
      <c r="E32" s="18" t="inlineStr">
        <is>
          <t>U</t>
        </is>
      </c>
      <c r="F32" s="21" t="n">
        <v>4</v>
      </c>
      <c r="G32" s="22" t="n">
        <v>14</v>
      </c>
      <c r="H32" s="22" t="n">
        <v>14.28</v>
      </c>
      <c r="I32" s="18" t="inlineStr">
        <is>
          <t>Kywi / Megakywi</t>
        </is>
      </c>
      <c r="J32" s="22" t="n">
        <v>15.12</v>
      </c>
      <c r="K32" s="18" t="inlineStr">
        <is>
          <t>Ferrisariato</t>
        </is>
      </c>
      <c r="L32" s="8">
        <f>F32*G32</f>
        <v/>
      </c>
      <c r="M32" s="145" t="inlineStr">
        <is>
          <t>IS-D20-CNS-HER-TAN</t>
        </is>
      </c>
      <c r="N32" s="18" t="inlineStr">
        <is>
          <t>Instalaciones sanitarias (hidrosanitarias)</t>
        </is>
      </c>
      <c r="O32" s="18" t="inlineStr">
        <is>
          <t>Estimado DION · criterio de mercado Guayaquil 2026 (no verificado en tienda)</t>
        </is>
      </c>
      <c r="P32" s="18" t="inlineStr">
        <is>
          <t>oct-2026 (est.)</t>
        </is>
      </c>
      <c r="Q32" s="18" t="n"/>
    </row>
    <row r="33">
      <c r="A33" s="224" t="n">
        <v>22</v>
      </c>
      <c r="B33" s="225" t="inlineStr">
        <is>
          <t xml:space="preserve">        Asiento de Inodoro Cierre Lento</t>
        </is>
      </c>
      <c r="C33" s="226" t="inlineStr">
        <is>
          <t>Residencial / Comercial</t>
        </is>
      </c>
      <c r="D33" s="224" t="inlineStr">
        <is>
          <t>Asientos</t>
        </is>
      </c>
      <c r="E33" s="224" t="inlineStr">
        <is>
          <t>U</t>
        </is>
      </c>
      <c r="F33" s="227" t="n">
        <v>6</v>
      </c>
      <c r="G33" s="228" t="n">
        <v>28</v>
      </c>
      <c r="H33" s="228" t="n">
        <v>28.84</v>
      </c>
      <c r="I33" s="224" t="inlineStr">
        <is>
          <t>Kywi / Megakywi</t>
        </is>
      </c>
      <c r="J33" s="228" t="n">
        <v>30.8</v>
      </c>
      <c r="K33" s="224" t="inlineStr">
        <is>
          <t>Ferrisariato</t>
        </is>
      </c>
      <c r="L33" s="229">
        <f>F33*G33</f>
        <v/>
      </c>
      <c r="M33" s="230" t="inlineStr">
        <is>
          <t>IS-D20-CNS-ASI-INO</t>
        </is>
      </c>
      <c r="N33" s="224" t="inlineStr">
        <is>
          <t>Instalaciones sanitarias (hidrosanitarias)</t>
        </is>
      </c>
      <c r="O33" s="224" t="inlineStr">
        <is>
          <t>Estimado DION · criterio de mercado Guayaquil 2026 (no verificado en tienda)</t>
        </is>
      </c>
      <c r="P33" s="224" t="inlineStr">
        <is>
          <t>oct-2026 (est.)</t>
        </is>
      </c>
      <c r="Q33" s="224" t="n"/>
    </row>
    <row r="34">
      <c r="A34" s="18" t="n">
        <v>23</v>
      </c>
      <c r="B34" s="19" t="inlineStr">
        <is>
          <t xml:space="preserve">        Asiento de Inodoro Abierto Institucional</t>
        </is>
      </c>
      <c r="C34" s="20" t="inlineStr">
        <is>
          <t>Residencial / Comercial</t>
        </is>
      </c>
      <c r="D34" s="18" t="inlineStr">
        <is>
          <t>Asientos</t>
        </is>
      </c>
      <c r="E34" s="18" t="inlineStr">
        <is>
          <t>U</t>
        </is>
      </c>
      <c r="F34" s="21" t="n">
        <v>6</v>
      </c>
      <c r="G34" s="22" t="n">
        <v>22</v>
      </c>
      <c r="H34" s="22" t="n">
        <v>22.44</v>
      </c>
      <c r="I34" s="18" t="inlineStr">
        <is>
          <t>Kywi / Megakywi</t>
        </is>
      </c>
      <c r="J34" s="22" t="n">
        <v>23.76</v>
      </c>
      <c r="K34" s="18" t="inlineStr">
        <is>
          <t>Ferrisariato</t>
        </is>
      </c>
      <c r="L34" s="8">
        <f>F34*G34</f>
        <v/>
      </c>
      <c r="M34" s="145" t="inlineStr">
        <is>
          <t>IS-D20-CNS-ASI-ABI</t>
        </is>
      </c>
      <c r="N34" s="18" t="inlineStr">
        <is>
          <t>Instalaciones sanitarias (hidrosanitarias)</t>
        </is>
      </c>
      <c r="O34" s="18" t="inlineStr">
        <is>
          <t>Estimado DION · criterio de mercado Guayaquil 2026 (no verificado en tienda)</t>
        </is>
      </c>
      <c r="P34" s="18" t="inlineStr">
        <is>
          <t>oct-2026 (est.)</t>
        </is>
      </c>
      <c r="Q34" s="18" t="n"/>
    </row>
    <row r="35">
      <c r="A35" s="221" t="inlineStr">
        <is>
          <t>EQUIPOS</t>
        </is>
      </c>
      <c r="B35" s="143" t="n"/>
      <c r="C35" s="143" t="n"/>
      <c r="D35" s="143" t="n"/>
      <c r="E35" s="143" t="n"/>
      <c r="F35" s="143" t="n"/>
      <c r="G35" s="143" t="n"/>
      <c r="H35" s="143" t="n"/>
      <c r="I35" s="143" t="n"/>
      <c r="J35" s="143" t="n"/>
      <c r="K35" s="143" t="n"/>
      <c r="L35" s="143" t="n"/>
      <c r="M35" s="143" t="n"/>
      <c r="N35" s="143" t="n"/>
      <c r="O35" s="143" t="n"/>
      <c r="P35" s="143" t="n"/>
      <c r="Q35" s="144" t="n"/>
    </row>
    <row r="36">
      <c r="A36" s="222" t="inlineStr">
        <is>
          <t xml:space="preserve">  ► CATEGORÍA: APARATOS SANITARIOS</t>
        </is>
      </c>
      <c r="B36" s="143" t="n"/>
      <c r="C36" s="143" t="n"/>
      <c r="D36" s="143" t="n"/>
      <c r="E36" s="143" t="n"/>
      <c r="F36" s="143" t="n"/>
      <c r="G36" s="143" t="n"/>
      <c r="H36" s="143" t="n"/>
      <c r="I36" s="143" t="n"/>
      <c r="J36" s="143" t="n"/>
      <c r="K36" s="143" t="n"/>
      <c r="L36" s="143" t="n"/>
      <c r="M36" s="143" t="n"/>
      <c r="N36" s="143" t="n"/>
      <c r="O36" s="143" t="n"/>
      <c r="P36" s="143" t="n"/>
      <c r="Q36" s="144" t="n"/>
    </row>
    <row r="37">
      <c r="A37" s="223" t="inlineStr">
        <is>
          <t xml:space="preserve">      • Subcategoría Especificada: Por Tipo y Uso (Residencial, Institucional, Hospitalario, Accesible)</t>
        </is>
      </c>
      <c r="B37" s="143" t="n"/>
      <c r="C37" s="143" t="n"/>
      <c r="D37" s="143" t="n"/>
      <c r="E37" s="143" t="n"/>
      <c r="F37" s="143" t="n"/>
      <c r="G37" s="143" t="n"/>
      <c r="H37" s="143" t="n"/>
      <c r="I37" s="143" t="n"/>
      <c r="J37" s="143" t="n"/>
      <c r="K37" s="143" t="n"/>
      <c r="L37" s="143" t="n"/>
      <c r="M37" s="143" t="n"/>
      <c r="N37" s="143" t="n"/>
      <c r="O37" s="143" t="n"/>
      <c r="P37" s="143" t="n"/>
      <c r="Q37" s="144" t="n"/>
    </row>
    <row r="38">
      <c r="A38" s="224" t="n">
        <v>24</v>
      </c>
      <c r="B38" s="225" t="inlineStr">
        <is>
          <t xml:space="preserve">        Inodoro Tanque Bajo 2 Piezas Blanco (FV/Edesa/Briggs)</t>
        </is>
      </c>
      <c r="C38" s="226" t="inlineStr">
        <is>
          <t>Residencial / Comercial</t>
        </is>
      </c>
      <c r="D38" s="224" t="inlineStr">
        <is>
          <t>Inodoros</t>
        </is>
      </c>
      <c r="E38" s="224" t="inlineStr">
        <is>
          <t>U</t>
        </is>
      </c>
      <c r="F38" s="227" t="n">
        <v>2</v>
      </c>
      <c r="G38" s="228" t="n">
        <v>95</v>
      </c>
      <c r="H38" s="228" t="n">
        <v>99.75</v>
      </c>
      <c r="I38" s="224" t="inlineStr">
        <is>
          <t>Kywi / Megakywi</t>
        </is>
      </c>
      <c r="J38" s="228" t="n">
        <v>104.5</v>
      </c>
      <c r="K38" s="224" t="inlineStr">
        <is>
          <t>Ferrisariato</t>
        </is>
      </c>
      <c r="L38" s="229">
        <f>F38*G38</f>
        <v/>
      </c>
      <c r="M38" s="230" t="inlineStr">
        <is>
          <t>IS-D20-SAN-INO-TAN-2P</t>
        </is>
      </c>
      <c r="N38" s="224" t="inlineStr">
        <is>
          <t>Instalaciones sanitarias (hidrosanitarias)</t>
        </is>
      </c>
      <c r="O38" s="224" t="inlineStr">
        <is>
          <t>Estimado DION · criterio de mercado Guayaquil 2026 (no verificado en tienda)</t>
        </is>
      </c>
      <c r="P38" s="224" t="inlineStr">
        <is>
          <t>oct-2026 (est.)</t>
        </is>
      </c>
      <c r="Q38" s="224" t="n"/>
    </row>
    <row r="39">
      <c r="A39" s="18" t="n">
        <v>25</v>
      </c>
      <c r="B39" s="19" t="inlineStr">
        <is>
          <t xml:space="preserve">        Inodoro One-Piece Dual Flush</t>
        </is>
      </c>
      <c r="C39" s="20" t="inlineStr">
        <is>
          <t>Residencial / Comercial</t>
        </is>
      </c>
      <c r="D39" s="18" t="inlineStr">
        <is>
          <t>Inodoros</t>
        </is>
      </c>
      <c r="E39" s="18" t="inlineStr">
        <is>
          <t>U</t>
        </is>
      </c>
      <c r="F39" s="21" t="n">
        <v>2</v>
      </c>
      <c r="G39" s="22" t="n">
        <v>245</v>
      </c>
      <c r="H39" s="22" t="n">
        <v>249.9</v>
      </c>
      <c r="I39" s="18" t="inlineStr">
        <is>
          <t>Kywi / Megakywi</t>
        </is>
      </c>
      <c r="J39" s="22" t="n">
        <v>262.15</v>
      </c>
      <c r="K39" s="18" t="inlineStr">
        <is>
          <t>Ferrisariato</t>
        </is>
      </c>
      <c r="L39" s="8">
        <f>F39*G39</f>
        <v/>
      </c>
      <c r="M39" s="145" t="inlineStr">
        <is>
          <t>IS-D20-SAN-INO-TAN-1P</t>
        </is>
      </c>
      <c r="N39" s="18" t="inlineStr">
        <is>
          <t>Instalaciones sanitarias (hidrosanitarias)</t>
        </is>
      </c>
      <c r="O39" s="18" t="inlineStr">
        <is>
          <t>Estimado DION · criterio de mercado Guayaquil 2026 (no verificado en tienda)</t>
        </is>
      </c>
      <c r="P39" s="18" t="inlineStr">
        <is>
          <t>oct-2026 (est.)</t>
        </is>
      </c>
      <c r="Q39" s="18" t="n"/>
    </row>
    <row r="40">
      <c r="A40" s="224" t="n">
        <v>26</v>
      </c>
      <c r="B40" s="225" t="inlineStr">
        <is>
          <t xml:space="preserve">        Inodoro de Fluxómetro Pedestal (Institucional)</t>
        </is>
      </c>
      <c r="C40" s="226" t="inlineStr">
        <is>
          <t>Comercial / Industrial</t>
        </is>
      </c>
      <c r="D40" s="224" t="inlineStr">
        <is>
          <t>Inodoros</t>
        </is>
      </c>
      <c r="E40" s="224" t="inlineStr">
        <is>
          <t>U</t>
        </is>
      </c>
      <c r="F40" s="227" t="n">
        <v>2</v>
      </c>
      <c r="G40" s="228" t="n">
        <v>165</v>
      </c>
      <c r="H40" s="228" t="n">
        <v>168.3</v>
      </c>
      <c r="I40" s="224" t="inlineStr">
        <is>
          <t>Kywi / Megakywi</t>
        </is>
      </c>
      <c r="J40" s="228" t="n">
        <v>178.2</v>
      </c>
      <c r="K40" s="224" t="inlineStr">
        <is>
          <t>Ferrisariato</t>
        </is>
      </c>
      <c r="L40" s="229">
        <f>F40*G40</f>
        <v/>
      </c>
      <c r="M40" s="230" t="inlineStr">
        <is>
          <t>IS-D20-SAN-INO-FLU</t>
        </is>
      </c>
      <c r="N40" s="224" t="inlineStr">
        <is>
          <t>Instalaciones sanitarias (hidrosanitarias)</t>
        </is>
      </c>
      <c r="O40" s="224" t="inlineStr">
        <is>
          <t>Estimado DION · criterio de mercado Guayaquil 2026 (no verificado en tienda)</t>
        </is>
      </c>
      <c r="P40" s="224" t="inlineStr">
        <is>
          <t>oct-2026 (est.)</t>
        </is>
      </c>
      <c r="Q40" s="224" t="n"/>
    </row>
    <row r="41">
      <c r="A41" s="18" t="n">
        <v>27</v>
      </c>
      <c r="B41" s="19" t="inlineStr">
        <is>
          <t xml:space="preserve">        Inodoro Accesible Altura 45 cm</t>
        </is>
      </c>
      <c r="C41" s="20" t="inlineStr">
        <is>
          <t>Hospitalario / Comercial</t>
        </is>
      </c>
      <c r="D41" s="18" t="inlineStr">
        <is>
          <t>Inodoros</t>
        </is>
      </c>
      <c r="E41" s="18" t="inlineStr">
        <is>
          <t>U</t>
        </is>
      </c>
      <c r="F41" s="21" t="n">
        <v>2</v>
      </c>
      <c r="G41" s="22" t="n">
        <v>210</v>
      </c>
      <c r="H41" s="22" t="n">
        <v>214.2</v>
      </c>
      <c r="I41" s="18" t="inlineStr">
        <is>
          <t>Kywi / Megakywi</t>
        </is>
      </c>
      <c r="J41" s="22" t="n">
        <v>226.8</v>
      </c>
      <c r="K41" s="18" t="inlineStr">
        <is>
          <t>Ferrisariato</t>
        </is>
      </c>
      <c r="L41" s="8">
        <f>F41*G41</f>
        <v/>
      </c>
      <c r="M41" s="145" t="inlineStr">
        <is>
          <t>IS-D20-SAN-INO-ACC</t>
        </is>
      </c>
      <c r="N41" s="18" t="inlineStr">
        <is>
          <t>Instalaciones sanitarias (hidrosanitarias)</t>
        </is>
      </c>
      <c r="O41" s="18" t="inlineStr">
        <is>
          <t>Estimado DION · criterio de mercado Guayaquil 2026 (no verificado en tienda)</t>
        </is>
      </c>
      <c r="P41" s="18" t="inlineStr">
        <is>
          <t>oct-2026 (est.)</t>
        </is>
      </c>
      <c r="Q41" s="18" t="n"/>
    </row>
    <row r="42">
      <c r="A42" s="224" t="n">
        <v>28</v>
      </c>
      <c r="B42" s="225" t="inlineStr">
        <is>
          <t xml:space="preserve">        Inodoro Infantil</t>
        </is>
      </c>
      <c r="C42" s="226" t="inlineStr">
        <is>
          <t>Hospitalario / Comercial</t>
        </is>
      </c>
      <c r="D42" s="224" t="inlineStr">
        <is>
          <t>Inodoros</t>
        </is>
      </c>
      <c r="E42" s="224" t="inlineStr">
        <is>
          <t>U</t>
        </is>
      </c>
      <c r="F42" s="227" t="n">
        <v>2</v>
      </c>
      <c r="G42" s="228" t="n">
        <v>185</v>
      </c>
      <c r="H42" s="228" t="n">
        <v>194.25</v>
      </c>
      <c r="I42" s="224" t="inlineStr">
        <is>
          <t>Kywi / Megakywi</t>
        </is>
      </c>
      <c r="J42" s="228" t="n">
        <v>205.35</v>
      </c>
      <c r="K42" s="224" t="inlineStr">
        <is>
          <t>Ferrisariato</t>
        </is>
      </c>
      <c r="L42" s="229">
        <f>F42*G42</f>
        <v/>
      </c>
      <c r="M42" s="230" t="inlineStr">
        <is>
          <t>IS-D20-SAN-INO-INF</t>
        </is>
      </c>
      <c r="N42" s="224" t="inlineStr">
        <is>
          <t>Instalaciones sanitarias (hidrosanitarias)</t>
        </is>
      </c>
      <c r="O42" s="224" t="inlineStr">
        <is>
          <t>Estimado DION · criterio de mercado Guayaquil 2026 (no verificado en tienda)</t>
        </is>
      </c>
      <c r="P42" s="224" t="inlineStr">
        <is>
          <t>oct-2026 (est.)</t>
        </is>
      </c>
      <c r="Q42" s="224" t="n"/>
    </row>
    <row r="43">
      <c r="A43" s="18" t="n">
        <v>29</v>
      </c>
      <c r="B43" s="19" t="inlineStr">
        <is>
          <t xml:space="preserve">        Inodoro Suspendido + Estructura Empotrable</t>
        </is>
      </c>
      <c r="C43" s="20" t="inlineStr">
        <is>
          <t>Residencial / Comercial</t>
        </is>
      </c>
      <c r="D43" s="18" t="inlineStr">
        <is>
          <t>Inodoros</t>
        </is>
      </c>
      <c r="E43" s="18" t="inlineStr">
        <is>
          <t>U</t>
        </is>
      </c>
      <c r="F43" s="21" t="n">
        <v>2</v>
      </c>
      <c r="G43" s="22" t="n">
        <v>420</v>
      </c>
      <c r="H43" s="22" t="n">
        <v>436.8</v>
      </c>
      <c r="I43" s="18" t="inlineStr">
        <is>
          <t>Kywi / Megakywi</t>
        </is>
      </c>
      <c r="J43" s="22" t="n">
        <v>453.6</v>
      </c>
      <c r="K43" s="18" t="inlineStr">
        <is>
          <t>Ferrisariato</t>
        </is>
      </c>
      <c r="L43" s="8">
        <f>F43*G43</f>
        <v/>
      </c>
      <c r="M43" s="145" t="inlineStr">
        <is>
          <t>IS-D20-SAN-INO-SUS</t>
        </is>
      </c>
      <c r="N43" s="18" t="inlineStr">
        <is>
          <t>Instalaciones sanitarias (hidrosanitarias)</t>
        </is>
      </c>
      <c r="O43" s="18" t="inlineStr">
        <is>
          <t>Estimado DION · criterio de mercado Guayaquil 2026 (no verificado en tienda)</t>
        </is>
      </c>
      <c r="P43" s="18" t="inlineStr">
        <is>
          <t>oct-2026 (est.)</t>
        </is>
      </c>
      <c r="Q43" s="18" t="n"/>
    </row>
    <row r="44">
      <c r="A44" s="224" t="n">
        <v>30</v>
      </c>
      <c r="B44" s="225" t="inlineStr">
        <is>
          <t xml:space="preserve">        Urinario de Llave / Fluxómetro</t>
        </is>
      </c>
      <c r="C44" s="226" t="inlineStr">
        <is>
          <t>Comercial / Industrial</t>
        </is>
      </c>
      <c r="D44" s="224" t="inlineStr">
        <is>
          <t>Urinarios</t>
        </is>
      </c>
      <c r="E44" s="224" t="inlineStr">
        <is>
          <t>U</t>
        </is>
      </c>
      <c r="F44" s="227" t="n">
        <v>2</v>
      </c>
      <c r="G44" s="228" t="n">
        <v>125</v>
      </c>
      <c r="H44" s="228" t="n">
        <v>128.75</v>
      </c>
      <c r="I44" s="224" t="inlineStr">
        <is>
          <t>Kywi / Megakywi</t>
        </is>
      </c>
      <c r="J44" s="228" t="n">
        <v>133.75</v>
      </c>
      <c r="K44" s="224" t="inlineStr">
        <is>
          <t>Ferrisariato</t>
        </is>
      </c>
      <c r="L44" s="229">
        <f>F44*G44</f>
        <v/>
      </c>
      <c r="M44" s="230" t="inlineStr">
        <is>
          <t>IS-D20-SAN-URI-LLA</t>
        </is>
      </c>
      <c r="N44" s="224" t="inlineStr">
        <is>
          <t>Instalaciones sanitarias (hidrosanitarias)</t>
        </is>
      </c>
      <c r="O44" s="224" t="inlineStr">
        <is>
          <t>Estimado DION · criterio de mercado Guayaquil 2026 (no verificado en tienda)</t>
        </is>
      </c>
      <c r="P44" s="224" t="inlineStr">
        <is>
          <t>oct-2026 (est.)</t>
        </is>
      </c>
      <c r="Q44" s="224" t="n"/>
    </row>
    <row r="45">
      <c r="A45" s="18" t="n">
        <v>31</v>
      </c>
      <c r="B45" s="19" t="inlineStr">
        <is>
          <t xml:space="preserve">        Urinario Seco Sin Agua</t>
        </is>
      </c>
      <c r="C45" s="20" t="inlineStr">
        <is>
          <t>Comercial / Industrial</t>
        </is>
      </c>
      <c r="D45" s="18" t="inlineStr">
        <is>
          <t>Urinarios</t>
        </is>
      </c>
      <c r="E45" s="18" t="inlineStr">
        <is>
          <t>U</t>
        </is>
      </c>
      <c r="F45" s="21" t="n">
        <v>2</v>
      </c>
      <c r="G45" s="22" t="n">
        <v>260</v>
      </c>
      <c r="H45" s="22" t="n">
        <v>267.8</v>
      </c>
      <c r="I45" s="18" t="inlineStr">
        <is>
          <t>Kywi / Megakywi</t>
        </is>
      </c>
      <c r="J45" s="22" t="n">
        <v>283.4</v>
      </c>
      <c r="K45" s="18" t="inlineStr">
        <is>
          <t>Ferrisariato</t>
        </is>
      </c>
      <c r="L45" s="8">
        <f>F45*G45</f>
        <v/>
      </c>
      <c r="M45" s="145" t="inlineStr">
        <is>
          <t>IS-D20-SAN-URI-SEC</t>
        </is>
      </c>
      <c r="N45" s="18" t="inlineStr">
        <is>
          <t>Instalaciones sanitarias (hidrosanitarias)</t>
        </is>
      </c>
      <c r="O45" s="18" t="inlineStr">
        <is>
          <t>Estimado DION · criterio de mercado Guayaquil 2026 (no verificado en tienda)</t>
        </is>
      </c>
      <c r="P45" s="18" t="inlineStr">
        <is>
          <t>oct-2026 (est.)</t>
        </is>
      </c>
      <c r="Q45" s="18" t="n"/>
    </row>
    <row r="46">
      <c r="A46" s="224" t="n">
        <v>32</v>
      </c>
      <c r="B46" s="225" t="inlineStr">
        <is>
          <t xml:space="preserve">        Urinario Infantil</t>
        </is>
      </c>
      <c r="C46" s="226" t="inlineStr">
        <is>
          <t>Educación</t>
        </is>
      </c>
      <c r="D46" s="224" t="inlineStr">
        <is>
          <t>Urinarios</t>
        </is>
      </c>
      <c r="E46" s="224" t="inlineStr">
        <is>
          <t>U</t>
        </is>
      </c>
      <c r="F46" s="227" t="n">
        <v>2</v>
      </c>
      <c r="G46" s="228" t="n">
        <v>140</v>
      </c>
      <c r="H46" s="228" t="n">
        <v>144.2</v>
      </c>
      <c r="I46" s="224" t="inlineStr">
        <is>
          <t>Kywi / Megakywi</t>
        </is>
      </c>
      <c r="J46" s="228" t="n">
        <v>152.6</v>
      </c>
      <c r="K46" s="224" t="inlineStr">
        <is>
          <t>Ferrisariato</t>
        </is>
      </c>
      <c r="L46" s="229">
        <f>F46*G46</f>
        <v/>
      </c>
      <c r="M46" s="230" t="inlineStr">
        <is>
          <t>IS-D20-SAN-URI-INF</t>
        </is>
      </c>
      <c r="N46" s="224" t="inlineStr">
        <is>
          <t>Instalaciones sanitarias (hidrosanitarias)</t>
        </is>
      </c>
      <c r="O46" s="224" t="inlineStr">
        <is>
          <t>Estimado DION · criterio de mercado Guayaquil 2026 (no verificado en tienda)</t>
        </is>
      </c>
      <c r="P46" s="224" t="inlineStr">
        <is>
          <t>oct-2026 (est.)</t>
        </is>
      </c>
      <c r="Q46" s="224" t="n"/>
    </row>
    <row r="47">
      <c r="A47" s="18" t="n">
        <v>33</v>
      </c>
      <c r="B47" s="19" t="inlineStr">
        <is>
          <t xml:space="preserve">        Lavamanos de Sobreponer / Sobre Mesón</t>
        </is>
      </c>
      <c r="C47" s="20" t="inlineStr">
        <is>
          <t>Residencial / Comercial</t>
        </is>
      </c>
      <c r="D47" s="18" t="inlineStr">
        <is>
          <t>Lavamanos</t>
        </is>
      </c>
      <c r="E47" s="18" t="inlineStr">
        <is>
          <t>U</t>
        </is>
      </c>
      <c r="F47" s="21" t="n">
        <v>2</v>
      </c>
      <c r="G47" s="22" t="n">
        <v>58</v>
      </c>
      <c r="H47" s="22" t="n">
        <v>59.74</v>
      </c>
      <c r="I47" s="18" t="inlineStr">
        <is>
          <t>Kywi / Megakywi</t>
        </is>
      </c>
      <c r="J47" s="22" t="n">
        <v>62.06</v>
      </c>
      <c r="K47" s="18" t="inlineStr">
        <is>
          <t>Ferrisariato</t>
        </is>
      </c>
      <c r="L47" s="8">
        <f>F47*G47</f>
        <v/>
      </c>
      <c r="M47" s="145" t="inlineStr">
        <is>
          <t>IS-D20-SAN-LAV-SOB</t>
        </is>
      </c>
      <c r="N47" s="18" t="inlineStr">
        <is>
          <t>Instalaciones sanitarias (hidrosanitarias)</t>
        </is>
      </c>
      <c r="O47" s="18" t="inlineStr">
        <is>
          <t>Estimado DION · criterio de mercado Guayaquil 2026 (no verificado en tienda)</t>
        </is>
      </c>
      <c r="P47" s="18" t="inlineStr">
        <is>
          <t>oct-2026 (est.)</t>
        </is>
      </c>
      <c r="Q47" s="18" t="n"/>
    </row>
    <row r="48">
      <c r="A48" s="224" t="n">
        <v>34</v>
      </c>
      <c r="B48" s="225" t="inlineStr">
        <is>
          <t xml:space="preserve">        Lavamanos Empotrable Bajo Mesón</t>
        </is>
      </c>
      <c r="C48" s="226" t="inlineStr">
        <is>
          <t>Residencial / Comercial</t>
        </is>
      </c>
      <c r="D48" s="224" t="inlineStr">
        <is>
          <t>Lavamanos</t>
        </is>
      </c>
      <c r="E48" s="224" t="inlineStr">
        <is>
          <t>U</t>
        </is>
      </c>
      <c r="F48" s="227" t="n">
        <v>2</v>
      </c>
      <c r="G48" s="228" t="n">
        <v>48</v>
      </c>
      <c r="H48" s="228" t="n">
        <v>49.92</v>
      </c>
      <c r="I48" s="224" t="inlineStr">
        <is>
          <t>Kywi / Megakywi</t>
        </is>
      </c>
      <c r="J48" s="228" t="n">
        <v>52.32</v>
      </c>
      <c r="K48" s="224" t="inlineStr">
        <is>
          <t>Ferrisariato</t>
        </is>
      </c>
      <c r="L48" s="229">
        <f>F48*G48</f>
        <v/>
      </c>
      <c r="M48" s="230" t="inlineStr">
        <is>
          <t>IS-D20-SAN-LAV-EMP</t>
        </is>
      </c>
      <c r="N48" s="224" t="inlineStr">
        <is>
          <t>Instalaciones sanitarias (hidrosanitarias)</t>
        </is>
      </c>
      <c r="O48" s="224" t="inlineStr">
        <is>
          <t>Estimado DION · criterio de mercado Guayaquil 2026 (no verificado en tienda)</t>
        </is>
      </c>
      <c r="P48" s="224" t="inlineStr">
        <is>
          <t>oct-2026 (est.)</t>
        </is>
      </c>
      <c r="Q48" s="224" t="n"/>
    </row>
    <row r="49">
      <c r="A49" s="18" t="n">
        <v>35</v>
      </c>
      <c r="B49" s="19" t="inlineStr">
        <is>
          <t xml:space="preserve">        Lavamanos con Pedestal</t>
        </is>
      </c>
      <c r="C49" s="20" t="inlineStr">
        <is>
          <t>Residencial / Comercial</t>
        </is>
      </c>
      <c r="D49" s="18" t="inlineStr">
        <is>
          <t>Lavamanos</t>
        </is>
      </c>
      <c r="E49" s="18" t="inlineStr">
        <is>
          <t>U</t>
        </is>
      </c>
      <c r="F49" s="21" t="n">
        <v>2</v>
      </c>
      <c r="G49" s="22" t="n">
        <v>62</v>
      </c>
      <c r="H49" s="22" t="n">
        <v>63.86</v>
      </c>
      <c r="I49" s="18" t="inlineStr">
        <is>
          <t>Kywi / Megakywi</t>
        </is>
      </c>
      <c r="J49" s="22" t="n">
        <v>66.95999999999999</v>
      </c>
      <c r="K49" s="18" t="inlineStr">
        <is>
          <t>Ferrisariato</t>
        </is>
      </c>
      <c r="L49" s="8">
        <f>F49*G49</f>
        <v/>
      </c>
      <c r="M49" s="145" t="inlineStr">
        <is>
          <t>IS-D20-SAN-LAV-PED</t>
        </is>
      </c>
      <c r="N49" s="18" t="inlineStr">
        <is>
          <t>Instalaciones sanitarias (hidrosanitarias)</t>
        </is>
      </c>
      <c r="O49" s="18" t="inlineStr">
        <is>
          <t>Estimado DION · criterio de mercado Guayaquil 2026 (no verificado en tienda)</t>
        </is>
      </c>
      <c r="P49" s="18" t="inlineStr">
        <is>
          <t>oct-2026 (est.)</t>
        </is>
      </c>
      <c r="Q49" s="18" t="n"/>
    </row>
    <row r="50">
      <c r="A50" s="224" t="n">
        <v>36</v>
      </c>
      <c r="B50" s="225" t="inlineStr">
        <is>
          <t xml:space="preserve">        Lavamanos Accesible sin Pedestal</t>
        </is>
      </c>
      <c r="C50" s="226" t="inlineStr">
        <is>
          <t>Hospitalario / Comercial</t>
        </is>
      </c>
      <c r="D50" s="224" t="inlineStr">
        <is>
          <t>Lavamanos</t>
        </is>
      </c>
      <c r="E50" s="224" t="inlineStr">
        <is>
          <t>U</t>
        </is>
      </c>
      <c r="F50" s="227" t="n">
        <v>2</v>
      </c>
      <c r="G50" s="228" t="n">
        <v>95</v>
      </c>
      <c r="H50" s="228" t="n">
        <v>99.75</v>
      </c>
      <c r="I50" s="224" t="inlineStr">
        <is>
          <t>Kywi / Megakywi</t>
        </is>
      </c>
      <c r="J50" s="228" t="n">
        <v>101.65</v>
      </c>
      <c r="K50" s="224" t="inlineStr">
        <is>
          <t>Ferrisariato</t>
        </is>
      </c>
      <c r="L50" s="229">
        <f>F50*G50</f>
        <v/>
      </c>
      <c r="M50" s="230" t="inlineStr">
        <is>
          <t>IS-D20-SAN-LAV-ACC</t>
        </is>
      </c>
      <c r="N50" s="224" t="inlineStr">
        <is>
          <t>Instalaciones sanitarias (hidrosanitarias)</t>
        </is>
      </c>
      <c r="O50" s="224" t="inlineStr">
        <is>
          <t>Estimado DION · criterio de mercado Guayaquil 2026 (no verificado en tienda)</t>
        </is>
      </c>
      <c r="P50" s="224" t="inlineStr">
        <is>
          <t>oct-2026 (est.)</t>
        </is>
      </c>
      <c r="Q50" s="224" t="n"/>
    </row>
    <row r="51">
      <c r="A51" s="18" t="n">
        <v>37</v>
      </c>
      <c r="B51" s="19" t="inlineStr">
        <is>
          <t xml:space="preserve">        Lavamanos Infantil</t>
        </is>
      </c>
      <c r="C51" s="20" t="inlineStr">
        <is>
          <t>Hospitalario / Comercial</t>
        </is>
      </c>
      <c r="D51" s="18" t="inlineStr">
        <is>
          <t>Lavamanos</t>
        </is>
      </c>
      <c r="E51" s="18" t="inlineStr">
        <is>
          <t>U</t>
        </is>
      </c>
      <c r="F51" s="21" t="n">
        <v>2</v>
      </c>
      <c r="G51" s="22" t="n">
        <v>75</v>
      </c>
      <c r="H51" s="22" t="n">
        <v>77.25</v>
      </c>
      <c r="I51" s="18" t="inlineStr">
        <is>
          <t>Kywi / Megakywi</t>
        </is>
      </c>
      <c r="J51" s="22" t="n">
        <v>81</v>
      </c>
      <c r="K51" s="18" t="inlineStr">
        <is>
          <t>Ferrisariato</t>
        </is>
      </c>
      <c r="L51" s="8">
        <f>F51*G51</f>
        <v/>
      </c>
      <c r="M51" s="145" t="inlineStr">
        <is>
          <t>IS-D20-SAN-LAV-INF</t>
        </is>
      </c>
      <c r="N51" s="18" t="inlineStr">
        <is>
          <t>Instalaciones sanitarias (hidrosanitarias)</t>
        </is>
      </c>
      <c r="O51" s="18" t="inlineStr">
        <is>
          <t>Estimado DION · criterio de mercado Guayaquil 2026 (no verificado en tienda)</t>
        </is>
      </c>
      <c r="P51" s="18" t="inlineStr">
        <is>
          <t>oct-2026 (est.)</t>
        </is>
      </c>
      <c r="Q51" s="18" t="n"/>
    </row>
    <row r="52">
      <c r="A52" s="224" t="n">
        <v>38</v>
      </c>
      <c r="B52" s="225" t="inlineStr">
        <is>
          <t xml:space="preserve">        Lavabo Quirúrgico Acero Inox 2 Puestos</t>
        </is>
      </c>
      <c r="C52" s="226" t="inlineStr">
        <is>
          <t>Hospitalario</t>
        </is>
      </c>
      <c r="D52" s="224" t="inlineStr">
        <is>
          <t>Lavabos Quirúrgicos</t>
        </is>
      </c>
      <c r="E52" s="224" t="inlineStr">
        <is>
          <t>U</t>
        </is>
      </c>
      <c r="F52" s="227" t="n">
        <v>0</v>
      </c>
      <c r="G52" s="228" t="n">
        <v>1850</v>
      </c>
      <c r="H52" s="228" t="n">
        <v>1942.5</v>
      </c>
      <c r="I52" s="224" t="inlineStr">
        <is>
          <t>Kywi / Megakywi</t>
        </is>
      </c>
      <c r="J52" s="228" t="n">
        <v>2053.5</v>
      </c>
      <c r="K52" s="224" t="inlineStr">
        <is>
          <t>Ferrisariato</t>
        </is>
      </c>
      <c r="L52" s="229">
        <f>F52*G52</f>
        <v/>
      </c>
      <c r="M52" s="230" t="inlineStr">
        <is>
          <t>IS-D20-SAN-LAV-QUI</t>
        </is>
      </c>
      <c r="N52" s="224" t="inlineStr">
        <is>
          <t>Instalaciones sanitarias (hidrosanitarias)</t>
        </is>
      </c>
      <c r="O52" s="224" t="inlineStr">
        <is>
          <t>Estimado DION · criterio de mercado Guayaquil 2026 (no verificado en tienda)</t>
        </is>
      </c>
      <c r="P52" s="224" t="inlineStr">
        <is>
          <t>oct-2026 (est.)</t>
        </is>
      </c>
      <c r="Q52" s="224" t="n"/>
    </row>
    <row r="53">
      <c r="A53" s="18" t="n">
        <v>39</v>
      </c>
      <c r="B53" s="19" t="inlineStr">
        <is>
          <t xml:space="preserve">        Lavabo Clínico / Vertedero Hospitalario</t>
        </is>
      </c>
      <c r="C53" s="20" t="inlineStr">
        <is>
          <t>Hospitalario</t>
        </is>
      </c>
      <c r="D53" s="18" t="inlineStr">
        <is>
          <t>Vertederos</t>
        </is>
      </c>
      <c r="E53" s="18" t="inlineStr">
        <is>
          <t>U</t>
        </is>
      </c>
      <c r="F53" s="21" t="n">
        <v>0</v>
      </c>
      <c r="G53" s="22" t="n">
        <v>780</v>
      </c>
      <c r="H53" s="22" t="n">
        <v>795.6</v>
      </c>
      <c r="I53" s="18" t="inlineStr">
        <is>
          <t>Kywi / Megakywi</t>
        </is>
      </c>
      <c r="J53" s="22" t="n">
        <v>842.4</v>
      </c>
      <c r="K53" s="18" t="inlineStr">
        <is>
          <t>Ferrisariato</t>
        </is>
      </c>
      <c r="L53" s="8">
        <f>F53*G53</f>
        <v/>
      </c>
      <c r="M53" s="145" t="inlineStr">
        <is>
          <t>IS-D20-SAN-LAV-CLI</t>
        </is>
      </c>
      <c r="N53" s="18" t="inlineStr">
        <is>
          <t>Instalaciones sanitarias (hidrosanitarias)</t>
        </is>
      </c>
      <c r="O53" s="18" t="inlineStr">
        <is>
          <t>Estimado DION · criterio de mercado Guayaquil 2026 (no verificado en tienda)</t>
        </is>
      </c>
      <c r="P53" s="18" t="inlineStr">
        <is>
          <t>oct-2026 (est.)</t>
        </is>
      </c>
      <c r="Q53" s="18" t="n"/>
    </row>
    <row r="54">
      <c r="A54" s="224" t="n">
        <v>40</v>
      </c>
      <c r="B54" s="225" t="inlineStr">
        <is>
          <t xml:space="preserve">        Fregadero Acero Inox 1 Pozo + Escurridor</t>
        </is>
      </c>
      <c r="C54" s="226" t="inlineStr">
        <is>
          <t>Residencial / Comercial</t>
        </is>
      </c>
      <c r="D54" s="224" t="inlineStr">
        <is>
          <t>Fregaderos</t>
        </is>
      </c>
      <c r="E54" s="224" t="inlineStr">
        <is>
          <t>U</t>
        </is>
      </c>
      <c r="F54" s="227" t="n">
        <v>2</v>
      </c>
      <c r="G54" s="228" t="n">
        <v>68</v>
      </c>
      <c r="H54" s="228" t="n">
        <v>70.04000000000001</v>
      </c>
      <c r="I54" s="224" t="inlineStr">
        <is>
          <t>Kywi / Megakywi</t>
        </is>
      </c>
      <c r="J54" s="228" t="n">
        <v>75.48</v>
      </c>
      <c r="K54" s="224" t="inlineStr">
        <is>
          <t>Ferrisariato</t>
        </is>
      </c>
      <c r="L54" s="229">
        <f>F54*G54</f>
        <v/>
      </c>
      <c r="M54" s="230" t="inlineStr">
        <is>
          <t>IS-D20-SAN-LPL-1P</t>
        </is>
      </c>
      <c r="N54" s="224" t="inlineStr">
        <is>
          <t>Instalaciones sanitarias (hidrosanitarias)</t>
        </is>
      </c>
      <c r="O54" s="224" t="inlineStr">
        <is>
          <t>Estimado DION · criterio de mercado Guayaquil 2026 (no verificado en tienda)</t>
        </is>
      </c>
      <c r="P54" s="224" t="inlineStr">
        <is>
          <t>oct-2026 (est.)</t>
        </is>
      </c>
      <c r="Q54" s="224" t="n"/>
    </row>
    <row r="55">
      <c r="A55" s="18" t="n">
        <v>41</v>
      </c>
      <c r="B55" s="19" t="inlineStr">
        <is>
          <t xml:space="preserve">        Fregadero Acero Inox 2 Pozos</t>
        </is>
      </c>
      <c r="C55" s="20" t="inlineStr">
        <is>
          <t>Residencial / Comercial</t>
        </is>
      </c>
      <c r="D55" s="18" t="inlineStr">
        <is>
          <t>Fregaderos</t>
        </is>
      </c>
      <c r="E55" s="18" t="inlineStr">
        <is>
          <t>U</t>
        </is>
      </c>
      <c r="F55" s="21" t="n">
        <v>2</v>
      </c>
      <c r="G55" s="22" t="n">
        <v>115</v>
      </c>
      <c r="H55" s="22" t="n">
        <v>118.45</v>
      </c>
      <c r="I55" s="18" t="inlineStr">
        <is>
          <t>Kywi / Megakywi</t>
        </is>
      </c>
      <c r="J55" s="22" t="n">
        <v>125.35</v>
      </c>
      <c r="K55" s="18" t="inlineStr">
        <is>
          <t>Ferrisariato</t>
        </is>
      </c>
      <c r="L55" s="8">
        <f>F55*G55</f>
        <v/>
      </c>
      <c r="M55" s="145" t="inlineStr">
        <is>
          <t>IS-D20-SAN-LPL-2P</t>
        </is>
      </c>
      <c r="N55" s="18" t="inlineStr">
        <is>
          <t>Instalaciones sanitarias (hidrosanitarias)</t>
        </is>
      </c>
      <c r="O55" s="18" t="inlineStr">
        <is>
          <t>Estimado DION · criterio de mercado Guayaquil 2026 (no verificado en tienda)</t>
        </is>
      </c>
      <c r="P55" s="18" t="inlineStr">
        <is>
          <t>oct-2026 (est.)</t>
        </is>
      </c>
      <c r="Q55" s="18" t="n"/>
    </row>
    <row r="56">
      <c r="A56" s="224" t="n">
        <v>42</v>
      </c>
      <c r="B56" s="225" t="inlineStr">
        <is>
          <t xml:space="preserve">        Lavandería de Granito / Fibra</t>
        </is>
      </c>
      <c r="C56" s="226" t="inlineStr">
        <is>
          <t>Residencial / Comercial</t>
        </is>
      </c>
      <c r="D56" s="224" t="inlineStr">
        <is>
          <t>Lavanderías</t>
        </is>
      </c>
      <c r="E56" s="224" t="inlineStr">
        <is>
          <t>U</t>
        </is>
      </c>
      <c r="F56" s="227" t="n">
        <v>2</v>
      </c>
      <c r="G56" s="228" t="n">
        <v>85</v>
      </c>
      <c r="H56" s="228" t="n">
        <v>88.40000000000001</v>
      </c>
      <c r="I56" s="224" t="inlineStr">
        <is>
          <t>Kywi / Megakywi</t>
        </is>
      </c>
      <c r="J56" s="228" t="n">
        <v>91.8</v>
      </c>
      <c r="K56" s="224" t="inlineStr">
        <is>
          <t>Ferrisariato</t>
        </is>
      </c>
      <c r="L56" s="229">
        <f>F56*G56</f>
        <v/>
      </c>
      <c r="M56" s="230" t="inlineStr">
        <is>
          <t>IS-D20-SAN-LAR-ROP</t>
        </is>
      </c>
      <c r="N56" s="224" t="inlineStr">
        <is>
          <t>Instalaciones sanitarias (hidrosanitarias)</t>
        </is>
      </c>
      <c r="O56" s="224" t="inlineStr">
        <is>
          <t>Estimado DION · criterio de mercado Guayaquil 2026 (no verificado en tienda)</t>
        </is>
      </c>
      <c r="P56" s="224" t="inlineStr">
        <is>
          <t>oct-2026 (est.)</t>
        </is>
      </c>
      <c r="Q56" s="224" t="n"/>
    </row>
    <row r="57">
      <c r="A57" s="18" t="n">
        <v>43</v>
      </c>
      <c r="B57" s="19" t="inlineStr">
        <is>
          <t xml:space="preserve">        Vertedero de Servicio de Piso</t>
        </is>
      </c>
      <c r="C57" s="20" t="inlineStr">
        <is>
          <t>Comercial</t>
        </is>
      </c>
      <c r="D57" s="18" t="inlineStr">
        <is>
          <t>Vertederos</t>
        </is>
      </c>
      <c r="E57" s="18" t="inlineStr">
        <is>
          <t>U</t>
        </is>
      </c>
      <c r="F57" s="21" t="n">
        <v>2</v>
      </c>
      <c r="G57" s="22" t="n">
        <v>145</v>
      </c>
      <c r="H57" s="22" t="n">
        <v>147.9</v>
      </c>
      <c r="I57" s="18" t="inlineStr">
        <is>
          <t>Kywi / Megakywi</t>
        </is>
      </c>
      <c r="J57" s="22" t="n">
        <v>159.5</v>
      </c>
      <c r="K57" s="18" t="inlineStr">
        <is>
          <t>Ferrisariato</t>
        </is>
      </c>
      <c r="L57" s="8">
        <f>F57*G57</f>
        <v/>
      </c>
      <c r="M57" s="145" t="inlineStr">
        <is>
          <t>IS-D20-SAN-VER-SER</t>
        </is>
      </c>
      <c r="N57" s="18" t="inlineStr">
        <is>
          <t>Instalaciones sanitarias (hidrosanitarias)</t>
        </is>
      </c>
      <c r="O57" s="18" t="inlineStr">
        <is>
          <t>Estimado DION · criterio de mercado Guayaquil 2026 (no verificado en tienda)</t>
        </is>
      </c>
      <c r="P57" s="18" t="inlineStr">
        <is>
          <t>oct-2026 (est.)</t>
        </is>
      </c>
      <c r="Q57" s="18" t="n"/>
    </row>
    <row r="58">
      <c r="A58" s="224" t="n">
        <v>44</v>
      </c>
      <c r="B58" s="225" t="inlineStr">
        <is>
          <t xml:space="preserve">        Plato de Ducha Acrílico 80x80</t>
        </is>
      </c>
      <c r="C58" s="226" t="inlineStr">
        <is>
          <t>Residencial / Comercial</t>
        </is>
      </c>
      <c r="D58" s="224" t="inlineStr">
        <is>
          <t>Duchas</t>
        </is>
      </c>
      <c r="E58" s="224" t="inlineStr">
        <is>
          <t>U</t>
        </is>
      </c>
      <c r="F58" s="227" t="n">
        <v>2</v>
      </c>
      <c r="G58" s="228" t="n">
        <v>95</v>
      </c>
      <c r="H58" s="228" t="n">
        <v>98.8</v>
      </c>
      <c r="I58" s="224" t="inlineStr">
        <is>
          <t>Kywi / Megakywi</t>
        </is>
      </c>
      <c r="J58" s="228" t="n">
        <v>101.65</v>
      </c>
      <c r="K58" s="224" t="inlineStr">
        <is>
          <t>Ferrisariato</t>
        </is>
      </c>
      <c r="L58" s="229">
        <f>F58*G58</f>
        <v/>
      </c>
      <c r="M58" s="230" t="inlineStr">
        <is>
          <t>IS-D20-SAN-DUC-STD</t>
        </is>
      </c>
      <c r="N58" s="224" t="inlineStr">
        <is>
          <t>Instalaciones sanitarias (hidrosanitarias)</t>
        </is>
      </c>
      <c r="O58" s="224" t="inlineStr">
        <is>
          <t>Estimado DION · criterio de mercado Guayaquil 2026 (no verificado en tienda)</t>
        </is>
      </c>
      <c r="P58" s="224" t="inlineStr">
        <is>
          <t>oct-2026 (est.)</t>
        </is>
      </c>
      <c r="Q58" s="224" t="n"/>
    </row>
    <row r="59">
      <c r="A59" s="18" t="n">
        <v>45</v>
      </c>
      <c r="B59" s="19" t="inlineStr">
        <is>
          <t xml:space="preserve">        Ducha Accesible con Asiento Abatible y Barras</t>
        </is>
      </c>
      <c r="C59" s="20" t="inlineStr">
        <is>
          <t>Hospitalario / Comercial</t>
        </is>
      </c>
      <c r="D59" s="18" t="inlineStr">
        <is>
          <t>Duchas</t>
        </is>
      </c>
      <c r="E59" s="18" t="inlineStr">
        <is>
          <t>U</t>
        </is>
      </c>
      <c r="F59" s="21" t="n">
        <v>2</v>
      </c>
      <c r="G59" s="22" t="n">
        <v>320</v>
      </c>
      <c r="H59" s="22" t="n">
        <v>329.6</v>
      </c>
      <c r="I59" s="18" t="inlineStr">
        <is>
          <t>Kywi / Megakywi</t>
        </is>
      </c>
      <c r="J59" s="22" t="n">
        <v>348.8</v>
      </c>
      <c r="K59" s="18" t="inlineStr">
        <is>
          <t>Ferrisariato</t>
        </is>
      </c>
      <c r="L59" s="8">
        <f>F59*G59</f>
        <v/>
      </c>
      <c r="M59" s="145" t="inlineStr">
        <is>
          <t>IS-D20-SAN-DUC-ACC</t>
        </is>
      </c>
      <c r="N59" s="18" t="inlineStr">
        <is>
          <t>Instalaciones sanitarias (hidrosanitarias)</t>
        </is>
      </c>
      <c r="O59" s="18" t="inlineStr">
        <is>
          <t>Estimado DION · criterio de mercado Guayaquil 2026 (no verificado en tienda)</t>
        </is>
      </c>
      <c r="P59" s="18" t="inlineStr">
        <is>
          <t>oct-2026 (est.)</t>
        </is>
      </c>
      <c r="Q59" s="18" t="n"/>
    </row>
    <row r="60">
      <c r="A60" s="224" t="n">
        <v>46</v>
      </c>
      <c r="B60" s="225" t="inlineStr">
        <is>
          <t xml:space="preserve">        Ducha y Lavaojos de Emergencia</t>
        </is>
      </c>
      <c r="C60" s="226" t="inlineStr">
        <is>
          <t>Industrial / Laboratorio</t>
        </is>
      </c>
      <c r="D60" s="224" t="inlineStr">
        <is>
          <t>Duchas Emergencia</t>
        </is>
      </c>
      <c r="E60" s="224" t="inlineStr">
        <is>
          <t>U</t>
        </is>
      </c>
      <c r="F60" s="227" t="n">
        <v>0</v>
      </c>
      <c r="G60" s="228" t="n">
        <v>620</v>
      </c>
      <c r="H60" s="228" t="n">
        <v>651</v>
      </c>
      <c r="I60" s="224" t="inlineStr">
        <is>
          <t>Kywi / Megakywi</t>
        </is>
      </c>
      <c r="J60" s="228" t="n">
        <v>669.6</v>
      </c>
      <c r="K60" s="224" t="inlineStr">
        <is>
          <t>Ferrisariato</t>
        </is>
      </c>
      <c r="L60" s="229">
        <f>F60*G60</f>
        <v/>
      </c>
      <c r="M60" s="230" t="inlineStr">
        <is>
          <t>IS-D20-SAN-DUC-EME</t>
        </is>
      </c>
      <c r="N60" s="224" t="inlineStr">
        <is>
          <t>Instalaciones sanitarias (hidrosanitarias)</t>
        </is>
      </c>
      <c r="O60" s="224" t="inlineStr">
        <is>
          <t>Estimado DION · criterio de mercado Guayaquil 2026 (no verificado en tienda)</t>
        </is>
      </c>
      <c r="P60" s="224" t="inlineStr">
        <is>
          <t>oct-2026 (est.)</t>
        </is>
      </c>
      <c r="Q60" s="224" t="n"/>
    </row>
    <row r="61">
      <c r="A61" s="18" t="n">
        <v>47</v>
      </c>
      <c r="B61" s="19" t="inlineStr">
        <is>
          <t xml:space="preserve">        Tina de Baño Acrílica 150 cm</t>
        </is>
      </c>
      <c r="C61" s="20" t="inlineStr">
        <is>
          <t>Residencial</t>
        </is>
      </c>
      <c r="D61" s="18" t="inlineStr">
        <is>
          <t>Tinas</t>
        </is>
      </c>
      <c r="E61" s="18" t="inlineStr">
        <is>
          <t>U</t>
        </is>
      </c>
      <c r="F61" s="21" t="n">
        <v>2</v>
      </c>
      <c r="G61" s="22" t="n">
        <v>380</v>
      </c>
      <c r="H61" s="22" t="n">
        <v>399</v>
      </c>
      <c r="I61" s="18" t="inlineStr">
        <is>
          <t>Kywi / Megakywi</t>
        </is>
      </c>
      <c r="J61" s="22" t="n">
        <v>414.2</v>
      </c>
      <c r="K61" s="18" t="inlineStr">
        <is>
          <t>Ferrisariato</t>
        </is>
      </c>
      <c r="L61" s="8">
        <f>F61*G61</f>
        <v/>
      </c>
      <c r="M61" s="145" t="inlineStr">
        <is>
          <t>IS-D20-SAN-TIN-150</t>
        </is>
      </c>
      <c r="N61" s="18" t="inlineStr">
        <is>
          <t>Instalaciones sanitarias (hidrosanitarias)</t>
        </is>
      </c>
      <c r="O61" s="18" t="inlineStr">
        <is>
          <t>Estimado DION · criterio de mercado Guayaquil 2026 (no verificado en tienda)</t>
        </is>
      </c>
      <c r="P61" s="18" t="inlineStr">
        <is>
          <t>oct-2026 (est.)</t>
        </is>
      </c>
      <c r="Q61" s="18" t="n"/>
    </row>
    <row r="62">
      <c r="A62" s="224" t="n">
        <v>48</v>
      </c>
      <c r="B62" s="225" t="inlineStr">
        <is>
          <t xml:space="preserve">        Tina Bañera para Bebés Acero Inox</t>
        </is>
      </c>
      <c r="C62" s="226" t="inlineStr">
        <is>
          <t>Hospitalario</t>
        </is>
      </c>
      <c r="D62" s="224" t="inlineStr">
        <is>
          <t>Tinas</t>
        </is>
      </c>
      <c r="E62" s="224" t="inlineStr">
        <is>
          <t>U</t>
        </is>
      </c>
      <c r="F62" s="227" t="n">
        <v>0</v>
      </c>
      <c r="G62" s="228" t="n">
        <v>780</v>
      </c>
      <c r="H62" s="228" t="n">
        <v>803.4</v>
      </c>
      <c r="I62" s="224" t="inlineStr">
        <is>
          <t>Kywi / Megakywi</t>
        </is>
      </c>
      <c r="J62" s="228" t="n">
        <v>834.6</v>
      </c>
      <c r="K62" s="224" t="inlineStr">
        <is>
          <t>Ferrisariato</t>
        </is>
      </c>
      <c r="L62" s="229">
        <f>F62*G62</f>
        <v/>
      </c>
      <c r="M62" s="230" t="inlineStr">
        <is>
          <t>IS-D20-SAN-TIN-BEB</t>
        </is>
      </c>
      <c r="N62" s="224" t="inlineStr">
        <is>
          <t>Instalaciones sanitarias (hidrosanitarias)</t>
        </is>
      </c>
      <c r="O62" s="224" t="inlineStr">
        <is>
          <t>Estimado DION · criterio de mercado Guayaquil 2026 (no verificado en tienda)</t>
        </is>
      </c>
      <c r="P62" s="224" t="inlineStr">
        <is>
          <t>oct-2026 (est.)</t>
        </is>
      </c>
      <c r="Q62" s="224" t="n"/>
    </row>
    <row r="63">
      <c r="A63" s="18" t="n">
        <v>49</v>
      </c>
      <c r="B63" s="19" t="inlineStr">
        <is>
          <t xml:space="preserve">        Bidé</t>
        </is>
      </c>
      <c r="C63" s="20" t="inlineStr">
        <is>
          <t>Residencial</t>
        </is>
      </c>
      <c r="D63" s="18" t="inlineStr">
        <is>
          <t>Bidés</t>
        </is>
      </c>
      <c r="E63" s="18" t="inlineStr">
        <is>
          <t>U</t>
        </is>
      </c>
      <c r="F63" s="21" t="n">
        <v>2</v>
      </c>
      <c r="G63" s="22" t="n">
        <v>145</v>
      </c>
      <c r="H63" s="22" t="n">
        <v>152.25</v>
      </c>
      <c r="I63" s="18" t="inlineStr">
        <is>
          <t>Kywi / Megakywi</t>
        </is>
      </c>
      <c r="J63" s="22" t="n">
        <v>160.95</v>
      </c>
      <c r="K63" s="18" t="inlineStr">
        <is>
          <t>Ferrisariato</t>
        </is>
      </c>
      <c r="L63" s="8">
        <f>F63*G63</f>
        <v/>
      </c>
      <c r="M63" s="145" t="inlineStr">
        <is>
          <t>IS-D20-SAN-BID</t>
        </is>
      </c>
      <c r="N63" s="18" t="inlineStr">
        <is>
          <t>Instalaciones sanitarias (hidrosanitarias)</t>
        </is>
      </c>
      <c r="O63" s="18" t="inlineStr">
        <is>
          <t>Estimado DION · criterio de mercado Guayaquil 2026 (no verificado en tienda)</t>
        </is>
      </c>
      <c r="P63" s="18" t="inlineStr">
        <is>
          <t>oct-2026 (est.)</t>
        </is>
      </c>
      <c r="Q63" s="18" t="n"/>
    </row>
    <row r="64">
      <c r="A64" s="224" t="n">
        <v>50</v>
      </c>
      <c r="B64" s="225" t="inlineStr">
        <is>
          <t xml:space="preserve">        Bebedero Accesible Doble Altura</t>
        </is>
      </c>
      <c r="C64" s="226" t="inlineStr">
        <is>
          <t>Educación / Comercial</t>
        </is>
      </c>
      <c r="D64" s="224" t="inlineStr">
        <is>
          <t>Bebederos</t>
        </is>
      </c>
      <c r="E64" s="224" t="inlineStr">
        <is>
          <t>U</t>
        </is>
      </c>
      <c r="F64" s="227" t="n">
        <v>0</v>
      </c>
      <c r="G64" s="228" t="n">
        <v>680</v>
      </c>
      <c r="H64" s="228" t="n">
        <v>700.4</v>
      </c>
      <c r="I64" s="224" t="inlineStr">
        <is>
          <t>Kywi / Megakywi</t>
        </is>
      </c>
      <c r="J64" s="228" t="n">
        <v>741.2</v>
      </c>
      <c r="K64" s="224" t="inlineStr">
        <is>
          <t>Ferrisariato</t>
        </is>
      </c>
      <c r="L64" s="229">
        <f>F64*G64</f>
        <v/>
      </c>
      <c r="M64" s="230" t="inlineStr">
        <is>
          <t>IS-D20-SAN-BEB-ACC</t>
        </is>
      </c>
      <c r="N64" s="224" t="inlineStr">
        <is>
          <t>Instalaciones sanitarias (hidrosanitarias)</t>
        </is>
      </c>
      <c r="O64" s="224" t="inlineStr">
        <is>
          <t>Estimado DION · criterio de mercado Guayaquil 2026 (no verificado en tienda)</t>
        </is>
      </c>
      <c r="P64" s="224" t="inlineStr">
        <is>
          <t>oct-2026 (est.)</t>
        </is>
      </c>
      <c r="Q64" s="224" t="n"/>
    </row>
    <row r="65">
      <c r="A65" s="18" t="n">
        <v>51</v>
      </c>
      <c r="B65" s="19" t="inlineStr">
        <is>
          <t xml:space="preserve">        Lavamanos Colectivo / Batea (m)</t>
        </is>
      </c>
      <c r="C65" s="20" t="inlineStr">
        <is>
          <t>Educación</t>
        </is>
      </c>
      <c r="D65" s="18" t="inlineStr">
        <is>
          <t>Lavamanos Colectivos</t>
        </is>
      </c>
      <c r="E65" s="18" t="inlineStr">
        <is>
          <t>U</t>
        </is>
      </c>
      <c r="F65" s="21" t="n">
        <v>2</v>
      </c>
      <c r="G65" s="22" t="n">
        <v>220</v>
      </c>
      <c r="H65" s="22" t="n">
        <v>228.8</v>
      </c>
      <c r="I65" s="18" t="inlineStr">
        <is>
          <t>Kywi / Megakywi</t>
        </is>
      </c>
      <c r="J65" s="22" t="n">
        <v>237.6</v>
      </c>
      <c r="K65" s="18" t="inlineStr">
        <is>
          <t>Ferrisariato</t>
        </is>
      </c>
      <c r="L65" s="8">
        <f>F65*G65</f>
        <v/>
      </c>
      <c r="M65" s="145" t="inlineStr">
        <is>
          <t>IS-D20-SAN-LAV-COL</t>
        </is>
      </c>
      <c r="N65" s="18" t="inlineStr">
        <is>
          <t>Instalaciones sanitarias (hidrosanitarias)</t>
        </is>
      </c>
      <c r="O65" s="18" t="inlineStr">
        <is>
          <t>Estimado DION · criterio de mercado Guayaquil 2026 (no verificado en tienda)</t>
        </is>
      </c>
      <c r="P65" s="18" t="inlineStr">
        <is>
          <t>oct-2026 (est.)</t>
        </is>
      </c>
      <c r="Q65" s="18" t="n"/>
    </row>
    <row r="66">
      <c r="A66" s="221" t="inlineStr">
        <is>
          <t>CONEXIONES</t>
        </is>
      </c>
      <c r="B66" s="143" t="n"/>
      <c r="C66" s="143" t="n"/>
      <c r="D66" s="143" t="n"/>
      <c r="E66" s="143" t="n"/>
      <c r="F66" s="143" t="n"/>
      <c r="G66" s="143" t="n"/>
      <c r="H66" s="143" t="n"/>
      <c r="I66" s="143" t="n"/>
      <c r="J66" s="143" t="n"/>
      <c r="K66" s="143" t="n"/>
      <c r="L66" s="143" t="n"/>
      <c r="M66" s="143" t="n"/>
      <c r="N66" s="143" t="n"/>
      <c r="O66" s="143" t="n"/>
      <c r="P66" s="143" t="n"/>
      <c r="Q66" s="144" t="n"/>
    </row>
    <row r="67">
      <c r="A67" s="222" t="inlineStr">
        <is>
          <t xml:space="preserve">  ► CATEGORÍA: GRIFERÍA Y FLUXÓMETROS</t>
        </is>
      </c>
      <c r="B67" s="143" t="n"/>
      <c r="C67" s="143" t="n"/>
      <c r="D67" s="143" t="n"/>
      <c r="E67" s="143" t="n"/>
      <c r="F67" s="143" t="n"/>
      <c r="G67" s="143" t="n"/>
      <c r="H67" s="143" t="n"/>
      <c r="I67" s="143" t="n"/>
      <c r="J67" s="143" t="n"/>
      <c r="K67" s="143" t="n"/>
      <c r="L67" s="143" t="n"/>
      <c r="M67" s="143" t="n"/>
      <c r="N67" s="143" t="n"/>
      <c r="O67" s="143" t="n"/>
      <c r="P67" s="143" t="n"/>
      <c r="Q67" s="144" t="n"/>
    </row>
    <row r="68">
      <c r="A68" s="223" t="inlineStr">
        <is>
          <t xml:space="preserve">      • Subcategoría Especificada: Lavamanos, Fregaderos, Duchas, Fluxómetros y Llaves</t>
        </is>
      </c>
      <c r="B68" s="143" t="n"/>
      <c r="C68" s="143" t="n"/>
      <c r="D68" s="143" t="n"/>
      <c r="E68" s="143" t="n"/>
      <c r="F68" s="143" t="n"/>
      <c r="G68" s="143" t="n"/>
      <c r="H68" s="143" t="n"/>
      <c r="I68" s="143" t="n"/>
      <c r="J68" s="143" t="n"/>
      <c r="K68" s="143" t="n"/>
      <c r="L68" s="143" t="n"/>
      <c r="M68" s="143" t="n"/>
      <c r="N68" s="143" t="n"/>
      <c r="O68" s="143" t="n"/>
      <c r="P68" s="143" t="n"/>
      <c r="Q68" s="144" t="n"/>
    </row>
    <row r="69">
      <c r="A69" s="224" t="n">
        <v>52</v>
      </c>
      <c r="B69" s="225" t="inlineStr">
        <is>
          <t xml:space="preserve">        Grifería Monomando Lavamanos Cromada</t>
        </is>
      </c>
      <c r="C69" s="226" t="inlineStr">
        <is>
          <t>Residencial / Comercial</t>
        </is>
      </c>
      <c r="D69" s="224" t="inlineStr">
        <is>
          <t>Grifería Lavamanos</t>
        </is>
      </c>
      <c r="E69" s="224" t="inlineStr">
        <is>
          <t>U</t>
        </is>
      </c>
      <c r="F69" s="227" t="n">
        <v>2</v>
      </c>
      <c r="G69" s="228" t="n">
        <v>38</v>
      </c>
      <c r="H69" s="228" t="n">
        <v>39.14</v>
      </c>
      <c r="I69" s="224" t="inlineStr">
        <is>
          <t>Kywi / Megakywi</t>
        </is>
      </c>
      <c r="J69" s="228" t="n">
        <v>42.18</v>
      </c>
      <c r="K69" s="224" t="inlineStr">
        <is>
          <t>Ferrisariato</t>
        </is>
      </c>
      <c r="L69" s="229">
        <f>F69*G69</f>
        <v/>
      </c>
      <c r="M69" s="230" t="inlineStr">
        <is>
          <t>IS-D20-GRI-LAV-MON</t>
        </is>
      </c>
      <c r="N69" s="224" t="inlineStr">
        <is>
          <t>Instalaciones sanitarias (hidrosanitarias)</t>
        </is>
      </c>
      <c r="O69" s="224" t="inlineStr">
        <is>
          <t>Estimado DION · criterio de mercado Guayaquil 2026 (no verificado en tienda)</t>
        </is>
      </c>
      <c r="P69" s="224" t="inlineStr">
        <is>
          <t>oct-2026 (est.)</t>
        </is>
      </c>
      <c r="Q69" s="224" t="n"/>
    </row>
    <row r="70">
      <c r="A70" s="18" t="n">
        <v>53</v>
      </c>
      <c r="B70" s="19" t="inlineStr">
        <is>
          <t xml:space="preserve">        Grifería Temporizada Push de Lavamanos</t>
        </is>
      </c>
      <c r="C70" s="20" t="inlineStr">
        <is>
          <t>Comercial / Industrial</t>
        </is>
      </c>
      <c r="D70" s="18" t="inlineStr">
        <is>
          <t>Grifería Temporizada</t>
        </is>
      </c>
      <c r="E70" s="18" t="inlineStr">
        <is>
          <t>U</t>
        </is>
      </c>
      <c r="F70" s="21" t="n">
        <v>2</v>
      </c>
      <c r="G70" s="22" t="n">
        <v>62</v>
      </c>
      <c r="H70" s="22" t="n">
        <v>64.48</v>
      </c>
      <c r="I70" s="18" t="inlineStr">
        <is>
          <t>Kywi / Megakywi</t>
        </is>
      </c>
      <c r="J70" s="22" t="n">
        <v>67.58</v>
      </c>
      <c r="K70" s="18" t="inlineStr">
        <is>
          <t>Ferrisariato</t>
        </is>
      </c>
      <c r="L70" s="8">
        <f>F70*G70</f>
        <v/>
      </c>
      <c r="M70" s="145" t="inlineStr">
        <is>
          <t>IS-D20-GRI-LAV-TEM</t>
        </is>
      </c>
      <c r="N70" s="18" t="inlineStr">
        <is>
          <t>Instalaciones sanitarias (hidrosanitarias)</t>
        </is>
      </c>
      <c r="O70" s="18" t="inlineStr">
        <is>
          <t>Estimado DION · criterio de mercado Guayaquil 2026 (no verificado en tienda)</t>
        </is>
      </c>
      <c r="P70" s="18" t="inlineStr">
        <is>
          <t>oct-2026 (est.)</t>
        </is>
      </c>
      <c r="Q70" s="18" t="n"/>
    </row>
    <row r="71">
      <c r="A71" s="224" t="n">
        <v>54</v>
      </c>
      <c r="B71" s="225" t="inlineStr">
        <is>
          <t xml:space="preserve">        Grifería Electrónica con Sensor Lavamanos</t>
        </is>
      </c>
      <c r="C71" s="226" t="inlineStr">
        <is>
          <t>Hospitalario / Comercial</t>
        </is>
      </c>
      <c r="D71" s="224" t="inlineStr">
        <is>
          <t>Grifería Sensor</t>
        </is>
      </c>
      <c r="E71" s="224" t="inlineStr">
        <is>
          <t>U</t>
        </is>
      </c>
      <c r="F71" s="227" t="n">
        <v>2</v>
      </c>
      <c r="G71" s="228" t="n">
        <v>185</v>
      </c>
      <c r="H71" s="228" t="n">
        <v>188.7</v>
      </c>
      <c r="I71" s="224" t="inlineStr">
        <is>
          <t>Kywi / Megakywi</t>
        </is>
      </c>
      <c r="J71" s="228" t="n">
        <v>205.35</v>
      </c>
      <c r="K71" s="224" t="inlineStr">
        <is>
          <t>Ferrisariato</t>
        </is>
      </c>
      <c r="L71" s="229">
        <f>F71*G71</f>
        <v/>
      </c>
      <c r="M71" s="230" t="inlineStr">
        <is>
          <t>IS-D20-GRI-LAV-SEN</t>
        </is>
      </c>
      <c r="N71" s="224" t="inlineStr">
        <is>
          <t>Instalaciones sanitarias (hidrosanitarias)</t>
        </is>
      </c>
      <c r="O71" s="224" t="inlineStr">
        <is>
          <t>Estimado DION · criterio de mercado Guayaquil 2026 (no verificado en tienda)</t>
        </is>
      </c>
      <c r="P71" s="224" t="inlineStr">
        <is>
          <t>oct-2026 (est.)</t>
        </is>
      </c>
      <c r="Q71" s="224" t="n"/>
    </row>
    <row r="72">
      <c r="A72" s="18" t="n">
        <v>55</v>
      </c>
      <c r="B72" s="19" t="inlineStr">
        <is>
          <t xml:space="preserve">        Grifería de Codo / Muñeca (Médica)</t>
        </is>
      </c>
      <c r="C72" s="20" t="inlineStr">
        <is>
          <t>Hospitalario</t>
        </is>
      </c>
      <c r="D72" s="18" t="inlineStr">
        <is>
          <t>Grifería Médica</t>
        </is>
      </c>
      <c r="E72" s="18" t="inlineStr">
        <is>
          <t>U</t>
        </is>
      </c>
      <c r="F72" s="21" t="n">
        <v>2</v>
      </c>
      <c r="G72" s="22" t="n">
        <v>95</v>
      </c>
      <c r="H72" s="22" t="n">
        <v>97.84999999999999</v>
      </c>
      <c r="I72" s="18" t="inlineStr">
        <is>
          <t>Kywi / Megakywi</t>
        </is>
      </c>
      <c r="J72" s="22" t="n">
        <v>102.6</v>
      </c>
      <c r="K72" s="18" t="inlineStr">
        <is>
          <t>Ferrisariato</t>
        </is>
      </c>
      <c r="L72" s="8">
        <f>F72*G72</f>
        <v/>
      </c>
      <c r="M72" s="145" t="inlineStr">
        <is>
          <t>IS-D20-GRI-LAV-COD</t>
        </is>
      </c>
      <c r="N72" s="18" t="inlineStr">
        <is>
          <t>Instalaciones sanitarias (hidrosanitarias)</t>
        </is>
      </c>
      <c r="O72" s="18" t="inlineStr">
        <is>
          <t>Estimado DION · criterio de mercado Guayaquil 2026 (no verificado en tienda)</t>
        </is>
      </c>
      <c r="P72" s="18" t="inlineStr">
        <is>
          <t>oct-2026 (est.)</t>
        </is>
      </c>
      <c r="Q72" s="18" t="n"/>
    </row>
    <row r="73">
      <c r="A73" s="224" t="n">
        <v>56</v>
      </c>
      <c r="B73" s="225" t="inlineStr">
        <is>
          <t xml:space="preserve">        Grifería de Pedal (Quirófano)</t>
        </is>
      </c>
      <c r="C73" s="226" t="inlineStr">
        <is>
          <t>Hospitalario</t>
        </is>
      </c>
      <c r="D73" s="224" t="inlineStr">
        <is>
          <t>Grifería Médica</t>
        </is>
      </c>
      <c r="E73" s="224" t="inlineStr">
        <is>
          <t>U</t>
        </is>
      </c>
      <c r="F73" s="227" t="n">
        <v>2</v>
      </c>
      <c r="G73" s="228" t="n">
        <v>240</v>
      </c>
      <c r="H73" s="228" t="n">
        <v>247.2</v>
      </c>
      <c r="I73" s="224" t="inlineStr">
        <is>
          <t>Kywi / Megakywi</t>
        </is>
      </c>
      <c r="J73" s="228" t="n">
        <v>264</v>
      </c>
      <c r="K73" s="224" t="inlineStr">
        <is>
          <t>Ferrisariato</t>
        </is>
      </c>
      <c r="L73" s="229">
        <f>F73*G73</f>
        <v/>
      </c>
      <c r="M73" s="230" t="inlineStr">
        <is>
          <t>IS-D20-GRI-LAV-PED</t>
        </is>
      </c>
      <c r="N73" s="224" t="inlineStr">
        <is>
          <t>Instalaciones sanitarias (hidrosanitarias)</t>
        </is>
      </c>
      <c r="O73" s="224" t="inlineStr">
        <is>
          <t>Estimado DION · criterio de mercado Guayaquil 2026 (no verificado en tienda)</t>
        </is>
      </c>
      <c r="P73" s="224" t="inlineStr">
        <is>
          <t>oct-2026 (est.)</t>
        </is>
      </c>
      <c r="Q73" s="224" t="n"/>
    </row>
    <row r="74">
      <c r="A74" s="18" t="n">
        <v>57</v>
      </c>
      <c r="B74" s="19" t="inlineStr">
        <is>
          <t xml:space="preserve">        Grifería Fregadero Cuello de Ganso Monomando</t>
        </is>
      </c>
      <c r="C74" s="20" t="inlineStr">
        <is>
          <t>Residencial / Comercial</t>
        </is>
      </c>
      <c r="D74" s="18" t="inlineStr">
        <is>
          <t>Grifería Fregadero</t>
        </is>
      </c>
      <c r="E74" s="18" t="inlineStr">
        <is>
          <t>U</t>
        </is>
      </c>
      <c r="F74" s="21" t="n">
        <v>2</v>
      </c>
      <c r="G74" s="22" t="n">
        <v>58</v>
      </c>
      <c r="H74" s="22" t="n">
        <v>59.74</v>
      </c>
      <c r="I74" s="18" t="inlineStr">
        <is>
          <t>Kywi / Megakywi</t>
        </is>
      </c>
      <c r="J74" s="22" t="n">
        <v>64.38</v>
      </c>
      <c r="K74" s="18" t="inlineStr">
        <is>
          <t>Ferrisariato</t>
        </is>
      </c>
      <c r="L74" s="8">
        <f>F74*G74</f>
        <v/>
      </c>
      <c r="M74" s="145" t="inlineStr">
        <is>
          <t>IS-D20-GRI-LPL-CUE</t>
        </is>
      </c>
      <c r="N74" s="18" t="inlineStr">
        <is>
          <t>Instalaciones sanitarias (hidrosanitarias)</t>
        </is>
      </c>
      <c r="O74" s="18" t="inlineStr">
        <is>
          <t>Estimado DION · criterio de mercado Guayaquil 2026 (no verificado en tienda)</t>
        </is>
      </c>
      <c r="P74" s="18" t="inlineStr">
        <is>
          <t>oct-2026 (est.)</t>
        </is>
      </c>
      <c r="Q74" s="18" t="n"/>
    </row>
    <row r="75">
      <c r="A75" s="224" t="n">
        <v>58</v>
      </c>
      <c r="B75" s="225" t="inlineStr">
        <is>
          <t xml:space="preserve">        Grifería Prelavado con Ducha (Cocina Industrial)</t>
        </is>
      </c>
      <c r="C75" s="226" t="inlineStr">
        <is>
          <t>Comercial / Restaurant</t>
        </is>
      </c>
      <c r="D75" s="224" t="inlineStr">
        <is>
          <t>Grifería Fregadero</t>
        </is>
      </c>
      <c r="E75" s="224" t="inlineStr">
        <is>
          <t>U</t>
        </is>
      </c>
      <c r="F75" s="227" t="n">
        <v>2</v>
      </c>
      <c r="G75" s="228" t="n">
        <v>265</v>
      </c>
      <c r="H75" s="228" t="n">
        <v>278.25</v>
      </c>
      <c r="I75" s="224" t="inlineStr">
        <is>
          <t>Kywi / Megakywi</t>
        </is>
      </c>
      <c r="J75" s="228" t="n">
        <v>288.85</v>
      </c>
      <c r="K75" s="224" t="inlineStr">
        <is>
          <t>Ferrisariato</t>
        </is>
      </c>
      <c r="L75" s="229">
        <f>F75*G75</f>
        <v/>
      </c>
      <c r="M75" s="230" t="inlineStr">
        <is>
          <t>IS-D20-GRI-LPL-PRE</t>
        </is>
      </c>
      <c r="N75" s="224" t="inlineStr">
        <is>
          <t>Instalaciones sanitarias (hidrosanitarias)</t>
        </is>
      </c>
      <c r="O75" s="224" t="inlineStr">
        <is>
          <t>Estimado DION · criterio de mercado Guayaquil 2026 (no verificado en tienda)</t>
        </is>
      </c>
      <c r="P75" s="224" t="inlineStr">
        <is>
          <t>oct-2026 (est.)</t>
        </is>
      </c>
      <c r="Q75" s="224" t="n"/>
    </row>
    <row r="76">
      <c r="A76" s="18" t="n">
        <v>59</v>
      </c>
      <c r="B76" s="19" t="inlineStr">
        <is>
          <t xml:space="preserve">        Mezcladora de Ducha 2 Llaves con Regadera</t>
        </is>
      </c>
      <c r="C76" s="20" t="inlineStr">
        <is>
          <t>Residencial / Comercial</t>
        </is>
      </c>
      <c r="D76" s="18" t="inlineStr">
        <is>
          <t>Grifería Ducha</t>
        </is>
      </c>
      <c r="E76" s="18" t="inlineStr">
        <is>
          <t>U</t>
        </is>
      </c>
      <c r="F76" s="21" t="n">
        <v>2</v>
      </c>
      <c r="G76" s="22" t="n">
        <v>48</v>
      </c>
      <c r="H76" s="22" t="n">
        <v>49.92</v>
      </c>
      <c r="I76" s="18" t="inlineStr">
        <is>
          <t>Kywi / Megakywi</t>
        </is>
      </c>
      <c r="J76" s="22" t="n">
        <v>51.36</v>
      </c>
      <c r="K76" s="18" t="inlineStr">
        <is>
          <t>Ferrisariato</t>
        </is>
      </c>
      <c r="L76" s="8">
        <f>F76*G76</f>
        <v/>
      </c>
      <c r="M76" s="145" t="inlineStr">
        <is>
          <t>IS-D20-GRI-DUC-MEZ</t>
        </is>
      </c>
      <c r="N76" s="18" t="inlineStr">
        <is>
          <t>Instalaciones sanitarias (hidrosanitarias)</t>
        </is>
      </c>
      <c r="O76" s="18" t="inlineStr">
        <is>
          <t>Estimado DION · criterio de mercado Guayaquil 2026 (no verificado en tienda)</t>
        </is>
      </c>
      <c r="P76" s="18" t="inlineStr">
        <is>
          <t>oct-2026 (est.)</t>
        </is>
      </c>
      <c r="Q76" s="18" t="n"/>
    </row>
    <row r="77">
      <c r="A77" s="224" t="n">
        <v>60</v>
      </c>
      <c r="B77" s="225" t="inlineStr">
        <is>
          <t xml:space="preserve">        Mezcladora Termostática de Ducha</t>
        </is>
      </c>
      <c r="C77" s="226" t="inlineStr">
        <is>
          <t>Hospitalario / Comercial</t>
        </is>
      </c>
      <c r="D77" s="224" t="inlineStr">
        <is>
          <t>Grifería Ducha</t>
        </is>
      </c>
      <c r="E77" s="224" t="inlineStr">
        <is>
          <t>U</t>
        </is>
      </c>
      <c r="F77" s="227" t="n">
        <v>2</v>
      </c>
      <c r="G77" s="228" t="n">
        <v>210</v>
      </c>
      <c r="H77" s="228" t="n">
        <v>218.4</v>
      </c>
      <c r="I77" s="224" t="inlineStr">
        <is>
          <t>Kywi / Megakywi</t>
        </is>
      </c>
      <c r="J77" s="228" t="n">
        <v>224.7</v>
      </c>
      <c r="K77" s="224" t="inlineStr">
        <is>
          <t>Ferrisariato</t>
        </is>
      </c>
      <c r="L77" s="229">
        <f>F77*G77</f>
        <v/>
      </c>
      <c r="M77" s="230" t="inlineStr">
        <is>
          <t>IS-D20-GRI-DUC-TER</t>
        </is>
      </c>
      <c r="N77" s="224" t="inlineStr">
        <is>
          <t>Instalaciones sanitarias (hidrosanitarias)</t>
        </is>
      </c>
      <c r="O77" s="224" t="inlineStr">
        <is>
          <t>Estimado DION · criterio de mercado Guayaquil 2026 (no verificado en tienda)</t>
        </is>
      </c>
      <c r="P77" s="224" t="inlineStr">
        <is>
          <t>oct-2026 (est.)</t>
        </is>
      </c>
      <c r="Q77" s="224" t="n"/>
    </row>
    <row r="78">
      <c r="A78" s="18" t="n">
        <v>61</v>
      </c>
      <c r="B78" s="19" t="inlineStr">
        <is>
          <t xml:space="preserve">        Ducha Teléfono con Barra</t>
        </is>
      </c>
      <c r="C78" s="20" t="inlineStr">
        <is>
          <t>Residencial / Comercial</t>
        </is>
      </c>
      <c r="D78" s="18" t="inlineStr">
        <is>
          <t>Grifería Ducha</t>
        </is>
      </c>
      <c r="E78" s="18" t="inlineStr">
        <is>
          <t>U</t>
        </is>
      </c>
      <c r="F78" s="21" t="n">
        <v>2</v>
      </c>
      <c r="G78" s="22" t="n">
        <v>42</v>
      </c>
      <c r="H78" s="22" t="n">
        <v>44.1</v>
      </c>
      <c r="I78" s="18" t="inlineStr">
        <is>
          <t>Kywi / Megakywi</t>
        </is>
      </c>
      <c r="J78" s="22" t="n">
        <v>46.2</v>
      </c>
      <c r="K78" s="18" t="inlineStr">
        <is>
          <t>Ferrisariato</t>
        </is>
      </c>
      <c r="L78" s="8">
        <f>F78*G78</f>
        <v/>
      </c>
      <c r="M78" s="145" t="inlineStr">
        <is>
          <t>IS-D20-GRI-DUC-TEL</t>
        </is>
      </c>
      <c r="N78" s="18" t="inlineStr">
        <is>
          <t>Instalaciones sanitarias (hidrosanitarias)</t>
        </is>
      </c>
      <c r="O78" s="18" t="inlineStr">
        <is>
          <t>Estimado DION · criterio de mercado Guayaquil 2026 (no verificado en tienda)</t>
        </is>
      </c>
      <c r="P78" s="18" t="inlineStr">
        <is>
          <t>oct-2026 (est.)</t>
        </is>
      </c>
      <c r="Q78" s="18" t="n"/>
    </row>
    <row r="79">
      <c r="A79" s="224" t="n">
        <v>62</v>
      </c>
      <c r="B79" s="225" t="inlineStr">
        <is>
          <t xml:space="preserve">        Fluxómetro para Inodoro 1½" Sloan/FV</t>
        </is>
      </c>
      <c r="C79" s="226" t="inlineStr">
        <is>
          <t>Comercial / Industrial</t>
        </is>
      </c>
      <c r="D79" s="224" t="inlineStr">
        <is>
          <t>Fluxómetros</t>
        </is>
      </c>
      <c r="E79" s="224" t="inlineStr">
        <is>
          <t>U</t>
        </is>
      </c>
      <c r="F79" s="227" t="n">
        <v>2</v>
      </c>
      <c r="G79" s="228" t="n">
        <v>165</v>
      </c>
      <c r="H79" s="228" t="n">
        <v>171.6</v>
      </c>
      <c r="I79" s="224" t="inlineStr">
        <is>
          <t>Kywi / Megakywi</t>
        </is>
      </c>
      <c r="J79" s="228" t="n">
        <v>176.55</v>
      </c>
      <c r="K79" s="224" t="inlineStr">
        <is>
          <t>Ferrisariato</t>
        </is>
      </c>
      <c r="L79" s="229">
        <f>F79*G79</f>
        <v/>
      </c>
      <c r="M79" s="230" t="inlineStr">
        <is>
          <t>IS-D20-GRI-FLU-INO</t>
        </is>
      </c>
      <c r="N79" s="224" t="inlineStr">
        <is>
          <t>Instalaciones sanitarias (hidrosanitarias)</t>
        </is>
      </c>
      <c r="O79" s="224" t="inlineStr">
        <is>
          <t>Estimado DION · criterio de mercado Guayaquil 2026 (no verificado en tienda)</t>
        </is>
      </c>
      <c r="P79" s="224" t="inlineStr">
        <is>
          <t>oct-2026 (est.)</t>
        </is>
      </c>
      <c r="Q79" s="224" t="n"/>
    </row>
    <row r="80">
      <c r="A80" s="18" t="n">
        <v>63</v>
      </c>
      <c r="B80" s="19" t="inlineStr">
        <is>
          <t xml:space="preserve">        Fluxómetro para Urinario ¾"</t>
        </is>
      </c>
      <c r="C80" s="20" t="inlineStr">
        <is>
          <t>Comercial / Industrial</t>
        </is>
      </c>
      <c r="D80" s="18" t="inlineStr">
        <is>
          <t>Fluxómetros</t>
        </is>
      </c>
      <c r="E80" s="18" t="inlineStr">
        <is>
          <t>U</t>
        </is>
      </c>
      <c r="F80" s="21" t="n">
        <v>2</v>
      </c>
      <c r="G80" s="22" t="n">
        <v>125</v>
      </c>
      <c r="H80" s="22" t="n">
        <v>131.25</v>
      </c>
      <c r="I80" s="18" t="inlineStr">
        <is>
          <t>Kywi / Megakywi</t>
        </is>
      </c>
      <c r="J80" s="22" t="n">
        <v>133.75</v>
      </c>
      <c r="K80" s="18" t="inlineStr">
        <is>
          <t>Ferrisariato</t>
        </is>
      </c>
      <c r="L80" s="8">
        <f>F80*G80</f>
        <v/>
      </c>
      <c r="M80" s="145" t="inlineStr">
        <is>
          <t>IS-D20-GRI-FLU-URI</t>
        </is>
      </c>
      <c r="N80" s="18" t="inlineStr">
        <is>
          <t>Instalaciones sanitarias (hidrosanitarias)</t>
        </is>
      </c>
      <c r="O80" s="18" t="inlineStr">
        <is>
          <t>Estimado DION · criterio de mercado Guayaquil 2026 (no verificado en tienda)</t>
        </is>
      </c>
      <c r="P80" s="18" t="inlineStr">
        <is>
          <t>oct-2026 (est.)</t>
        </is>
      </c>
      <c r="Q80" s="18" t="n"/>
    </row>
    <row r="81">
      <c r="A81" s="224" t="n">
        <v>64</v>
      </c>
      <c r="B81" s="225" t="inlineStr">
        <is>
          <t xml:space="preserve">        Fluxómetro Electrónico con Sensor</t>
        </is>
      </c>
      <c r="C81" s="226" t="inlineStr">
        <is>
          <t>Comercial / Industrial</t>
        </is>
      </c>
      <c r="D81" s="224" t="inlineStr">
        <is>
          <t>Fluxómetros</t>
        </is>
      </c>
      <c r="E81" s="224" t="inlineStr">
        <is>
          <t>U</t>
        </is>
      </c>
      <c r="F81" s="227" t="n">
        <v>2</v>
      </c>
      <c r="G81" s="228" t="n">
        <v>380</v>
      </c>
      <c r="H81" s="228" t="n">
        <v>391.4</v>
      </c>
      <c r="I81" s="224" t="inlineStr">
        <is>
          <t>Kywi / Megakywi</t>
        </is>
      </c>
      <c r="J81" s="228" t="n">
        <v>410.4</v>
      </c>
      <c r="K81" s="224" t="inlineStr">
        <is>
          <t>Ferrisariato</t>
        </is>
      </c>
      <c r="L81" s="229">
        <f>F81*G81</f>
        <v/>
      </c>
      <c r="M81" s="230" t="inlineStr">
        <is>
          <t>IS-D20-GRI-FLU-SEN</t>
        </is>
      </c>
      <c r="N81" s="224" t="inlineStr">
        <is>
          <t>Instalaciones sanitarias (hidrosanitarias)</t>
        </is>
      </c>
      <c r="O81" s="224" t="inlineStr">
        <is>
          <t>Estimado DION · criterio de mercado Guayaquil 2026 (no verificado en tienda)</t>
        </is>
      </c>
      <c r="P81" s="224" t="inlineStr">
        <is>
          <t>oct-2026 (est.)</t>
        </is>
      </c>
      <c r="Q81" s="224" t="n"/>
    </row>
    <row r="82">
      <c r="A82" s="18" t="n">
        <v>65</v>
      </c>
      <c r="B82" s="19" t="inlineStr">
        <is>
          <t xml:space="preserve">        Llave de Jardín / Manguera ½"</t>
        </is>
      </c>
      <c r="C82" s="20" t="inlineStr">
        <is>
          <t>Residencial / Comercial</t>
        </is>
      </c>
      <c r="D82" s="18" t="inlineStr">
        <is>
          <t>Llaves</t>
        </is>
      </c>
      <c r="E82" s="18" t="inlineStr">
        <is>
          <t>U</t>
        </is>
      </c>
      <c r="F82" s="21" t="n">
        <v>2</v>
      </c>
      <c r="G82" s="22" t="n">
        <v>8.5</v>
      </c>
      <c r="H82" s="22" t="n">
        <v>8.76</v>
      </c>
      <c r="I82" s="18" t="inlineStr">
        <is>
          <t>Kywi / Megakywi</t>
        </is>
      </c>
      <c r="J82" s="22" t="n">
        <v>9.1</v>
      </c>
      <c r="K82" s="18" t="inlineStr">
        <is>
          <t>Ferrisariato</t>
        </is>
      </c>
      <c r="L82" s="8">
        <f>F82*G82</f>
        <v/>
      </c>
      <c r="M82" s="145" t="inlineStr">
        <is>
          <t>IS-D20-GRI-LLA-JAR</t>
        </is>
      </c>
      <c r="N82" s="18" t="inlineStr">
        <is>
          <t>Instalaciones sanitarias (hidrosanitarias)</t>
        </is>
      </c>
      <c r="O82" s="18" t="inlineStr">
        <is>
          <t>Estimado DION · criterio de mercado Guayaquil 2026 (no verificado en tienda)</t>
        </is>
      </c>
      <c r="P82" s="18" t="inlineStr">
        <is>
          <t>oct-2026 (est.)</t>
        </is>
      </c>
      <c r="Q82" s="18" t="n"/>
    </row>
    <row r="83">
      <c r="A83" s="224" t="n">
        <v>66</v>
      </c>
      <c r="B83" s="225" t="inlineStr">
        <is>
          <t xml:space="preserve">        Llave de Paso Empotrada ½" Cromada</t>
        </is>
      </c>
      <c r="C83" s="226" t="inlineStr">
        <is>
          <t>Residencial / Comercial</t>
        </is>
      </c>
      <c r="D83" s="224" t="inlineStr">
        <is>
          <t>Llaves</t>
        </is>
      </c>
      <c r="E83" s="224" t="inlineStr">
        <is>
          <t>U</t>
        </is>
      </c>
      <c r="F83" s="227" t="n">
        <v>2</v>
      </c>
      <c r="G83" s="228" t="n">
        <v>12</v>
      </c>
      <c r="H83" s="228" t="n">
        <v>12.36</v>
      </c>
      <c r="I83" s="224" t="inlineStr">
        <is>
          <t>Kywi / Megakywi</t>
        </is>
      </c>
      <c r="J83" s="228" t="n">
        <v>12.96</v>
      </c>
      <c r="K83" s="224" t="inlineStr">
        <is>
          <t>Ferrisariato</t>
        </is>
      </c>
      <c r="L83" s="229">
        <f>F83*G83</f>
        <v/>
      </c>
      <c r="M83" s="230" t="inlineStr">
        <is>
          <t>IS-D20-GRI-LLA-PAS</t>
        </is>
      </c>
      <c r="N83" s="224" t="inlineStr">
        <is>
          <t>Instalaciones sanitarias (hidrosanitarias)</t>
        </is>
      </c>
      <c r="O83" s="224" t="inlineStr">
        <is>
          <t>Estimado DION · criterio de mercado Guayaquil 2026 (no verificado en tienda)</t>
        </is>
      </c>
      <c r="P83" s="224" t="inlineStr">
        <is>
          <t>oct-2026 (est.)</t>
        </is>
      </c>
      <c r="Q83" s="224" t="n"/>
    </row>
    <row r="84">
      <c r="A84" s="221" t="inlineStr">
        <is>
          <t>EQUIPOS ESPECIALIZADOS</t>
        </is>
      </c>
      <c r="B84" s="143" t="n"/>
      <c r="C84" s="143" t="n"/>
      <c r="D84" s="143" t="n"/>
      <c r="E84" s="143" t="n"/>
      <c r="F84" s="143" t="n"/>
      <c r="G84" s="143" t="n"/>
      <c r="H84" s="143" t="n"/>
      <c r="I84" s="143" t="n"/>
      <c r="J84" s="143" t="n"/>
      <c r="K84" s="143" t="n"/>
      <c r="L84" s="143" t="n"/>
      <c r="M84" s="143" t="n"/>
      <c r="N84" s="143" t="n"/>
      <c r="O84" s="143" t="n"/>
      <c r="P84" s="143" t="n"/>
      <c r="Q84" s="144" t="n"/>
    </row>
    <row r="85">
      <c r="A85" s="222" t="inlineStr">
        <is>
          <t xml:space="preserve">  ► CATEGORÍA: DIVISIONES SANITARIAS Y MESONES</t>
        </is>
      </c>
      <c r="B85" s="143" t="n"/>
      <c r="C85" s="143" t="n"/>
      <c r="D85" s="143" t="n"/>
      <c r="E85" s="143" t="n"/>
      <c r="F85" s="143" t="n"/>
      <c r="G85" s="143" t="n"/>
      <c r="H85" s="143" t="n"/>
      <c r="I85" s="143" t="n"/>
      <c r="J85" s="143" t="n"/>
      <c r="K85" s="143" t="n"/>
      <c r="L85" s="143" t="n"/>
      <c r="M85" s="143" t="n"/>
      <c r="N85" s="143" t="n"/>
      <c r="O85" s="143" t="n"/>
      <c r="P85" s="143" t="n"/>
      <c r="Q85" s="144" t="n"/>
    </row>
    <row r="86">
      <c r="A86" s="223" t="inlineStr">
        <is>
          <t xml:space="preserve">      • Subcategoría Especificada: Cabinas por Material y Mesones de Baño</t>
        </is>
      </c>
      <c r="B86" s="143" t="n"/>
      <c r="C86" s="143" t="n"/>
      <c r="D86" s="143" t="n"/>
      <c r="E86" s="143" t="n"/>
      <c r="F86" s="143" t="n"/>
      <c r="G86" s="143" t="n"/>
      <c r="H86" s="143" t="n"/>
      <c r="I86" s="143" t="n"/>
      <c r="J86" s="143" t="n"/>
      <c r="K86" s="143" t="n"/>
      <c r="L86" s="143" t="n"/>
      <c r="M86" s="143" t="n"/>
      <c r="N86" s="143" t="n"/>
      <c r="O86" s="143" t="n"/>
      <c r="P86" s="143" t="n"/>
      <c r="Q86" s="144" t="n"/>
    </row>
    <row r="87">
      <c r="A87" s="18" t="n">
        <v>67</v>
      </c>
      <c r="B87" s="19" t="inlineStr">
        <is>
          <t xml:space="preserve">        Cabina Sanitaria HPL Fenólico Estándar</t>
        </is>
      </c>
      <c r="C87" s="20" t="inlineStr">
        <is>
          <t>Comercial / Institucional</t>
        </is>
      </c>
      <c r="D87" s="18" t="inlineStr">
        <is>
          <t>Cabinas HPL</t>
        </is>
      </c>
      <c r="E87" s="18" t="inlineStr">
        <is>
          <t>U</t>
        </is>
      </c>
      <c r="F87" s="21" t="n">
        <v>1</v>
      </c>
      <c r="G87" s="22" t="n">
        <v>480</v>
      </c>
      <c r="H87" s="22" t="n">
        <v>489.6</v>
      </c>
      <c r="I87" s="18" t="inlineStr">
        <is>
          <t>Kywi / Megakywi</t>
        </is>
      </c>
      <c r="J87" s="22" t="n">
        <v>523.2</v>
      </c>
      <c r="K87" s="18" t="inlineStr">
        <is>
          <t>Ferrisariato</t>
        </is>
      </c>
      <c r="L87" s="8">
        <f>F87*G87</f>
        <v/>
      </c>
      <c r="M87" s="145" t="inlineStr">
        <is>
          <t>A-C10-DSN-HPL-STD</t>
        </is>
      </c>
      <c r="N87" s="18" t="inlineStr">
        <is>
          <t>Arquitectura</t>
        </is>
      </c>
      <c r="O87" s="18" t="inlineStr">
        <is>
          <t>Estimado DION · criterio de mercado Guayaquil 2026 (no verificado en tienda)</t>
        </is>
      </c>
      <c r="P87" s="18" t="inlineStr">
        <is>
          <t>oct-2026 (est.)</t>
        </is>
      </c>
      <c r="Q87" s="18" t="n"/>
    </row>
    <row r="88">
      <c r="A88" s="224" t="n">
        <v>68</v>
      </c>
      <c r="B88" s="225" t="inlineStr">
        <is>
          <t xml:space="preserve">        Cabina Sanitaria HPL Accesible</t>
        </is>
      </c>
      <c r="C88" s="226" t="inlineStr">
        <is>
          <t>Comercial / Institucional</t>
        </is>
      </c>
      <c r="D88" s="224" t="inlineStr">
        <is>
          <t>Cabinas HPL</t>
        </is>
      </c>
      <c r="E88" s="224" t="inlineStr">
        <is>
          <t>U</t>
        </is>
      </c>
      <c r="F88" s="227" t="n">
        <v>0</v>
      </c>
      <c r="G88" s="228" t="n">
        <v>620</v>
      </c>
      <c r="H88" s="228" t="n">
        <v>638.6</v>
      </c>
      <c r="I88" s="224" t="inlineStr">
        <is>
          <t>Kywi / Megakywi</t>
        </is>
      </c>
      <c r="J88" s="228" t="n">
        <v>675.8</v>
      </c>
      <c r="K88" s="224" t="inlineStr">
        <is>
          <t>Ferrisariato</t>
        </is>
      </c>
      <c r="L88" s="229">
        <f>F88*G88</f>
        <v/>
      </c>
      <c r="M88" s="230" t="inlineStr">
        <is>
          <t>A-C10-DSN-HPL-ACC</t>
        </is>
      </c>
      <c r="N88" s="224" t="inlineStr">
        <is>
          <t>Arquitectura</t>
        </is>
      </c>
      <c r="O88" s="224" t="inlineStr">
        <is>
          <t>Estimado DION · criterio de mercado Guayaquil 2026 (no verificado en tienda)</t>
        </is>
      </c>
      <c r="P88" s="224" t="inlineStr">
        <is>
          <t>oct-2026 (est.)</t>
        </is>
      </c>
      <c r="Q88" s="224" t="n"/>
    </row>
    <row r="89">
      <c r="A89" s="18" t="n">
        <v>69</v>
      </c>
      <c r="B89" s="19" t="inlineStr">
        <is>
          <t xml:space="preserve">        Cabina Sanitaria Melamina RH</t>
        </is>
      </c>
      <c r="C89" s="20" t="inlineStr">
        <is>
          <t>Comercial</t>
        </is>
      </c>
      <c r="D89" s="18" t="inlineStr">
        <is>
          <t>Cabinas Melamina</t>
        </is>
      </c>
      <c r="E89" s="18" t="inlineStr">
        <is>
          <t>U</t>
        </is>
      </c>
      <c r="F89" s="21" t="n">
        <v>1</v>
      </c>
      <c r="G89" s="22" t="n">
        <v>290</v>
      </c>
      <c r="H89" s="22" t="n">
        <v>301.6</v>
      </c>
      <c r="I89" s="18" t="inlineStr">
        <is>
          <t>Kywi / Megakywi</t>
        </is>
      </c>
      <c r="J89" s="22" t="n">
        <v>319</v>
      </c>
      <c r="K89" s="18" t="inlineStr">
        <is>
          <t>Ferrisariato</t>
        </is>
      </c>
      <c r="L89" s="8">
        <f>F89*G89</f>
        <v/>
      </c>
      <c r="M89" s="145" t="inlineStr">
        <is>
          <t>A-C10-DSN-MLM-STD</t>
        </is>
      </c>
      <c r="N89" s="18" t="inlineStr">
        <is>
          <t>Arquitectura</t>
        </is>
      </c>
      <c r="O89" s="18" t="inlineStr">
        <is>
          <t>Estimado DION · criterio de mercado Guayaquil 2026 (no verificado en tienda)</t>
        </is>
      </c>
      <c r="P89" s="18" t="inlineStr">
        <is>
          <t>oct-2026 (est.)</t>
        </is>
      </c>
      <c r="Q89" s="18" t="n"/>
    </row>
    <row r="90">
      <c r="A90" s="224" t="n">
        <v>70</v>
      </c>
      <c r="B90" s="225" t="inlineStr">
        <is>
          <t xml:space="preserve">        Cabina Sanitaria Acero Inoxidable</t>
        </is>
      </c>
      <c r="C90" s="226" t="inlineStr">
        <is>
          <t>Industrial / Hospitalario</t>
        </is>
      </c>
      <c r="D90" s="224" t="inlineStr">
        <is>
          <t>Cabinas Inox</t>
        </is>
      </c>
      <c r="E90" s="224" t="inlineStr">
        <is>
          <t>U</t>
        </is>
      </c>
      <c r="F90" s="227" t="n">
        <v>0</v>
      </c>
      <c r="G90" s="228" t="n">
        <v>950</v>
      </c>
      <c r="H90" s="228" t="n">
        <v>997.5</v>
      </c>
      <c r="I90" s="224" t="inlineStr">
        <is>
          <t>Kywi / Megakywi</t>
        </is>
      </c>
      <c r="J90" s="228" t="n">
        <v>1026</v>
      </c>
      <c r="K90" s="224" t="inlineStr">
        <is>
          <t>Ferrisariato</t>
        </is>
      </c>
      <c r="L90" s="229">
        <f>F90*G90</f>
        <v/>
      </c>
      <c r="M90" s="230" t="inlineStr">
        <is>
          <t>A-C10-DSN-INX-STD</t>
        </is>
      </c>
      <c r="N90" s="224" t="inlineStr">
        <is>
          <t>Arquitectura</t>
        </is>
      </c>
      <c r="O90" s="224" t="inlineStr">
        <is>
          <t>Estimado DION · criterio de mercado Guayaquil 2026 (no verificado en tienda)</t>
        </is>
      </c>
      <c r="P90" s="224" t="inlineStr">
        <is>
          <t>oct-2026 (est.)</t>
        </is>
      </c>
      <c r="Q90" s="224" t="n"/>
    </row>
    <row r="91">
      <c r="A91" s="18" t="n">
        <v>71</v>
      </c>
      <c r="B91" s="19" t="inlineStr">
        <is>
          <t xml:space="preserve">        Divisor de Urinario HPL</t>
        </is>
      </c>
      <c r="C91" s="20" t="inlineStr">
        <is>
          <t>Comercial</t>
        </is>
      </c>
      <c r="D91" s="18" t="inlineStr">
        <is>
          <t>Divisores</t>
        </is>
      </c>
      <c r="E91" s="18" t="inlineStr">
        <is>
          <t>U</t>
        </is>
      </c>
      <c r="F91" s="21" t="n">
        <v>1</v>
      </c>
      <c r="G91" s="22" t="n">
        <v>95</v>
      </c>
      <c r="H91" s="22" t="n">
        <v>97.84999999999999</v>
      </c>
      <c r="I91" s="18" t="inlineStr">
        <is>
          <t>Kywi / Megakywi</t>
        </is>
      </c>
      <c r="J91" s="22" t="n">
        <v>101.65</v>
      </c>
      <c r="K91" s="18" t="inlineStr">
        <is>
          <t>Ferrisariato</t>
        </is>
      </c>
      <c r="L91" s="8">
        <f>F91*G91</f>
        <v/>
      </c>
      <c r="M91" s="145" t="inlineStr">
        <is>
          <t>A-C10-DSN-URI-HPL</t>
        </is>
      </c>
      <c r="N91" s="18" t="inlineStr">
        <is>
          <t>Arquitectura</t>
        </is>
      </c>
      <c r="O91" s="18" t="inlineStr">
        <is>
          <t>Estimado DION · criterio de mercado Guayaquil 2026 (no verificado en tienda)</t>
        </is>
      </c>
      <c r="P91" s="18" t="inlineStr">
        <is>
          <t>oct-2026 (est.)</t>
        </is>
      </c>
      <c r="Q91" s="18" t="n"/>
    </row>
    <row r="92">
      <c r="A92" s="224" t="n">
        <v>72</v>
      </c>
      <c r="B92" s="225" t="inlineStr">
        <is>
          <t xml:space="preserve">        Mesón de Granito para Baño (m)</t>
        </is>
      </c>
      <c r="C92" s="226" t="inlineStr">
        <is>
          <t>Residencial / Comercial</t>
        </is>
      </c>
      <c r="D92" s="224" t="inlineStr">
        <is>
          <t>Mesones</t>
        </is>
      </c>
      <c r="E92" s="224" t="inlineStr">
        <is>
          <t>m</t>
        </is>
      </c>
      <c r="F92" s="227" t="n">
        <v>1</v>
      </c>
      <c r="G92" s="228" t="n">
        <v>165</v>
      </c>
      <c r="H92" s="228" t="n">
        <v>171.6</v>
      </c>
      <c r="I92" s="224" t="inlineStr">
        <is>
          <t>Kywi / Megakywi</t>
        </is>
      </c>
      <c r="J92" s="228" t="n">
        <v>181.5</v>
      </c>
      <c r="K92" s="224" t="inlineStr">
        <is>
          <t>Ferrisariato</t>
        </is>
      </c>
      <c r="L92" s="229">
        <f>F92*G92</f>
        <v/>
      </c>
      <c r="M92" s="230" t="inlineStr">
        <is>
          <t>AI-E20-CAS-MES-GRN</t>
        </is>
      </c>
      <c r="N92" s="224" t="inlineStr">
        <is>
          <t>Arquitectura interior y mobiliario</t>
        </is>
      </c>
      <c r="O92" s="224" t="inlineStr">
        <is>
          <t>Estimado DION · criterio de mercado Guayaquil 2026 (no verificado en tienda)</t>
        </is>
      </c>
      <c r="P92" s="224" t="inlineStr">
        <is>
          <t>oct-2026 (est.)</t>
        </is>
      </c>
      <c r="Q92" s="224" t="n"/>
    </row>
    <row r="93">
      <c r="A93" s="18" t="n">
        <v>73</v>
      </c>
      <c r="B93" s="19" t="inlineStr">
        <is>
          <t xml:space="preserve">        Mesón de Cuarzo (m)</t>
        </is>
      </c>
      <c r="C93" s="20" t="inlineStr">
        <is>
          <t>Residencial / Comercial</t>
        </is>
      </c>
      <c r="D93" s="18" t="inlineStr">
        <is>
          <t>Mesones</t>
        </is>
      </c>
      <c r="E93" s="18" t="inlineStr">
        <is>
          <t>m</t>
        </is>
      </c>
      <c r="F93" s="21" t="n">
        <v>1</v>
      </c>
      <c r="G93" s="22" t="n">
        <v>260</v>
      </c>
      <c r="H93" s="22" t="n">
        <v>265.2</v>
      </c>
      <c r="I93" s="18" t="inlineStr">
        <is>
          <t>Kywi / Megakywi</t>
        </is>
      </c>
      <c r="J93" s="22" t="n">
        <v>278.2</v>
      </c>
      <c r="K93" s="18" t="inlineStr">
        <is>
          <t>Ferrisariato</t>
        </is>
      </c>
      <c r="L93" s="8">
        <f>F93*G93</f>
        <v/>
      </c>
      <c r="M93" s="145" t="inlineStr">
        <is>
          <t>AI-E20-CAS-MES-CUA</t>
        </is>
      </c>
      <c r="N93" s="18" t="inlineStr">
        <is>
          <t>Arquitectura interior y mobiliario</t>
        </is>
      </c>
      <c r="O93" s="18" t="inlineStr">
        <is>
          <t>Estimado DION · criterio de mercado Guayaquil 2026 (no verificado en tienda)</t>
        </is>
      </c>
      <c r="P93" s="18" t="inlineStr">
        <is>
          <t>oct-2026 (est.)</t>
        </is>
      </c>
      <c r="Q93" s="18" t="n"/>
    </row>
    <row r="94">
      <c r="A94" s="224" t="n">
        <v>74</v>
      </c>
      <c r="B94" s="225" t="inlineStr">
        <is>
          <t xml:space="preserve">        Mesón de Porcelanato Sinterizado (m)</t>
        </is>
      </c>
      <c r="C94" s="226" t="inlineStr">
        <is>
          <t>Residencial / Comercial</t>
        </is>
      </c>
      <c r="D94" s="224" t="inlineStr">
        <is>
          <t>Mesones</t>
        </is>
      </c>
      <c r="E94" s="224" t="inlineStr">
        <is>
          <t>m</t>
        </is>
      </c>
      <c r="F94" s="227" t="n">
        <v>1</v>
      </c>
      <c r="G94" s="228" t="n">
        <v>220</v>
      </c>
      <c r="H94" s="228" t="n">
        <v>226.6</v>
      </c>
      <c r="I94" s="224" t="inlineStr">
        <is>
          <t>Kywi / Megakywi</t>
        </is>
      </c>
      <c r="J94" s="228" t="n">
        <v>239.8</v>
      </c>
      <c r="K94" s="224" t="inlineStr">
        <is>
          <t>Ferrisariato</t>
        </is>
      </c>
      <c r="L94" s="229">
        <f>F94*G94</f>
        <v/>
      </c>
      <c r="M94" s="230" t="inlineStr">
        <is>
          <t>AI-E20-CAS-MES-POR</t>
        </is>
      </c>
      <c r="N94" s="224" t="inlineStr">
        <is>
          <t>Arquitectura interior y mobiliario</t>
        </is>
      </c>
      <c r="O94" s="224" t="inlineStr">
        <is>
          <t>Estimado DION · criterio de mercado Guayaquil 2026 (no verificado en tienda)</t>
        </is>
      </c>
      <c r="P94" s="224" t="inlineStr">
        <is>
          <t>oct-2026 (est.)</t>
        </is>
      </c>
      <c r="Q94" s="224" t="n"/>
    </row>
    <row r="95">
      <c r="A95" s="10" t="n"/>
      <c r="B95" s="147" t="inlineStr">
        <is>
          <t>TOTAL BASE DE DATOS APARATOS SANITARIOS Y GRIFERÍA (ESTIMADO)</t>
        </is>
      </c>
      <c r="C95" s="148" t="n"/>
      <c r="D95" s="148" t="n"/>
      <c r="E95" s="148" t="n"/>
      <c r="F95" s="148" t="n"/>
      <c r="G95" s="148" t="n"/>
      <c r="H95" s="148" t="n"/>
      <c r="I95" s="148" t="n"/>
      <c r="J95" s="148" t="n"/>
      <c r="K95" s="148" t="n"/>
      <c r="L95" s="30">
        <f>SUM(L6:L94)</f>
        <v/>
      </c>
      <c r="M95" s="30" t="n"/>
      <c r="N95" s="30" t="n"/>
      <c r="O95" s="30" t="n"/>
      <c r="P95" s="30" t="n"/>
      <c r="Q95" s="30" t="n"/>
    </row>
  </sheetData>
  <mergeCells count="16">
    <mergeCell ref="A8:Q8"/>
    <mergeCell ref="A6:Q6"/>
    <mergeCell ref="B95:K95"/>
    <mergeCell ref="A27:Q27"/>
    <mergeCell ref="A67:Q67"/>
    <mergeCell ref="A35:Q35"/>
    <mergeCell ref="A7:Q7"/>
    <mergeCell ref="A26:Q26"/>
    <mergeCell ref="A86:Q86"/>
    <mergeCell ref="A25:Q25"/>
    <mergeCell ref="A68:Q68"/>
    <mergeCell ref="A66:Q66"/>
    <mergeCell ref="A85:Q85"/>
    <mergeCell ref="A37:Q37"/>
    <mergeCell ref="A84:Q84"/>
    <mergeCell ref="A36:Q36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10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8" customWidth="1" min="2" max="2"/>
    <col width="30" customWidth="1" min="3" max="3"/>
    <col width="32" customWidth="1" min="4" max="4"/>
    <col width="8" customWidth="1" min="5" max="5"/>
    <col width="10" customWidth="1" min="6" max="6"/>
    <col width="15" customWidth="1" min="7" max="7"/>
    <col width="16" customWidth="1" min="8" max="8"/>
    <col width="22" customWidth="1" min="9" max="9"/>
    <col width="16" customWidth="1" min="10" max="10"/>
    <col width="20" customWidth="1" min="11" max="11"/>
    <col width="16" customWidth="1" min="12" max="12"/>
    <col width="27" customWidth="1" min="13" max="13"/>
    <col width="30" customWidth="1" min="14" max="14"/>
    <col width="44" customWidth="1" min="15" max="15"/>
    <col width="15" customWidth="1" min="16" max="16"/>
    <col width="14" customWidth="1" min="17" max="17"/>
  </cols>
  <sheetData>
    <row r="1">
      <c r="A1" s="1" t="inlineStr">
        <is>
          <t>BASE DE DATOS COMPLETA DE CATALOGACIÓN: VOZ DATOS CCTV Y SEGURIDAD</t>
        </is>
      </c>
    </row>
    <row r="2">
      <c r="A2" s="2" t="inlineStr">
        <is>
          <t>Estructura Jerárquica Homogénea: Accesorios &gt; Tuberías &gt; Equipos &gt; Conexiones &gt; Equipos Especializados | Degradé por Niveles (Ecuador - USD)</t>
        </is>
      </c>
    </row>
    <row r="3">
      <c r="A3" s="13" t="inlineStr">
        <is>
          <t>« Volver al Índice General</t>
        </is>
      </c>
    </row>
    <row r="5" ht="30" customHeight="1">
      <c r="A5" s="4" t="inlineStr">
        <is>
          <t>Item</t>
        </is>
      </c>
      <c r="B5" s="4" t="inlineStr">
        <is>
          <t>Descripción de Accesorio / Ítem Especificado</t>
        </is>
      </c>
      <c r="C5" s="4" t="inlineStr">
        <is>
          <t>Clasificación / Ámbito de Uso
(Residencial/Comercial/Industrial)</t>
        </is>
      </c>
      <c r="D5" s="4" t="inlineStr">
        <is>
          <t>Tipo / Familia</t>
        </is>
      </c>
      <c r="E5" s="4" t="inlineStr">
        <is>
          <t>Unidad</t>
        </is>
      </c>
      <c r="F5" s="4" t="inlineStr">
        <is>
          <t>Cant.</t>
        </is>
      </c>
      <c r="G5" s="4" t="inlineStr">
        <is>
          <t>P. Ref. Est. ($)</t>
        </is>
      </c>
      <c r="H5" s="4" t="inlineStr">
        <is>
          <t>P. Unit. Local A ($)
(Megametales)</t>
        </is>
      </c>
      <c r="I5" s="4" t="inlineStr">
        <is>
          <t>Local A
Especificado</t>
        </is>
      </c>
      <c r="J5" s="4" t="inlineStr">
        <is>
          <t>P. Unit. Local B ($)
(Kywi / Megakywi)</t>
        </is>
      </c>
      <c r="K5" s="4" t="inlineStr">
        <is>
          <t>Local B
Especificado</t>
        </is>
      </c>
      <c r="L5" s="4" t="inlineStr">
        <is>
          <t>Subtotal Est. ($)</t>
        </is>
      </c>
      <c r="M5" s="4" t="inlineStr">
        <is>
          <t>Código DION</t>
        </is>
      </c>
      <c r="N5" s="4" t="inlineStr">
        <is>
          <t>Disciplina</t>
        </is>
      </c>
      <c r="O5" s="4" t="inlineStr">
        <is>
          <t>Fuente del precio</t>
        </is>
      </c>
      <c r="P5" s="4" t="inlineStr">
        <is>
          <t>Fecha precio</t>
        </is>
      </c>
      <c r="Q5" s="4" t="inlineStr">
        <is>
          <t>Rendimiento /
desperdicio %</t>
        </is>
      </c>
    </row>
    <row r="6">
      <c r="A6" s="231" t="inlineStr">
        <is>
          <t>ACCESORIOS</t>
        </is>
      </c>
      <c r="B6" s="143" t="n"/>
      <c r="C6" s="143" t="n"/>
      <c r="D6" s="143" t="n"/>
      <c r="E6" s="143" t="n"/>
      <c r="F6" s="143" t="n"/>
      <c r="G6" s="143" t="n"/>
      <c r="H6" s="143" t="n"/>
      <c r="I6" s="143" t="n"/>
      <c r="J6" s="143" t="n"/>
      <c r="K6" s="143" t="n"/>
      <c r="L6" s="143" t="n"/>
      <c r="M6" s="143" t="n"/>
      <c r="N6" s="143" t="n"/>
      <c r="O6" s="143" t="n"/>
      <c r="P6" s="143" t="n"/>
      <c r="Q6" s="144" t="n"/>
    </row>
    <row r="7">
      <c r="A7" s="232" t="inlineStr">
        <is>
          <t xml:space="preserve">  ► CATEGORÍA: PUNTOS Y ACCESORIOS DE CABLEADO</t>
        </is>
      </c>
      <c r="B7" s="143" t="n"/>
      <c r="C7" s="143" t="n"/>
      <c r="D7" s="143" t="n"/>
      <c r="E7" s="143" t="n"/>
      <c r="F7" s="143" t="n"/>
      <c r="G7" s="143" t="n"/>
      <c r="H7" s="143" t="n"/>
      <c r="I7" s="143" t="n"/>
      <c r="J7" s="143" t="n"/>
      <c r="K7" s="143" t="n"/>
      <c r="L7" s="143" t="n"/>
      <c r="M7" s="143" t="n"/>
      <c r="N7" s="143" t="n"/>
      <c r="O7" s="143" t="n"/>
      <c r="P7" s="143" t="n"/>
      <c r="Q7" s="144" t="n"/>
    </row>
    <row r="8">
      <c r="A8" s="233" t="inlineStr">
        <is>
          <t xml:space="preserve">      • Subcategoría Especificada: Jacks, Faceplates, Patch Cords y Conectores</t>
        </is>
      </c>
      <c r="B8" s="143" t="n"/>
      <c r="C8" s="143" t="n"/>
      <c r="D8" s="143" t="n"/>
      <c r="E8" s="143" t="n"/>
      <c r="F8" s="143" t="n"/>
      <c r="G8" s="143" t="n"/>
      <c r="H8" s="143" t="n"/>
      <c r="I8" s="143" t="n"/>
      <c r="J8" s="143" t="n"/>
      <c r="K8" s="143" t="n"/>
      <c r="L8" s="143" t="n"/>
      <c r="M8" s="143" t="n"/>
      <c r="N8" s="143" t="n"/>
      <c r="O8" s="143" t="n"/>
      <c r="P8" s="143" t="n"/>
      <c r="Q8" s="144" t="n"/>
    </row>
    <row r="9">
      <c r="A9" s="18" t="n">
        <v>1</v>
      </c>
      <c r="B9" s="19" t="inlineStr">
        <is>
          <t xml:space="preserve">        Jack RJ45 Cat 6 Keystone</t>
        </is>
      </c>
      <c r="C9" s="20" t="inlineStr">
        <is>
          <t>Residencial / Comercial / Ind</t>
        </is>
      </c>
      <c r="D9" s="18" t="inlineStr">
        <is>
          <t>Jacks</t>
        </is>
      </c>
      <c r="E9" s="18" t="inlineStr">
        <is>
          <t>U</t>
        </is>
      </c>
      <c r="F9" s="21" t="n">
        <v>40</v>
      </c>
      <c r="G9" s="22" t="n">
        <v>3.2</v>
      </c>
      <c r="H9" s="22" t="n">
        <v>3.36</v>
      </c>
      <c r="I9" s="18" t="inlineStr">
        <is>
          <t>Megametales</t>
        </is>
      </c>
      <c r="J9" s="22" t="n">
        <v>3.49</v>
      </c>
      <c r="K9" s="18" t="inlineStr">
        <is>
          <t>Kywi / Megakywi</t>
        </is>
      </c>
      <c r="L9" s="8">
        <f>F9*G9</f>
        <v/>
      </c>
      <c r="M9" s="145" t="inlineStr">
        <is>
          <t>COM-D50-PTO-JCK-C6</t>
        </is>
      </c>
      <c r="N9" s="18" t="inlineStr">
        <is>
          <t>Comunicaciones (datos, voz, audio, llamado)</t>
        </is>
      </c>
      <c r="O9" s="18" t="inlineStr">
        <is>
          <t>Estimado DION · criterio de mercado Guayaquil 2026 (no verificado en tienda)</t>
        </is>
      </c>
      <c r="P9" s="18" t="inlineStr">
        <is>
          <t>oct-2026 (est.)</t>
        </is>
      </c>
      <c r="Q9" s="18" t="n">
        <v>3</v>
      </c>
    </row>
    <row r="10">
      <c r="A10" s="234" t="n">
        <v>2</v>
      </c>
      <c r="B10" s="235" t="inlineStr">
        <is>
          <t xml:space="preserve">        Jack RJ45 Cat 6A Blindado</t>
        </is>
      </c>
      <c r="C10" s="236" t="inlineStr">
        <is>
          <t>Residencial / Comercial / Ind</t>
        </is>
      </c>
      <c r="D10" s="234" t="inlineStr">
        <is>
          <t>Jacks</t>
        </is>
      </c>
      <c r="E10" s="234" t="inlineStr">
        <is>
          <t>U</t>
        </is>
      </c>
      <c r="F10" s="237" t="n">
        <v>20</v>
      </c>
      <c r="G10" s="238" t="n">
        <v>8.5</v>
      </c>
      <c r="H10" s="238" t="n">
        <v>8.76</v>
      </c>
      <c r="I10" s="234" t="inlineStr">
        <is>
          <t>Megametales</t>
        </is>
      </c>
      <c r="J10" s="238" t="n">
        <v>9.35</v>
      </c>
      <c r="K10" s="234" t="inlineStr">
        <is>
          <t>Kywi / Megakywi</t>
        </is>
      </c>
      <c r="L10" s="239">
        <f>F10*G10</f>
        <v/>
      </c>
      <c r="M10" s="240" t="inlineStr">
        <is>
          <t>COM-D50-PTO-JCK-C6A</t>
        </is>
      </c>
      <c r="N10" s="234" t="inlineStr">
        <is>
          <t>Comunicaciones (datos, voz, audio, llamado)</t>
        </is>
      </c>
      <c r="O10" s="234" t="inlineStr">
        <is>
          <t>Estimado DION · criterio de mercado Guayaquil 2026 (no verificado en tienda)</t>
        </is>
      </c>
      <c r="P10" s="234" t="inlineStr">
        <is>
          <t>oct-2026 (est.)</t>
        </is>
      </c>
      <c r="Q10" s="234" t="n">
        <v>3</v>
      </c>
    </row>
    <row r="11">
      <c r="A11" s="18" t="n">
        <v>3</v>
      </c>
      <c r="B11" s="19" t="inlineStr">
        <is>
          <t xml:space="preserve">        Faceplate 2 Puertos</t>
        </is>
      </c>
      <c r="C11" s="20" t="inlineStr">
        <is>
          <t>Residencial / Comercial / Ind</t>
        </is>
      </c>
      <c r="D11" s="18" t="inlineStr">
        <is>
          <t>Faceplates</t>
        </is>
      </c>
      <c r="E11" s="18" t="inlineStr">
        <is>
          <t>U</t>
        </is>
      </c>
      <c r="F11" s="21" t="n">
        <v>20</v>
      </c>
      <c r="G11" s="22" t="n">
        <v>1.6</v>
      </c>
      <c r="H11" s="22" t="n">
        <v>1.63</v>
      </c>
      <c r="I11" s="18" t="inlineStr">
        <is>
          <t>Megametales</t>
        </is>
      </c>
      <c r="J11" s="22" t="n">
        <v>1.71</v>
      </c>
      <c r="K11" s="18" t="inlineStr">
        <is>
          <t>Kywi / Megakywi</t>
        </is>
      </c>
      <c r="L11" s="8">
        <f>F11*G11</f>
        <v/>
      </c>
      <c r="M11" s="145" t="inlineStr">
        <is>
          <t>COM-D50-PTO-FAC-2P</t>
        </is>
      </c>
      <c r="N11" s="18" t="inlineStr">
        <is>
          <t>Comunicaciones (datos, voz, audio, llamado)</t>
        </is>
      </c>
      <c r="O11" s="18" t="inlineStr">
        <is>
          <t>Estimado DION · criterio de mercado Guayaquil 2026 (no verificado en tienda)</t>
        </is>
      </c>
      <c r="P11" s="18" t="inlineStr">
        <is>
          <t>oct-2026 (est.)</t>
        </is>
      </c>
      <c r="Q11" s="18" t="n"/>
    </row>
    <row r="12">
      <c r="A12" s="234" t="n">
        <v>4</v>
      </c>
      <c r="B12" s="235" t="inlineStr">
        <is>
          <t xml:space="preserve">        Patch Cord Cat 6 1 m</t>
        </is>
      </c>
      <c r="C12" s="236" t="inlineStr">
        <is>
          <t>Residencial / Comercial / Ind</t>
        </is>
      </c>
      <c r="D12" s="234" t="inlineStr">
        <is>
          <t>Patch Cords</t>
        </is>
      </c>
      <c r="E12" s="234" t="inlineStr">
        <is>
          <t>U</t>
        </is>
      </c>
      <c r="F12" s="237" t="n">
        <v>40</v>
      </c>
      <c r="G12" s="238" t="n">
        <v>2.8</v>
      </c>
      <c r="H12" s="238" t="n">
        <v>2.86</v>
      </c>
      <c r="I12" s="234" t="inlineStr">
        <is>
          <t>Megametales</t>
        </is>
      </c>
      <c r="J12" s="238" t="n">
        <v>3</v>
      </c>
      <c r="K12" s="234" t="inlineStr">
        <is>
          <t>Kywi / Megakywi</t>
        </is>
      </c>
      <c r="L12" s="239">
        <f>F12*G12</f>
        <v/>
      </c>
      <c r="M12" s="240" t="inlineStr">
        <is>
          <t>COM-D50-PTO-PCH-C6-1M</t>
        </is>
      </c>
      <c r="N12" s="234" t="inlineStr">
        <is>
          <t>Comunicaciones (datos, voz, audio, llamado)</t>
        </is>
      </c>
      <c r="O12" s="234" t="inlineStr">
        <is>
          <t>Estimado DION · criterio de mercado Guayaquil 2026 (no verificado en tienda)</t>
        </is>
      </c>
      <c r="P12" s="234" t="inlineStr">
        <is>
          <t>oct-2026 (est.)</t>
        </is>
      </c>
      <c r="Q12" s="234" t="n"/>
    </row>
    <row r="13">
      <c r="A13" s="18" t="n">
        <v>5</v>
      </c>
      <c r="B13" s="19" t="inlineStr">
        <is>
          <t xml:space="preserve">        Patch Cord Cat 6 3 m</t>
        </is>
      </c>
      <c r="C13" s="20" t="inlineStr">
        <is>
          <t>Residencial / Comercial / Ind</t>
        </is>
      </c>
      <c r="D13" s="18" t="inlineStr">
        <is>
          <t>Patch Cords</t>
        </is>
      </c>
      <c r="E13" s="18" t="inlineStr">
        <is>
          <t>U</t>
        </is>
      </c>
      <c r="F13" s="21" t="n">
        <v>40</v>
      </c>
      <c r="G13" s="22" t="n">
        <v>4.2</v>
      </c>
      <c r="H13" s="22" t="n">
        <v>4.37</v>
      </c>
      <c r="I13" s="18" t="inlineStr">
        <is>
          <t>Megametales</t>
        </is>
      </c>
      <c r="J13" s="22" t="n">
        <v>4.58</v>
      </c>
      <c r="K13" s="18" t="inlineStr">
        <is>
          <t>Kywi / Megakywi</t>
        </is>
      </c>
      <c r="L13" s="8">
        <f>F13*G13</f>
        <v/>
      </c>
      <c r="M13" s="145" t="inlineStr">
        <is>
          <t>COM-D50-PTO-PCH-C6-3M</t>
        </is>
      </c>
      <c r="N13" s="18" t="inlineStr">
        <is>
          <t>Comunicaciones (datos, voz, audio, llamado)</t>
        </is>
      </c>
      <c r="O13" s="18" t="inlineStr">
        <is>
          <t>Estimado DION · criterio de mercado Guayaquil 2026 (no verificado en tienda)</t>
        </is>
      </c>
      <c r="P13" s="18" t="inlineStr">
        <is>
          <t>oct-2026 (est.)</t>
        </is>
      </c>
      <c r="Q13" s="18" t="n"/>
    </row>
    <row r="14">
      <c r="A14" s="234" t="n">
        <v>6</v>
      </c>
      <c r="B14" s="235" t="inlineStr">
        <is>
          <t xml:space="preserve">        Conector RJ45 Cat 6 (Ciento)</t>
        </is>
      </c>
      <c r="C14" s="236" t="inlineStr">
        <is>
          <t>Residencial / Comercial / Ind</t>
        </is>
      </c>
      <c r="D14" s="234" t="inlineStr">
        <is>
          <t>Conectores</t>
        </is>
      </c>
      <c r="E14" s="234" t="inlineStr">
        <is>
          <t>Ciento</t>
        </is>
      </c>
      <c r="F14" s="237" t="n">
        <v>1</v>
      </c>
      <c r="G14" s="238" t="n">
        <v>18</v>
      </c>
      <c r="H14" s="238" t="n">
        <v>18.54</v>
      </c>
      <c r="I14" s="234" t="inlineStr">
        <is>
          <t>Megametales</t>
        </is>
      </c>
      <c r="J14" s="238" t="n">
        <v>19.8</v>
      </c>
      <c r="K14" s="234" t="inlineStr">
        <is>
          <t>Kywi / Megakywi</t>
        </is>
      </c>
      <c r="L14" s="239">
        <f>F14*G14</f>
        <v/>
      </c>
      <c r="M14" s="240" t="inlineStr">
        <is>
          <t>COM-D50-PTO-CON-RJ45</t>
        </is>
      </c>
      <c r="N14" s="234" t="inlineStr">
        <is>
          <t>Comunicaciones (datos, voz, audio, llamado)</t>
        </is>
      </c>
      <c r="O14" s="234" t="inlineStr">
        <is>
          <t>Estimado DION · criterio de mercado Guayaquil 2026 (no verificado en tienda)</t>
        </is>
      </c>
      <c r="P14" s="234" t="inlineStr">
        <is>
          <t>oct-2026 (est.)</t>
        </is>
      </c>
      <c r="Q14" s="234" t="n">
        <v>5</v>
      </c>
    </row>
    <row r="15">
      <c r="A15" s="18" t="n">
        <v>7</v>
      </c>
      <c r="B15" s="19" t="inlineStr">
        <is>
          <t xml:space="preserve">        Conector F Compresión RG6 (Ciento)</t>
        </is>
      </c>
      <c r="C15" s="20" t="inlineStr">
        <is>
          <t>Residencial / Comercial / Ind</t>
        </is>
      </c>
      <c r="D15" s="18" t="inlineStr">
        <is>
          <t>Conectores</t>
        </is>
      </c>
      <c r="E15" s="18" t="inlineStr">
        <is>
          <t>Ciento</t>
        </is>
      </c>
      <c r="F15" s="21" t="n">
        <v>1</v>
      </c>
      <c r="G15" s="22" t="n">
        <v>22</v>
      </c>
      <c r="H15" s="22" t="n">
        <v>23.1</v>
      </c>
      <c r="I15" s="18" t="inlineStr">
        <is>
          <t>Megametales</t>
        </is>
      </c>
      <c r="J15" s="22" t="n">
        <v>24.2</v>
      </c>
      <c r="K15" s="18" t="inlineStr">
        <is>
          <t>Kywi / Megakywi</t>
        </is>
      </c>
      <c r="L15" s="8">
        <f>F15*G15</f>
        <v/>
      </c>
      <c r="M15" s="145" t="inlineStr">
        <is>
          <t>COM-D50-PTO-CON-F</t>
        </is>
      </c>
      <c r="N15" s="18" t="inlineStr">
        <is>
          <t>Comunicaciones (datos, voz, audio, llamado)</t>
        </is>
      </c>
      <c r="O15" s="18" t="inlineStr">
        <is>
          <t>Estimado DION · criterio de mercado Guayaquil 2026 (no verificado en tienda)</t>
        </is>
      </c>
      <c r="P15" s="18" t="inlineStr">
        <is>
          <t>oct-2026 (est.)</t>
        </is>
      </c>
      <c r="Q15" s="18" t="n">
        <v>5</v>
      </c>
    </row>
    <row r="16">
      <c r="A16" s="234" t="n">
        <v>8</v>
      </c>
      <c r="B16" s="235" t="inlineStr">
        <is>
          <t xml:space="preserve">        Patch Cord Fibra LC-LC Duplex 3 m</t>
        </is>
      </c>
      <c r="C16" s="236" t="inlineStr">
        <is>
          <t>Residencial / Comercial / Ind</t>
        </is>
      </c>
      <c r="D16" s="234" t="inlineStr">
        <is>
          <t>Patch Cords</t>
        </is>
      </c>
      <c r="E16" s="234" t="inlineStr">
        <is>
          <t>U</t>
        </is>
      </c>
      <c r="F16" s="237" t="n">
        <v>10</v>
      </c>
      <c r="G16" s="238" t="n">
        <v>9.5</v>
      </c>
      <c r="H16" s="238" t="n">
        <v>9.69</v>
      </c>
      <c r="I16" s="234" t="inlineStr">
        <is>
          <t>Megametales</t>
        </is>
      </c>
      <c r="J16" s="238" t="n">
        <v>10.36</v>
      </c>
      <c r="K16" s="234" t="inlineStr">
        <is>
          <t>Kywi / Megakywi</t>
        </is>
      </c>
      <c r="L16" s="239">
        <f>F16*G16</f>
        <v/>
      </c>
      <c r="M16" s="240" t="inlineStr">
        <is>
          <t>COM-D50-PTO-PCH-FO</t>
        </is>
      </c>
      <c r="N16" s="234" t="inlineStr">
        <is>
          <t>Comunicaciones (datos, voz, audio, llamado)</t>
        </is>
      </c>
      <c r="O16" s="234" t="inlineStr">
        <is>
          <t>Estimado DION · criterio de mercado Guayaquil 2026 (no verificado en tienda)</t>
        </is>
      </c>
      <c r="P16" s="234" t="inlineStr">
        <is>
          <t>oct-2026 (est.)</t>
        </is>
      </c>
      <c r="Q16" s="234" t="n"/>
    </row>
    <row r="17">
      <c r="A17" s="18" t="n">
        <v>9</v>
      </c>
      <c r="B17" s="19" t="inlineStr">
        <is>
          <t xml:space="preserve">        Punto de Datos Cat 6 Completo (Rubro, ≤30 m)</t>
        </is>
      </c>
      <c r="C17" s="20" t="inlineStr">
        <is>
          <t>Residencial / Comercial / Ind</t>
        </is>
      </c>
      <c r="D17" s="18" t="inlineStr">
        <is>
          <t>Puntos Datos</t>
        </is>
      </c>
      <c r="E17" s="18" t="inlineStr">
        <is>
          <t>U</t>
        </is>
      </c>
      <c r="F17" s="21" t="n">
        <v>20</v>
      </c>
      <c r="G17" s="22" t="n">
        <v>58</v>
      </c>
      <c r="H17" s="22" t="n">
        <v>60.9</v>
      </c>
      <c r="I17" s="18" t="inlineStr">
        <is>
          <t>Megametales</t>
        </is>
      </c>
      <c r="J17" s="22" t="n">
        <v>63.8</v>
      </c>
      <c r="K17" s="18" t="inlineStr">
        <is>
          <t>Kywi / Megakywi</t>
        </is>
      </c>
      <c r="L17" s="8">
        <f>F17*G17</f>
        <v/>
      </c>
      <c r="M17" s="145" t="inlineStr">
        <is>
          <t>COM-D50-PTO-DAT-C6</t>
        </is>
      </c>
      <c r="N17" s="18" t="inlineStr">
        <is>
          <t>Comunicaciones (datos, voz, audio, llamado)</t>
        </is>
      </c>
      <c r="O17" s="18" t="inlineStr">
        <is>
          <t>Estimado DION · criterio de mercado Guayaquil 2026 (no verificado en tienda)</t>
        </is>
      </c>
      <c r="P17" s="18" t="inlineStr">
        <is>
          <t>oct-2026 (est.)</t>
        </is>
      </c>
      <c r="Q17" s="18" t="n"/>
    </row>
    <row r="18">
      <c r="A18" s="234" t="n">
        <v>10</v>
      </c>
      <c r="B18" s="235" t="inlineStr">
        <is>
          <t xml:space="preserve">        Punto de Datos Cat 6A Completo (Rubro)</t>
        </is>
      </c>
      <c r="C18" s="236" t="inlineStr">
        <is>
          <t>Residencial / Comercial / Ind</t>
        </is>
      </c>
      <c r="D18" s="234" t="inlineStr">
        <is>
          <t>Puntos Datos</t>
        </is>
      </c>
      <c r="E18" s="234" t="inlineStr">
        <is>
          <t>U</t>
        </is>
      </c>
      <c r="F18" s="237" t="n">
        <v>10</v>
      </c>
      <c r="G18" s="238" t="n">
        <v>85</v>
      </c>
      <c r="H18" s="238" t="n">
        <v>87.55</v>
      </c>
      <c r="I18" s="234" t="inlineStr">
        <is>
          <t>Megametales</t>
        </is>
      </c>
      <c r="J18" s="238" t="n">
        <v>94.34999999999999</v>
      </c>
      <c r="K18" s="234" t="inlineStr">
        <is>
          <t>Kywi / Megakywi</t>
        </is>
      </c>
      <c r="L18" s="239">
        <f>F18*G18</f>
        <v/>
      </c>
      <c r="M18" s="240" t="inlineStr">
        <is>
          <t>COM-D50-PTO-DAT-C6A</t>
        </is>
      </c>
      <c r="N18" s="234" t="inlineStr">
        <is>
          <t>Comunicaciones (datos, voz, audio, llamado)</t>
        </is>
      </c>
      <c r="O18" s="234" t="inlineStr">
        <is>
          <t>Estimado DION · criterio de mercado Guayaquil 2026 (no verificado en tienda)</t>
        </is>
      </c>
      <c r="P18" s="234" t="inlineStr">
        <is>
          <t>oct-2026 (est.)</t>
        </is>
      </c>
      <c r="Q18" s="234" t="n"/>
    </row>
    <row r="19">
      <c r="A19" s="18" t="n">
        <v>11</v>
      </c>
      <c r="B19" s="19" t="inlineStr">
        <is>
          <t xml:space="preserve">        Punto de Voz Completo (Rubro)</t>
        </is>
      </c>
      <c r="C19" s="20" t="inlineStr">
        <is>
          <t>Residencial / Comercial / Ind</t>
        </is>
      </c>
      <c r="D19" s="18" t="inlineStr">
        <is>
          <t>Puntos Voz</t>
        </is>
      </c>
      <c r="E19" s="18" t="inlineStr">
        <is>
          <t>U</t>
        </is>
      </c>
      <c r="F19" s="21" t="n">
        <v>10</v>
      </c>
      <c r="G19" s="22" t="n">
        <v>48</v>
      </c>
      <c r="H19" s="22" t="n">
        <v>48.96</v>
      </c>
      <c r="I19" s="18" t="inlineStr">
        <is>
          <t>Megametales</t>
        </is>
      </c>
      <c r="J19" s="22" t="n">
        <v>52.32</v>
      </c>
      <c r="K19" s="18" t="inlineStr">
        <is>
          <t>Kywi / Megakywi</t>
        </is>
      </c>
      <c r="L19" s="8">
        <f>F19*G19</f>
        <v/>
      </c>
      <c r="M19" s="145" t="inlineStr">
        <is>
          <t>COM-D50-PTO-VOZ</t>
        </is>
      </c>
      <c r="N19" s="18" t="inlineStr">
        <is>
          <t>Comunicaciones (datos, voz, audio, llamado)</t>
        </is>
      </c>
      <c r="O19" s="18" t="inlineStr">
        <is>
          <t>Estimado DION · criterio de mercado Guayaquil 2026 (no verificado en tienda)</t>
        </is>
      </c>
      <c r="P19" s="18" t="inlineStr">
        <is>
          <t>oct-2026 (est.)</t>
        </is>
      </c>
      <c r="Q19" s="18" t="n"/>
    </row>
    <row r="20">
      <c r="A20" s="234" t="n">
        <v>12</v>
      </c>
      <c r="B20" s="235" t="inlineStr">
        <is>
          <t xml:space="preserve">        Punto de TV Coaxial RG6 (Rubro)</t>
        </is>
      </c>
      <c r="C20" s="236" t="inlineStr">
        <is>
          <t>Residencial / Comercial / Ind</t>
        </is>
      </c>
      <c r="D20" s="234" t="inlineStr">
        <is>
          <t>Puntos TV</t>
        </is>
      </c>
      <c r="E20" s="234" t="inlineStr">
        <is>
          <t>U</t>
        </is>
      </c>
      <c r="F20" s="237" t="n">
        <v>10</v>
      </c>
      <c r="G20" s="238" t="n">
        <v>38</v>
      </c>
      <c r="H20" s="238" t="n">
        <v>39.14</v>
      </c>
      <c r="I20" s="234" t="inlineStr">
        <is>
          <t>Megametales</t>
        </is>
      </c>
      <c r="J20" s="238" t="n">
        <v>42.18</v>
      </c>
      <c r="K20" s="234" t="inlineStr">
        <is>
          <t>Kywi / Megakywi</t>
        </is>
      </c>
      <c r="L20" s="239">
        <f>F20*G20</f>
        <v/>
      </c>
      <c r="M20" s="240" t="inlineStr">
        <is>
          <t>COM-D50-PTO-TV-RG6</t>
        </is>
      </c>
      <c r="N20" s="234" t="inlineStr">
        <is>
          <t>Comunicaciones (datos, voz, audio, llamado)</t>
        </is>
      </c>
      <c r="O20" s="234" t="inlineStr">
        <is>
          <t>Estimado DION · criterio de mercado Guayaquil 2026 (no verificado en tienda)</t>
        </is>
      </c>
      <c r="P20" s="234" t="inlineStr">
        <is>
          <t>oct-2026 (est.)</t>
        </is>
      </c>
      <c r="Q20" s="234" t="n"/>
    </row>
    <row r="21">
      <c r="A21" s="18" t="n">
        <v>13</v>
      </c>
      <c r="B21" s="19" t="inlineStr">
        <is>
          <t xml:space="preserve">        Punto para Access Point en Techo (Rubro)</t>
        </is>
      </c>
      <c r="C21" s="20" t="inlineStr">
        <is>
          <t>Residencial / Comercial / Ind</t>
        </is>
      </c>
      <c r="D21" s="18" t="inlineStr">
        <is>
          <t>Puntos WiFi</t>
        </is>
      </c>
      <c r="E21" s="18" t="inlineStr">
        <is>
          <t>U</t>
        </is>
      </c>
      <c r="F21" s="21" t="n">
        <v>6</v>
      </c>
      <c r="G21" s="22" t="n">
        <v>62</v>
      </c>
      <c r="H21" s="22" t="n">
        <v>64.48</v>
      </c>
      <c r="I21" s="18" t="inlineStr">
        <is>
          <t>Megametales</t>
        </is>
      </c>
      <c r="J21" s="22" t="n">
        <v>68.2</v>
      </c>
      <c r="K21" s="18" t="inlineStr">
        <is>
          <t>Kywi / Megakywi</t>
        </is>
      </c>
      <c r="L21" s="8">
        <f>F21*G21</f>
        <v/>
      </c>
      <c r="M21" s="145" t="inlineStr">
        <is>
          <t>COM-D50-PTO-AP-TEC</t>
        </is>
      </c>
      <c r="N21" s="18" t="inlineStr">
        <is>
          <t>Comunicaciones (datos, voz, audio, llamado)</t>
        </is>
      </c>
      <c r="O21" s="18" t="inlineStr">
        <is>
          <t>Estimado DION · criterio de mercado Guayaquil 2026 (no verificado en tienda)</t>
        </is>
      </c>
      <c r="P21" s="18" t="inlineStr">
        <is>
          <t>oct-2026 (est.)</t>
        </is>
      </c>
      <c r="Q21" s="18" t="n"/>
    </row>
    <row r="22">
      <c r="A22" s="234" t="n">
        <v>14</v>
      </c>
      <c r="B22" s="235" t="inlineStr">
        <is>
          <t xml:space="preserve">        Punto para Cámara PoE (Rubro)</t>
        </is>
      </c>
      <c r="C22" s="236" t="inlineStr">
        <is>
          <t>Residencial / Comercial / Ind</t>
        </is>
      </c>
      <c r="D22" s="234" t="inlineStr">
        <is>
          <t>Puntos CCTV</t>
        </is>
      </c>
      <c r="E22" s="234" t="inlineStr">
        <is>
          <t>U</t>
        </is>
      </c>
      <c r="F22" s="237" t="n">
        <v>8</v>
      </c>
      <c r="G22" s="238" t="n">
        <v>62</v>
      </c>
      <c r="H22" s="238" t="n">
        <v>63.24</v>
      </c>
      <c r="I22" s="234" t="inlineStr">
        <is>
          <t>Megametales</t>
        </is>
      </c>
      <c r="J22" s="238" t="n">
        <v>67.58</v>
      </c>
      <c r="K22" s="234" t="inlineStr">
        <is>
          <t>Kywi / Megakywi</t>
        </is>
      </c>
      <c r="L22" s="239">
        <f>F22*G22</f>
        <v/>
      </c>
      <c r="M22" s="240" t="inlineStr">
        <is>
          <t>COM-D50-PTO-CAM-POE</t>
        </is>
      </c>
      <c r="N22" s="234" t="inlineStr">
        <is>
          <t>Comunicaciones (datos, voz, audio, llamado)</t>
        </is>
      </c>
      <c r="O22" s="234" t="inlineStr">
        <is>
          <t>Estimado DION · criterio de mercado Guayaquil 2026 (no verificado en tienda)</t>
        </is>
      </c>
      <c r="P22" s="234" t="inlineStr">
        <is>
          <t>oct-2026 (est.)</t>
        </is>
      </c>
      <c r="Q22" s="234" t="n"/>
    </row>
    <row r="23">
      <c r="A23" s="231" t="inlineStr">
        <is>
          <t>TUBERÍAS</t>
        </is>
      </c>
      <c r="B23" s="143" t="n"/>
      <c r="C23" s="143" t="n"/>
      <c r="D23" s="143" t="n"/>
      <c r="E23" s="143" t="n"/>
      <c r="F23" s="143" t="n"/>
      <c r="G23" s="143" t="n"/>
      <c r="H23" s="143" t="n"/>
      <c r="I23" s="143" t="n"/>
      <c r="J23" s="143" t="n"/>
      <c r="K23" s="143" t="n"/>
      <c r="L23" s="143" t="n"/>
      <c r="M23" s="143" t="n"/>
      <c r="N23" s="143" t="n"/>
      <c r="O23" s="143" t="n"/>
      <c r="P23" s="143" t="n"/>
      <c r="Q23" s="144" t="n"/>
    </row>
    <row r="24">
      <c r="A24" s="232" t="inlineStr">
        <is>
          <t xml:space="preserve">  ► CATEGORÍA: CABLEADO Y FIBRA ÓPTICA</t>
        </is>
      </c>
      <c r="B24" s="143" t="n"/>
      <c r="C24" s="143" t="n"/>
      <c r="D24" s="143" t="n"/>
      <c r="E24" s="143" t="n"/>
      <c r="F24" s="143" t="n"/>
      <c r="G24" s="143" t="n"/>
      <c r="H24" s="143" t="n"/>
      <c r="I24" s="143" t="n"/>
      <c r="J24" s="143" t="n"/>
      <c r="K24" s="143" t="n"/>
      <c r="L24" s="143" t="n"/>
      <c r="M24" s="143" t="n"/>
      <c r="N24" s="143" t="n"/>
      <c r="O24" s="143" t="n"/>
      <c r="P24" s="143" t="n"/>
      <c r="Q24" s="144" t="n"/>
    </row>
    <row r="25">
      <c r="A25" s="233" t="inlineStr">
        <is>
          <t xml:space="preserve">      • Subcategoría Especificada: Por Categoría y Tipo (m)</t>
        </is>
      </c>
      <c r="B25" s="143" t="n"/>
      <c r="C25" s="143" t="n"/>
      <c r="D25" s="143" t="n"/>
      <c r="E25" s="143" t="n"/>
      <c r="F25" s="143" t="n"/>
      <c r="G25" s="143" t="n"/>
      <c r="H25" s="143" t="n"/>
      <c r="I25" s="143" t="n"/>
      <c r="J25" s="143" t="n"/>
      <c r="K25" s="143" t="n"/>
      <c r="L25" s="143" t="n"/>
      <c r="M25" s="143" t="n"/>
      <c r="N25" s="143" t="n"/>
      <c r="O25" s="143" t="n"/>
      <c r="P25" s="143" t="n"/>
      <c r="Q25" s="144" t="n"/>
    </row>
    <row r="26">
      <c r="A26" s="18" t="n">
        <v>15</v>
      </c>
      <c r="B26" s="19" t="inlineStr">
        <is>
          <t xml:space="preserve">        Cable UTP Cat 6 LSZH (m)</t>
        </is>
      </c>
      <c r="C26" s="20" t="inlineStr">
        <is>
          <t>Residencial / Comercial / Ind</t>
        </is>
      </c>
      <c r="D26" s="18" t="inlineStr">
        <is>
          <t>Cable UTP</t>
        </is>
      </c>
      <c r="E26" s="18" t="inlineStr">
        <is>
          <t>m</t>
        </is>
      </c>
      <c r="F26" s="21" t="n">
        <v>300</v>
      </c>
      <c r="G26" s="22" t="n">
        <v>0.58</v>
      </c>
      <c r="H26" s="22" t="n">
        <v>0.6</v>
      </c>
      <c r="I26" s="18" t="inlineStr">
        <is>
          <t>Megametales</t>
        </is>
      </c>
      <c r="J26" s="22" t="n">
        <v>0.63</v>
      </c>
      <c r="K26" s="18" t="inlineStr">
        <is>
          <t>Kywi / Megakywi</t>
        </is>
      </c>
      <c r="L26" s="8">
        <f>F26*G26</f>
        <v/>
      </c>
      <c r="M26" s="145" t="inlineStr">
        <is>
          <t>COM-D50-CAB-UTP-C6</t>
        </is>
      </c>
      <c r="N26" s="18" t="inlineStr">
        <is>
          <t>Comunicaciones (datos, voz, audio, llamado)</t>
        </is>
      </c>
      <c r="O26" s="18" t="inlineStr">
        <is>
          <t>Estimado DION · criterio de mercado Guayaquil 2026 (no verificado en tienda)</t>
        </is>
      </c>
      <c r="P26" s="18" t="inlineStr">
        <is>
          <t>oct-2026 (est.)</t>
        </is>
      </c>
      <c r="Q26" s="18" t="n">
        <v>5</v>
      </c>
    </row>
    <row r="27">
      <c r="A27" s="234" t="n">
        <v>16</v>
      </c>
      <c r="B27" s="235" t="inlineStr">
        <is>
          <t xml:space="preserve">        Cable F/UTP Cat 6A (m)</t>
        </is>
      </c>
      <c r="C27" s="236" t="inlineStr">
        <is>
          <t>Residencial / Comercial / Ind</t>
        </is>
      </c>
      <c r="D27" s="234" t="inlineStr">
        <is>
          <t>Cable FTP</t>
        </is>
      </c>
      <c r="E27" s="234" t="inlineStr">
        <is>
          <t>m</t>
        </is>
      </c>
      <c r="F27" s="237" t="n">
        <v>150</v>
      </c>
      <c r="G27" s="238" t="n">
        <v>1.25</v>
      </c>
      <c r="H27" s="238" t="n">
        <v>1.31</v>
      </c>
      <c r="I27" s="234" t="inlineStr">
        <is>
          <t>Megametales</t>
        </is>
      </c>
      <c r="J27" s="238" t="n">
        <v>1.35</v>
      </c>
      <c r="K27" s="234" t="inlineStr">
        <is>
          <t>Kywi / Megakywi</t>
        </is>
      </c>
      <c r="L27" s="239">
        <f>F27*G27</f>
        <v/>
      </c>
      <c r="M27" s="240" t="inlineStr">
        <is>
          <t>COM-D50-CAB-FTP-C6A</t>
        </is>
      </c>
      <c r="N27" s="234" t="inlineStr">
        <is>
          <t>Comunicaciones (datos, voz, audio, llamado)</t>
        </is>
      </c>
      <c r="O27" s="234" t="inlineStr">
        <is>
          <t>Estimado DION · criterio de mercado Guayaquil 2026 (no verificado en tienda)</t>
        </is>
      </c>
      <c r="P27" s="234" t="inlineStr">
        <is>
          <t>oct-2026 (est.)</t>
        </is>
      </c>
      <c r="Q27" s="234" t="n">
        <v>5</v>
      </c>
    </row>
    <row r="28">
      <c r="A28" s="18" t="n">
        <v>17</v>
      </c>
      <c r="B28" s="19" t="inlineStr">
        <is>
          <t xml:space="preserve">        Fibra Óptica Multimodo OM3 12 Hilos (m)</t>
        </is>
      </c>
      <c r="C28" s="20" t="inlineStr">
        <is>
          <t>Residencial / Comercial / Ind</t>
        </is>
      </c>
      <c r="D28" s="18" t="inlineStr">
        <is>
          <t>Fibra Óptica</t>
        </is>
      </c>
      <c r="E28" s="18" t="inlineStr">
        <is>
          <t>m</t>
        </is>
      </c>
      <c r="F28" s="21" t="n">
        <v>100</v>
      </c>
      <c r="G28" s="22" t="n">
        <v>2.9</v>
      </c>
      <c r="H28" s="22" t="n">
        <v>3.02</v>
      </c>
      <c r="I28" s="18" t="inlineStr">
        <is>
          <t>Megametales</t>
        </is>
      </c>
      <c r="J28" s="22" t="n">
        <v>3.19</v>
      </c>
      <c r="K28" s="18" t="inlineStr">
        <is>
          <t>Kywi / Megakywi</t>
        </is>
      </c>
      <c r="L28" s="8">
        <f>F28*G28</f>
        <v/>
      </c>
      <c r="M28" s="145" t="inlineStr">
        <is>
          <t>COM-D50-CAB-FO-OM3-12H</t>
        </is>
      </c>
      <c r="N28" s="18" t="inlineStr">
        <is>
          <t>Comunicaciones (datos, voz, audio, llamado)</t>
        </is>
      </c>
      <c r="O28" s="18" t="inlineStr">
        <is>
          <t>Estimado DION · criterio de mercado Guayaquil 2026 (no verificado en tienda)</t>
        </is>
      </c>
      <c r="P28" s="18" t="inlineStr">
        <is>
          <t>oct-2026 (est.)</t>
        </is>
      </c>
      <c r="Q28" s="18" t="n">
        <v>5</v>
      </c>
    </row>
    <row r="29">
      <c r="A29" s="234" t="n">
        <v>18</v>
      </c>
      <c r="B29" s="235" t="inlineStr">
        <is>
          <t xml:space="preserve">        Fibra Óptica Multimodo OM4 24 Hilos (m)</t>
        </is>
      </c>
      <c r="C29" s="236" t="inlineStr">
        <is>
          <t>Residencial / Comercial / Ind</t>
        </is>
      </c>
      <c r="D29" s="234" t="inlineStr">
        <is>
          <t>Fibra Óptica</t>
        </is>
      </c>
      <c r="E29" s="234" t="inlineStr">
        <is>
          <t>m</t>
        </is>
      </c>
      <c r="F29" s="237" t="n">
        <v>100</v>
      </c>
      <c r="G29" s="238" t="n">
        <v>5.6</v>
      </c>
      <c r="H29" s="238" t="n">
        <v>5.71</v>
      </c>
      <c r="I29" s="234" t="inlineStr">
        <is>
          <t>Megametales</t>
        </is>
      </c>
      <c r="J29" s="238" t="n">
        <v>6.22</v>
      </c>
      <c r="K29" s="234" t="inlineStr">
        <is>
          <t>Kywi / Megakywi</t>
        </is>
      </c>
      <c r="L29" s="239">
        <f>F29*G29</f>
        <v/>
      </c>
      <c r="M29" s="240" t="inlineStr">
        <is>
          <t>COM-D50-CAB-FO-OM4-24H</t>
        </is>
      </c>
      <c r="N29" s="234" t="inlineStr">
        <is>
          <t>Comunicaciones (datos, voz, audio, llamado)</t>
        </is>
      </c>
      <c r="O29" s="234" t="inlineStr">
        <is>
          <t>Estimado DION · criterio de mercado Guayaquil 2026 (no verificado en tienda)</t>
        </is>
      </c>
      <c r="P29" s="234" t="inlineStr">
        <is>
          <t>oct-2026 (est.)</t>
        </is>
      </c>
      <c r="Q29" s="234" t="n">
        <v>5</v>
      </c>
    </row>
    <row r="30">
      <c r="A30" s="18" t="n">
        <v>19</v>
      </c>
      <c r="B30" s="19" t="inlineStr">
        <is>
          <t xml:space="preserve">        Fibra Óptica Monomodo OS2 6 Hilos Exterior (m)</t>
        </is>
      </c>
      <c r="C30" s="20" t="inlineStr">
        <is>
          <t>Residencial / Comercial / Ind</t>
        </is>
      </c>
      <c r="D30" s="18" t="inlineStr">
        <is>
          <t>Fibra Óptica</t>
        </is>
      </c>
      <c r="E30" s="18" t="inlineStr">
        <is>
          <t>m</t>
        </is>
      </c>
      <c r="F30" s="21" t="n">
        <v>100</v>
      </c>
      <c r="G30" s="22" t="n">
        <v>1.45</v>
      </c>
      <c r="H30" s="22" t="n">
        <v>1.49</v>
      </c>
      <c r="I30" s="18" t="inlineStr">
        <is>
          <t>Megametales</t>
        </is>
      </c>
      <c r="J30" s="22" t="n">
        <v>1.59</v>
      </c>
      <c r="K30" s="18" t="inlineStr">
        <is>
          <t>Kywi / Megakywi</t>
        </is>
      </c>
      <c r="L30" s="8">
        <f>F30*G30</f>
        <v/>
      </c>
      <c r="M30" s="145" t="inlineStr">
        <is>
          <t>COM-D50-CAB-FO-OS2-06H</t>
        </is>
      </c>
      <c r="N30" s="18" t="inlineStr">
        <is>
          <t>Comunicaciones (datos, voz, audio, llamado)</t>
        </is>
      </c>
      <c r="O30" s="18" t="inlineStr">
        <is>
          <t>Estimado DION · criterio de mercado Guayaquil 2026 (no verificado en tienda)</t>
        </is>
      </c>
      <c r="P30" s="18" t="inlineStr">
        <is>
          <t>oct-2026 (est.)</t>
        </is>
      </c>
      <c r="Q30" s="18" t="n">
        <v>5</v>
      </c>
    </row>
    <row r="31">
      <c r="A31" s="234" t="n">
        <v>20</v>
      </c>
      <c r="B31" s="235" t="inlineStr">
        <is>
          <t xml:space="preserve">        Fibra Óptica Monomodo OS2 12 Hilos (m)</t>
        </is>
      </c>
      <c r="C31" s="236" t="inlineStr">
        <is>
          <t>Residencial / Comercial / Ind</t>
        </is>
      </c>
      <c r="D31" s="234" t="inlineStr">
        <is>
          <t>Fibra Óptica</t>
        </is>
      </c>
      <c r="E31" s="234" t="inlineStr">
        <is>
          <t>m</t>
        </is>
      </c>
      <c r="F31" s="237" t="n">
        <v>100</v>
      </c>
      <c r="G31" s="238" t="n">
        <v>1.85</v>
      </c>
      <c r="H31" s="238" t="n">
        <v>1.91</v>
      </c>
      <c r="I31" s="234" t="inlineStr">
        <is>
          <t>Megametales</t>
        </is>
      </c>
      <c r="J31" s="238" t="n">
        <v>2.05</v>
      </c>
      <c r="K31" s="234" t="inlineStr">
        <is>
          <t>Kywi / Megakywi</t>
        </is>
      </c>
      <c r="L31" s="239">
        <f>F31*G31</f>
        <v/>
      </c>
      <c r="M31" s="240" t="inlineStr">
        <is>
          <t>COM-D50-CAB-FO-OS2-12H</t>
        </is>
      </c>
      <c r="N31" s="234" t="inlineStr">
        <is>
          <t>Comunicaciones (datos, voz, audio, llamado)</t>
        </is>
      </c>
      <c r="O31" s="234" t="inlineStr">
        <is>
          <t>Estimado DION · criterio de mercado Guayaquil 2026 (no verificado en tienda)</t>
        </is>
      </c>
      <c r="P31" s="234" t="inlineStr">
        <is>
          <t>oct-2026 (est.)</t>
        </is>
      </c>
      <c r="Q31" s="234" t="n">
        <v>5</v>
      </c>
    </row>
    <row r="32">
      <c r="A32" s="18" t="n">
        <v>21</v>
      </c>
      <c r="B32" s="19" t="inlineStr">
        <is>
          <t xml:space="preserve">        Cable Coaxial RG6 (m)</t>
        </is>
      </c>
      <c r="C32" s="20" t="inlineStr">
        <is>
          <t>Residencial / Comercial / Ind</t>
        </is>
      </c>
      <c r="D32" s="18" t="inlineStr">
        <is>
          <t>Cable Coaxial</t>
        </is>
      </c>
      <c r="E32" s="18" t="inlineStr">
        <is>
          <t>m</t>
        </is>
      </c>
      <c r="F32" s="21" t="n">
        <v>100</v>
      </c>
      <c r="G32" s="22" t="n">
        <v>0.42</v>
      </c>
      <c r="H32" s="22" t="n">
        <v>0.44</v>
      </c>
      <c r="I32" s="18" t="inlineStr">
        <is>
          <t>Megametales</t>
        </is>
      </c>
      <c r="J32" s="22" t="n">
        <v>0.46</v>
      </c>
      <c r="K32" s="18" t="inlineStr">
        <is>
          <t>Kywi / Megakywi</t>
        </is>
      </c>
      <c r="L32" s="8">
        <f>F32*G32</f>
        <v/>
      </c>
      <c r="M32" s="145" t="inlineStr">
        <is>
          <t>COM-D50-CAB-RG6</t>
        </is>
      </c>
      <c r="N32" s="18" t="inlineStr">
        <is>
          <t>Comunicaciones (datos, voz, audio, llamado)</t>
        </is>
      </c>
      <c r="O32" s="18" t="inlineStr">
        <is>
          <t>Estimado DION · criterio de mercado Guayaquil 2026 (no verificado en tienda)</t>
        </is>
      </c>
      <c r="P32" s="18" t="inlineStr">
        <is>
          <t>oct-2026 (est.)</t>
        </is>
      </c>
      <c r="Q32" s="18" t="n">
        <v>5</v>
      </c>
    </row>
    <row r="33">
      <c r="A33" s="234" t="n">
        <v>22</v>
      </c>
      <c r="B33" s="235" t="inlineStr">
        <is>
          <t xml:space="preserve">        Cable Multipar Telefónico 25 Pares (m)</t>
        </is>
      </c>
      <c r="C33" s="236" t="inlineStr">
        <is>
          <t>Residencial / Comercial / Ind</t>
        </is>
      </c>
      <c r="D33" s="234" t="inlineStr">
        <is>
          <t>Multipar</t>
        </is>
      </c>
      <c r="E33" s="234" t="inlineStr">
        <is>
          <t>m</t>
        </is>
      </c>
      <c r="F33" s="237" t="n">
        <v>50</v>
      </c>
      <c r="G33" s="238" t="n">
        <v>2.4</v>
      </c>
      <c r="H33" s="238" t="n">
        <v>2.45</v>
      </c>
      <c r="I33" s="234" t="inlineStr">
        <is>
          <t>Megametales</t>
        </is>
      </c>
      <c r="J33" s="238" t="n">
        <v>2.57</v>
      </c>
      <c r="K33" s="234" t="inlineStr">
        <is>
          <t>Kywi / Megakywi</t>
        </is>
      </c>
      <c r="L33" s="239">
        <f>F33*G33</f>
        <v/>
      </c>
      <c r="M33" s="240" t="inlineStr">
        <is>
          <t>COM-D50-CAB-MUL-25P</t>
        </is>
      </c>
      <c r="N33" s="234" t="inlineStr">
        <is>
          <t>Comunicaciones (datos, voz, audio, llamado)</t>
        </is>
      </c>
      <c r="O33" s="234" t="inlineStr">
        <is>
          <t>Estimado DION · criterio de mercado Guayaquil 2026 (no verificado en tienda)</t>
        </is>
      </c>
      <c r="P33" s="234" t="inlineStr">
        <is>
          <t>oct-2026 (est.)</t>
        </is>
      </c>
      <c r="Q33" s="234" t="n">
        <v>5</v>
      </c>
    </row>
    <row r="34">
      <c r="A34" s="18" t="n">
        <v>23</v>
      </c>
      <c r="B34" s="19" t="inlineStr">
        <is>
          <t xml:space="preserve">        Cable Parlante 2x16 AWG (m)</t>
        </is>
      </c>
      <c r="C34" s="20" t="inlineStr">
        <is>
          <t>Residencial / Comercial / Ind</t>
        </is>
      </c>
      <c r="D34" s="18" t="inlineStr">
        <is>
          <t>Cable Audio</t>
        </is>
      </c>
      <c r="E34" s="18" t="inlineStr">
        <is>
          <t>m</t>
        </is>
      </c>
      <c r="F34" s="21" t="n">
        <v>100</v>
      </c>
      <c r="G34" s="22" t="n">
        <v>0.55</v>
      </c>
      <c r="H34" s="22" t="n">
        <v>0.5600000000000001</v>
      </c>
      <c r="I34" s="18" t="inlineStr">
        <is>
          <t>Megametales</t>
        </is>
      </c>
      <c r="J34" s="22" t="n">
        <v>0.6</v>
      </c>
      <c r="K34" s="18" t="inlineStr">
        <is>
          <t>Kywi / Megakywi</t>
        </is>
      </c>
      <c r="L34" s="8">
        <f>F34*G34</f>
        <v/>
      </c>
      <c r="M34" s="145" t="inlineStr">
        <is>
          <t>COM-D50-CAB-PAR-AUD</t>
        </is>
      </c>
      <c r="N34" s="18" t="inlineStr">
        <is>
          <t>Comunicaciones (datos, voz, audio, llamado)</t>
        </is>
      </c>
      <c r="O34" s="18" t="inlineStr">
        <is>
          <t>Estimado DION · criterio de mercado Guayaquil 2026 (no verificado en tienda)</t>
        </is>
      </c>
      <c r="P34" s="18" t="inlineStr">
        <is>
          <t>oct-2026 (est.)</t>
        </is>
      </c>
      <c r="Q34" s="18" t="n">
        <v>5</v>
      </c>
    </row>
    <row r="35">
      <c r="A35" s="231" t="inlineStr">
        <is>
          <t>EQUIPOS</t>
        </is>
      </c>
      <c r="B35" s="143" t="n"/>
      <c r="C35" s="143" t="n"/>
      <c r="D35" s="143" t="n"/>
      <c r="E35" s="143" t="n"/>
      <c r="F35" s="143" t="n"/>
      <c r="G35" s="143" t="n"/>
      <c r="H35" s="143" t="n"/>
      <c r="I35" s="143" t="n"/>
      <c r="J35" s="143" t="n"/>
      <c r="K35" s="143" t="n"/>
      <c r="L35" s="143" t="n"/>
      <c r="M35" s="143" t="n"/>
      <c r="N35" s="143" t="n"/>
      <c r="O35" s="143" t="n"/>
      <c r="P35" s="143" t="n"/>
      <c r="Q35" s="144" t="n"/>
    </row>
    <row r="36">
      <c r="A36" s="232" t="inlineStr">
        <is>
          <t xml:space="preserve">  ► CATEGORÍA: RACKS Y EQUIPOS ACTIVOS DE RED</t>
        </is>
      </c>
      <c r="B36" s="143" t="n"/>
      <c r="C36" s="143" t="n"/>
      <c r="D36" s="143" t="n"/>
      <c r="E36" s="143" t="n"/>
      <c r="F36" s="143" t="n"/>
      <c r="G36" s="143" t="n"/>
      <c r="H36" s="143" t="n"/>
      <c r="I36" s="143" t="n"/>
      <c r="J36" s="143" t="n"/>
      <c r="K36" s="143" t="n"/>
      <c r="L36" s="143" t="n"/>
      <c r="M36" s="143" t="n"/>
      <c r="N36" s="143" t="n"/>
      <c r="O36" s="143" t="n"/>
      <c r="P36" s="143" t="n"/>
      <c r="Q36" s="144" t="n"/>
    </row>
    <row r="37">
      <c r="A37" s="233" t="inlineStr">
        <is>
          <t xml:space="preserve">      • Subcategoría Especificada: Gabinetes, Patch Panels, Switches, WiFi y Servidores</t>
        </is>
      </c>
      <c r="B37" s="143" t="n"/>
      <c r="C37" s="143" t="n"/>
      <c r="D37" s="143" t="n"/>
      <c r="E37" s="143" t="n"/>
      <c r="F37" s="143" t="n"/>
      <c r="G37" s="143" t="n"/>
      <c r="H37" s="143" t="n"/>
      <c r="I37" s="143" t="n"/>
      <c r="J37" s="143" t="n"/>
      <c r="K37" s="143" t="n"/>
      <c r="L37" s="143" t="n"/>
      <c r="M37" s="143" t="n"/>
      <c r="N37" s="143" t="n"/>
      <c r="O37" s="143" t="n"/>
      <c r="P37" s="143" t="n"/>
      <c r="Q37" s="144" t="n"/>
    </row>
    <row r="38">
      <c r="A38" s="234" t="n">
        <v>24</v>
      </c>
      <c r="B38" s="235" t="inlineStr">
        <is>
          <t xml:space="preserve">        Gabinete de Pared 6U</t>
        </is>
      </c>
      <c r="C38" s="236" t="inlineStr">
        <is>
          <t>Residencial / Comercial / Ind</t>
        </is>
      </c>
      <c r="D38" s="234" t="inlineStr">
        <is>
          <t>Gabinetes</t>
        </is>
      </c>
      <c r="E38" s="234" t="inlineStr">
        <is>
          <t>U</t>
        </is>
      </c>
      <c r="F38" s="237" t="n">
        <v>1</v>
      </c>
      <c r="G38" s="238" t="n">
        <v>95</v>
      </c>
      <c r="H38" s="238" t="n">
        <v>98.8</v>
      </c>
      <c r="I38" s="234" t="inlineStr">
        <is>
          <t>Megametales</t>
        </is>
      </c>
      <c r="J38" s="238" t="n">
        <v>103.55</v>
      </c>
      <c r="K38" s="234" t="inlineStr">
        <is>
          <t>Kywi / Megakywi</t>
        </is>
      </c>
      <c r="L38" s="239">
        <f>F38*G38</f>
        <v/>
      </c>
      <c r="M38" s="240" t="inlineStr">
        <is>
          <t>COM-D50-RAC-GAB-06U</t>
        </is>
      </c>
      <c r="N38" s="234" t="inlineStr">
        <is>
          <t>Comunicaciones (datos, voz, audio, llamado)</t>
        </is>
      </c>
      <c r="O38" s="234" t="inlineStr">
        <is>
          <t>Estimado DION · criterio de mercado Guayaquil 2026 (no verificado en tienda)</t>
        </is>
      </c>
      <c r="P38" s="234" t="inlineStr">
        <is>
          <t>oct-2026 (est.)</t>
        </is>
      </c>
      <c r="Q38" s="234" t="n"/>
    </row>
    <row r="39">
      <c r="A39" s="18" t="n">
        <v>25</v>
      </c>
      <c r="B39" s="19" t="inlineStr">
        <is>
          <t xml:space="preserve">        Gabinete de Pared 9U</t>
        </is>
      </c>
      <c r="C39" s="20" t="inlineStr">
        <is>
          <t>Residencial / Comercial / Ind</t>
        </is>
      </c>
      <c r="D39" s="18" t="inlineStr">
        <is>
          <t>Gabinetes</t>
        </is>
      </c>
      <c r="E39" s="18" t="inlineStr">
        <is>
          <t>U</t>
        </is>
      </c>
      <c r="F39" s="21" t="n">
        <v>1</v>
      </c>
      <c r="G39" s="22" t="n">
        <v>125</v>
      </c>
      <c r="H39" s="22" t="n">
        <v>128.75</v>
      </c>
      <c r="I39" s="18" t="inlineStr">
        <is>
          <t>Megametales</t>
        </is>
      </c>
      <c r="J39" s="22" t="n">
        <v>136.25</v>
      </c>
      <c r="K39" s="18" t="inlineStr">
        <is>
          <t>Kywi / Megakywi</t>
        </is>
      </c>
      <c r="L39" s="8">
        <f>F39*G39</f>
        <v/>
      </c>
      <c r="M39" s="145" t="inlineStr">
        <is>
          <t>COM-D50-RAC-GAB-09U</t>
        </is>
      </c>
      <c r="N39" s="18" t="inlineStr">
        <is>
          <t>Comunicaciones (datos, voz, audio, llamado)</t>
        </is>
      </c>
      <c r="O39" s="18" t="inlineStr">
        <is>
          <t>Estimado DION · criterio de mercado Guayaquil 2026 (no verificado en tienda)</t>
        </is>
      </c>
      <c r="P39" s="18" t="inlineStr">
        <is>
          <t>oct-2026 (est.)</t>
        </is>
      </c>
      <c r="Q39" s="18" t="n"/>
    </row>
    <row r="40">
      <c r="A40" s="234" t="n">
        <v>26</v>
      </c>
      <c r="B40" s="235" t="inlineStr">
        <is>
          <t xml:space="preserve">        Gabinete de Pared 12U</t>
        </is>
      </c>
      <c r="C40" s="236" t="inlineStr">
        <is>
          <t>Residencial / Comercial / Ind</t>
        </is>
      </c>
      <c r="D40" s="234" t="inlineStr">
        <is>
          <t>Gabinetes</t>
        </is>
      </c>
      <c r="E40" s="234" t="inlineStr">
        <is>
          <t>U</t>
        </is>
      </c>
      <c r="F40" s="237" t="n">
        <v>1</v>
      </c>
      <c r="G40" s="238" t="n">
        <v>165</v>
      </c>
      <c r="H40" s="238" t="n">
        <v>168.3</v>
      </c>
      <c r="I40" s="234" t="inlineStr">
        <is>
          <t>Megametales</t>
        </is>
      </c>
      <c r="J40" s="238" t="n">
        <v>181.5</v>
      </c>
      <c r="K40" s="234" t="inlineStr">
        <is>
          <t>Kywi / Megakywi</t>
        </is>
      </c>
      <c r="L40" s="239">
        <f>F40*G40</f>
        <v/>
      </c>
      <c r="M40" s="240" t="inlineStr">
        <is>
          <t>COM-D50-RAC-GAB-12U</t>
        </is>
      </c>
      <c r="N40" s="234" t="inlineStr">
        <is>
          <t>Comunicaciones (datos, voz, audio, llamado)</t>
        </is>
      </c>
      <c r="O40" s="234" t="inlineStr">
        <is>
          <t>Estimado DION · criterio de mercado Guayaquil 2026 (no verificado en tienda)</t>
        </is>
      </c>
      <c r="P40" s="234" t="inlineStr">
        <is>
          <t>oct-2026 (est.)</t>
        </is>
      </c>
      <c r="Q40" s="234" t="n"/>
    </row>
    <row r="41">
      <c r="A41" s="18" t="n">
        <v>27</v>
      </c>
      <c r="B41" s="19" t="inlineStr">
        <is>
          <t xml:space="preserve">        Rack de Piso 24U</t>
        </is>
      </c>
      <c r="C41" s="20" t="inlineStr">
        <is>
          <t>Comercial / Industrial</t>
        </is>
      </c>
      <c r="D41" s="18" t="inlineStr">
        <is>
          <t>Racks</t>
        </is>
      </c>
      <c r="E41" s="18" t="inlineStr">
        <is>
          <t>U</t>
        </is>
      </c>
      <c r="F41" s="21" t="n">
        <v>1</v>
      </c>
      <c r="G41" s="22" t="n">
        <v>420</v>
      </c>
      <c r="H41" s="22" t="n">
        <v>441</v>
      </c>
      <c r="I41" s="18" t="inlineStr">
        <is>
          <t>Megametales</t>
        </is>
      </c>
      <c r="J41" s="22" t="n">
        <v>462</v>
      </c>
      <c r="K41" s="18" t="inlineStr">
        <is>
          <t>Kywi / Megakywi</t>
        </is>
      </c>
      <c r="L41" s="8">
        <f>F41*G41</f>
        <v/>
      </c>
      <c r="M41" s="145" t="inlineStr">
        <is>
          <t>COM-D50-RAC-GAB-24U</t>
        </is>
      </c>
      <c r="N41" s="18" t="inlineStr">
        <is>
          <t>Comunicaciones (datos, voz, audio, llamado)</t>
        </is>
      </c>
      <c r="O41" s="18" t="inlineStr">
        <is>
          <t>Estimado DION · criterio de mercado Guayaquil 2026 (no verificado en tienda)</t>
        </is>
      </c>
      <c r="P41" s="18" t="inlineStr">
        <is>
          <t>oct-2026 (est.)</t>
        </is>
      </c>
      <c r="Q41" s="18" t="n"/>
    </row>
    <row r="42">
      <c r="A42" s="234" t="n">
        <v>28</v>
      </c>
      <c r="B42" s="235" t="inlineStr">
        <is>
          <t xml:space="preserve">        Rack de Piso 42U 600x1000</t>
        </is>
      </c>
      <c r="C42" s="236" t="inlineStr">
        <is>
          <t>Comercial / Industrial</t>
        </is>
      </c>
      <c r="D42" s="234" t="inlineStr">
        <is>
          <t>Racks</t>
        </is>
      </c>
      <c r="E42" s="234" t="inlineStr">
        <is>
          <t>U</t>
        </is>
      </c>
      <c r="F42" s="237" t="n">
        <v>0</v>
      </c>
      <c r="G42" s="238" t="n">
        <v>780</v>
      </c>
      <c r="H42" s="238" t="n">
        <v>811.2</v>
      </c>
      <c r="I42" s="234" t="inlineStr">
        <is>
          <t>Megametales</t>
        </is>
      </c>
      <c r="J42" s="238" t="n">
        <v>858</v>
      </c>
      <c r="K42" s="234" t="inlineStr">
        <is>
          <t>Kywi / Megakywi</t>
        </is>
      </c>
      <c r="L42" s="239">
        <f>F42*G42</f>
        <v/>
      </c>
      <c r="M42" s="240" t="inlineStr">
        <is>
          <t>COM-D50-RAC-GAB-42U</t>
        </is>
      </c>
      <c r="N42" s="234" t="inlineStr">
        <is>
          <t>Comunicaciones (datos, voz, audio, llamado)</t>
        </is>
      </c>
      <c r="O42" s="234" t="inlineStr">
        <is>
          <t>Estimado DION · criterio de mercado Guayaquil 2026 (no verificado en tienda)</t>
        </is>
      </c>
      <c r="P42" s="234" t="inlineStr">
        <is>
          <t>oct-2026 (est.)</t>
        </is>
      </c>
      <c r="Q42" s="234" t="n"/>
    </row>
    <row r="43">
      <c r="A43" s="18" t="n">
        <v>29</v>
      </c>
      <c r="B43" s="19" t="inlineStr">
        <is>
          <t xml:space="preserve">        Patch Panel 24 Puertos Cat 6</t>
        </is>
      </c>
      <c r="C43" s="20" t="inlineStr">
        <is>
          <t>Residencial / Comercial / Ind</t>
        </is>
      </c>
      <c r="D43" s="18" t="inlineStr">
        <is>
          <t>Patch Panels</t>
        </is>
      </c>
      <c r="E43" s="18" t="inlineStr">
        <is>
          <t>U</t>
        </is>
      </c>
      <c r="F43" s="21" t="n">
        <v>1</v>
      </c>
      <c r="G43" s="22" t="n">
        <v>48</v>
      </c>
      <c r="H43" s="22" t="n">
        <v>49.44</v>
      </c>
      <c r="I43" s="18" t="inlineStr">
        <is>
          <t>Megametales</t>
        </is>
      </c>
      <c r="J43" s="22" t="n">
        <v>51.84</v>
      </c>
      <c r="K43" s="18" t="inlineStr">
        <is>
          <t>Kywi / Megakywi</t>
        </is>
      </c>
      <c r="L43" s="8">
        <f>F43*G43</f>
        <v/>
      </c>
      <c r="M43" s="145" t="inlineStr">
        <is>
          <t>COM-D50-RAC-PP-24</t>
        </is>
      </c>
      <c r="N43" s="18" t="inlineStr">
        <is>
          <t>Comunicaciones (datos, voz, audio, llamado)</t>
        </is>
      </c>
      <c r="O43" s="18" t="inlineStr">
        <is>
          <t>Estimado DION · criterio de mercado Guayaquil 2026 (no verificado en tienda)</t>
        </is>
      </c>
      <c r="P43" s="18" t="inlineStr">
        <is>
          <t>oct-2026 (est.)</t>
        </is>
      </c>
      <c r="Q43" s="18" t="n"/>
    </row>
    <row r="44">
      <c r="A44" s="234" t="n">
        <v>30</v>
      </c>
      <c r="B44" s="235" t="inlineStr">
        <is>
          <t xml:space="preserve">        Patch Panel 48 Puertos Cat 6</t>
        </is>
      </c>
      <c r="C44" s="236" t="inlineStr">
        <is>
          <t>Comercial / Industrial</t>
        </is>
      </c>
      <c r="D44" s="234" t="inlineStr">
        <is>
          <t>Patch Panels</t>
        </is>
      </c>
      <c r="E44" s="234" t="inlineStr">
        <is>
          <t>U</t>
        </is>
      </c>
      <c r="F44" s="237" t="n">
        <v>1</v>
      </c>
      <c r="G44" s="238" t="n">
        <v>85</v>
      </c>
      <c r="H44" s="238" t="n">
        <v>88.40000000000001</v>
      </c>
      <c r="I44" s="234" t="inlineStr">
        <is>
          <t>Megametales</t>
        </is>
      </c>
      <c r="J44" s="238" t="n">
        <v>91.8</v>
      </c>
      <c r="K44" s="234" t="inlineStr">
        <is>
          <t>Kywi / Megakywi</t>
        </is>
      </c>
      <c r="L44" s="239">
        <f>F44*G44</f>
        <v/>
      </c>
      <c r="M44" s="240" t="inlineStr">
        <is>
          <t>COM-D50-RAC-PP-48</t>
        </is>
      </c>
      <c r="N44" s="234" t="inlineStr">
        <is>
          <t>Comunicaciones (datos, voz, audio, llamado)</t>
        </is>
      </c>
      <c r="O44" s="234" t="inlineStr">
        <is>
          <t>Estimado DION · criterio de mercado Guayaquil 2026 (no verificado en tienda)</t>
        </is>
      </c>
      <c r="P44" s="234" t="inlineStr">
        <is>
          <t>oct-2026 (est.)</t>
        </is>
      </c>
      <c r="Q44" s="234" t="n"/>
    </row>
    <row r="45">
      <c r="A45" s="18" t="n">
        <v>31</v>
      </c>
      <c r="B45" s="19" t="inlineStr">
        <is>
          <t xml:space="preserve">        ODF Bandeja de Fibra 24 Puertos</t>
        </is>
      </c>
      <c r="C45" s="20" t="inlineStr">
        <is>
          <t>Comercial / Industrial</t>
        </is>
      </c>
      <c r="D45" s="18" t="inlineStr">
        <is>
          <t>ODF</t>
        </is>
      </c>
      <c r="E45" s="18" t="inlineStr">
        <is>
          <t>U</t>
        </is>
      </c>
      <c r="F45" s="21" t="n">
        <v>1</v>
      </c>
      <c r="G45" s="22" t="n">
        <v>120</v>
      </c>
      <c r="H45" s="22" t="n">
        <v>124.8</v>
      </c>
      <c r="I45" s="18" t="inlineStr">
        <is>
          <t>Megametales</t>
        </is>
      </c>
      <c r="J45" s="22" t="n">
        <v>132</v>
      </c>
      <c r="K45" s="18" t="inlineStr">
        <is>
          <t>Kywi / Megakywi</t>
        </is>
      </c>
      <c r="L45" s="8">
        <f>F45*G45</f>
        <v/>
      </c>
      <c r="M45" s="145" t="inlineStr">
        <is>
          <t>COM-D50-RAC-ODF-24</t>
        </is>
      </c>
      <c r="N45" s="18" t="inlineStr">
        <is>
          <t>Comunicaciones (datos, voz, audio, llamado)</t>
        </is>
      </c>
      <c r="O45" s="18" t="inlineStr">
        <is>
          <t>Estimado DION · criterio de mercado Guayaquil 2026 (no verificado en tienda)</t>
        </is>
      </c>
      <c r="P45" s="18" t="inlineStr">
        <is>
          <t>oct-2026 (est.)</t>
        </is>
      </c>
      <c r="Q45" s="18" t="n"/>
    </row>
    <row r="46">
      <c r="A46" s="234" t="n">
        <v>32</v>
      </c>
      <c r="B46" s="235" t="inlineStr">
        <is>
          <t xml:space="preserve">        Switch Administrable 24p PoE+</t>
        </is>
      </c>
      <c r="C46" s="236" t="inlineStr">
        <is>
          <t>Comercial / Industrial</t>
        </is>
      </c>
      <c r="D46" s="234" t="inlineStr">
        <is>
          <t>Switches</t>
        </is>
      </c>
      <c r="E46" s="234" t="inlineStr">
        <is>
          <t>U</t>
        </is>
      </c>
      <c r="F46" s="237" t="n">
        <v>0</v>
      </c>
      <c r="G46" s="238" t="n">
        <v>620</v>
      </c>
      <c r="H46" s="238" t="n">
        <v>651</v>
      </c>
      <c r="I46" s="234" t="inlineStr">
        <is>
          <t>Megametales</t>
        </is>
      </c>
      <c r="J46" s="238" t="n">
        <v>663.4</v>
      </c>
      <c r="K46" s="234" t="inlineStr">
        <is>
          <t>Kywi / Megakywi</t>
        </is>
      </c>
      <c r="L46" s="239">
        <f>F46*G46</f>
        <v/>
      </c>
      <c r="M46" s="240" t="inlineStr">
        <is>
          <t>COM-D50-RAC-SW-24POE</t>
        </is>
      </c>
      <c r="N46" s="234" t="inlineStr">
        <is>
          <t>Comunicaciones (datos, voz, audio, llamado)</t>
        </is>
      </c>
      <c r="O46" s="234" t="inlineStr">
        <is>
          <t>Estimado DION · criterio de mercado Guayaquil 2026 (no verificado en tienda)</t>
        </is>
      </c>
      <c r="P46" s="234" t="inlineStr">
        <is>
          <t>oct-2026 (est.)</t>
        </is>
      </c>
      <c r="Q46" s="234" t="n"/>
    </row>
    <row r="47">
      <c r="A47" s="18" t="n">
        <v>33</v>
      </c>
      <c r="B47" s="19" t="inlineStr">
        <is>
          <t xml:space="preserve">        Switch Administrable 48p PoE+</t>
        </is>
      </c>
      <c r="C47" s="20" t="inlineStr">
        <is>
          <t>Comercial / Industrial</t>
        </is>
      </c>
      <c r="D47" s="18" t="inlineStr">
        <is>
          <t>Switches</t>
        </is>
      </c>
      <c r="E47" s="18" t="inlineStr">
        <is>
          <t>U</t>
        </is>
      </c>
      <c r="F47" s="21" t="n">
        <v>0</v>
      </c>
      <c r="G47" s="22" t="n">
        <v>1250</v>
      </c>
      <c r="H47" s="22" t="n">
        <v>1287.5</v>
      </c>
      <c r="I47" s="18" t="inlineStr">
        <is>
          <t>Megametales</t>
        </is>
      </c>
      <c r="J47" s="22" t="n">
        <v>1375</v>
      </c>
      <c r="K47" s="18" t="inlineStr">
        <is>
          <t>Kywi / Megakywi</t>
        </is>
      </c>
      <c r="L47" s="8">
        <f>F47*G47</f>
        <v/>
      </c>
      <c r="M47" s="145" t="inlineStr">
        <is>
          <t>COM-D50-RAC-SW-48POE</t>
        </is>
      </c>
      <c r="N47" s="18" t="inlineStr">
        <is>
          <t>Comunicaciones (datos, voz, audio, llamado)</t>
        </is>
      </c>
      <c r="O47" s="18" t="inlineStr">
        <is>
          <t>Estimado DION · criterio de mercado Guayaquil 2026 (no verificado en tienda)</t>
        </is>
      </c>
      <c r="P47" s="18" t="inlineStr">
        <is>
          <t>oct-2026 (est.)</t>
        </is>
      </c>
      <c r="Q47" s="18" t="n"/>
    </row>
    <row r="48">
      <c r="A48" s="234" t="n">
        <v>34</v>
      </c>
      <c r="B48" s="235" t="inlineStr">
        <is>
          <t xml:space="preserve">        Switch Core Capa 3 10G</t>
        </is>
      </c>
      <c r="C48" s="236" t="inlineStr">
        <is>
          <t>Comercial / Industrial</t>
        </is>
      </c>
      <c r="D48" s="234" t="inlineStr">
        <is>
          <t>Switches</t>
        </is>
      </c>
      <c r="E48" s="234" t="inlineStr">
        <is>
          <t>U</t>
        </is>
      </c>
      <c r="F48" s="237" t="n">
        <v>0</v>
      </c>
      <c r="G48" s="238" t="n">
        <v>3800</v>
      </c>
      <c r="H48" s="238" t="n">
        <v>3990</v>
      </c>
      <c r="I48" s="234" t="inlineStr">
        <is>
          <t>Megametales</t>
        </is>
      </c>
      <c r="J48" s="238" t="n">
        <v>4066</v>
      </c>
      <c r="K48" s="234" t="inlineStr">
        <is>
          <t>Kywi / Megakywi</t>
        </is>
      </c>
      <c r="L48" s="239">
        <f>F48*G48</f>
        <v/>
      </c>
      <c r="M48" s="240" t="inlineStr">
        <is>
          <t>COM-D50-RAC-SW-CORE</t>
        </is>
      </c>
      <c r="N48" s="234" t="inlineStr">
        <is>
          <t>Comunicaciones (datos, voz, audio, llamado)</t>
        </is>
      </c>
      <c r="O48" s="234" t="inlineStr">
        <is>
          <t>Estimado DION · criterio de mercado Guayaquil 2026 (no verificado en tienda)</t>
        </is>
      </c>
      <c r="P48" s="234" t="inlineStr">
        <is>
          <t>oct-2026 (est.)</t>
        </is>
      </c>
      <c r="Q48" s="234" t="n"/>
    </row>
    <row r="49">
      <c r="A49" s="18" t="n">
        <v>35</v>
      </c>
      <c r="B49" s="19" t="inlineStr">
        <is>
          <t xml:space="preserve">        Firewall UTM PYME</t>
        </is>
      </c>
      <c r="C49" s="20" t="inlineStr">
        <is>
          <t>Comercial / Industrial</t>
        </is>
      </c>
      <c r="D49" s="18" t="inlineStr">
        <is>
          <t>Firewalls</t>
        </is>
      </c>
      <c r="E49" s="18" t="inlineStr">
        <is>
          <t>U</t>
        </is>
      </c>
      <c r="F49" s="21" t="n">
        <v>0</v>
      </c>
      <c r="G49" s="22" t="n">
        <v>950</v>
      </c>
      <c r="H49" s="22" t="n">
        <v>969</v>
      </c>
      <c r="I49" s="18" t="inlineStr">
        <is>
          <t>Megametales</t>
        </is>
      </c>
      <c r="J49" s="22" t="n">
        <v>1035.5</v>
      </c>
      <c r="K49" s="18" t="inlineStr">
        <is>
          <t>Kywi / Megakywi</t>
        </is>
      </c>
      <c r="L49" s="8">
        <f>F49*G49</f>
        <v/>
      </c>
      <c r="M49" s="145" t="inlineStr">
        <is>
          <t>COM-D50-RAC-FW</t>
        </is>
      </c>
      <c r="N49" s="18" t="inlineStr">
        <is>
          <t>Comunicaciones (datos, voz, audio, llamado)</t>
        </is>
      </c>
      <c r="O49" s="18" t="inlineStr">
        <is>
          <t>Estimado DION · criterio de mercado Guayaquil 2026 (no verificado en tienda)</t>
        </is>
      </c>
      <c r="P49" s="18" t="inlineStr">
        <is>
          <t>oct-2026 (est.)</t>
        </is>
      </c>
      <c r="Q49" s="18" t="n"/>
    </row>
    <row r="50">
      <c r="A50" s="234" t="n">
        <v>36</v>
      </c>
      <c r="B50" s="235" t="inlineStr">
        <is>
          <t xml:space="preserve">        Access Point WiFi 6 Techo</t>
        </is>
      </c>
      <c r="C50" s="236" t="inlineStr">
        <is>
          <t>Residencial / Comercial / Ind</t>
        </is>
      </c>
      <c r="D50" s="234" t="inlineStr">
        <is>
          <t>Access Points</t>
        </is>
      </c>
      <c r="E50" s="234" t="inlineStr">
        <is>
          <t>U</t>
        </is>
      </c>
      <c r="F50" s="237" t="n">
        <v>1</v>
      </c>
      <c r="G50" s="238" t="n">
        <v>165</v>
      </c>
      <c r="H50" s="238" t="n">
        <v>168.3</v>
      </c>
      <c r="I50" s="234" t="inlineStr">
        <is>
          <t>Megametales</t>
        </is>
      </c>
      <c r="J50" s="238" t="n">
        <v>178.2</v>
      </c>
      <c r="K50" s="234" t="inlineStr">
        <is>
          <t>Kywi / Megakywi</t>
        </is>
      </c>
      <c r="L50" s="239">
        <f>F50*G50</f>
        <v/>
      </c>
      <c r="M50" s="240" t="inlineStr">
        <is>
          <t>COM-D50-RAC-AP-W6</t>
        </is>
      </c>
      <c r="N50" s="234" t="inlineStr">
        <is>
          <t>Comunicaciones (datos, voz, audio, llamado)</t>
        </is>
      </c>
      <c r="O50" s="234" t="inlineStr">
        <is>
          <t>Estimado DION · criterio de mercado Guayaquil 2026 (no verificado en tienda)</t>
        </is>
      </c>
      <c r="P50" s="234" t="inlineStr">
        <is>
          <t>oct-2026 (est.)</t>
        </is>
      </c>
      <c r="Q50" s="234" t="n"/>
    </row>
    <row r="51">
      <c r="A51" s="18" t="n">
        <v>37</v>
      </c>
      <c r="B51" s="19" t="inlineStr">
        <is>
          <t xml:space="preserve">        Access Point WiFi 7</t>
        </is>
      </c>
      <c r="C51" s="20" t="inlineStr">
        <is>
          <t>Comercial / Industrial</t>
        </is>
      </c>
      <c r="D51" s="18" t="inlineStr">
        <is>
          <t>Access Points</t>
        </is>
      </c>
      <c r="E51" s="18" t="inlineStr">
        <is>
          <t>U</t>
        </is>
      </c>
      <c r="F51" s="21" t="n">
        <v>1</v>
      </c>
      <c r="G51" s="22" t="n">
        <v>320</v>
      </c>
      <c r="H51" s="22" t="n">
        <v>336</v>
      </c>
      <c r="I51" s="18" t="inlineStr">
        <is>
          <t>Megametales</t>
        </is>
      </c>
      <c r="J51" s="22" t="n">
        <v>355.2</v>
      </c>
      <c r="K51" s="18" t="inlineStr">
        <is>
          <t>Kywi / Megakywi</t>
        </is>
      </c>
      <c r="L51" s="8">
        <f>F51*G51</f>
        <v/>
      </c>
      <c r="M51" s="145" t="inlineStr">
        <is>
          <t>COM-D50-RAC-AP-W7</t>
        </is>
      </c>
      <c r="N51" s="18" t="inlineStr">
        <is>
          <t>Comunicaciones (datos, voz, audio, llamado)</t>
        </is>
      </c>
      <c r="O51" s="18" t="inlineStr">
        <is>
          <t>Estimado DION · criterio de mercado Guayaquil 2026 (no verificado en tienda)</t>
        </is>
      </c>
      <c r="P51" s="18" t="inlineStr">
        <is>
          <t>oct-2026 (est.)</t>
        </is>
      </c>
      <c r="Q51" s="18" t="n"/>
    </row>
    <row r="52">
      <c r="A52" s="234" t="n">
        <v>38</v>
      </c>
      <c r="B52" s="235" t="inlineStr">
        <is>
          <t xml:space="preserve">        Access Point Exterior IP67</t>
        </is>
      </c>
      <c r="C52" s="236" t="inlineStr">
        <is>
          <t>Comercial / Industrial</t>
        </is>
      </c>
      <c r="D52" s="234" t="inlineStr">
        <is>
          <t>Access Points</t>
        </is>
      </c>
      <c r="E52" s="234" t="inlineStr">
        <is>
          <t>U</t>
        </is>
      </c>
      <c r="F52" s="237" t="n">
        <v>1</v>
      </c>
      <c r="G52" s="238" t="n">
        <v>280</v>
      </c>
      <c r="H52" s="238" t="n">
        <v>285.6</v>
      </c>
      <c r="I52" s="234" t="inlineStr">
        <is>
          <t>Megametales</t>
        </is>
      </c>
      <c r="J52" s="238" t="n">
        <v>305.2</v>
      </c>
      <c r="K52" s="234" t="inlineStr">
        <is>
          <t>Kywi / Megakywi</t>
        </is>
      </c>
      <c r="L52" s="239">
        <f>F52*G52</f>
        <v/>
      </c>
      <c r="M52" s="240" t="inlineStr">
        <is>
          <t>COM-D50-RAC-AP-EXT</t>
        </is>
      </c>
      <c r="N52" s="234" t="inlineStr">
        <is>
          <t>Comunicaciones (datos, voz, audio, llamado)</t>
        </is>
      </c>
      <c r="O52" s="234" t="inlineStr">
        <is>
          <t>Estimado DION · criterio de mercado Guayaquil 2026 (no verificado en tienda)</t>
        </is>
      </c>
      <c r="P52" s="234" t="inlineStr">
        <is>
          <t>oct-2026 (est.)</t>
        </is>
      </c>
      <c r="Q52" s="234" t="n"/>
    </row>
    <row r="53">
      <c r="A53" s="18" t="n">
        <v>39</v>
      </c>
      <c r="B53" s="19" t="inlineStr">
        <is>
          <t xml:space="preserve">        Servidor Rack 1U Xeon 32 GB</t>
        </is>
      </c>
      <c r="C53" s="20" t="inlineStr">
        <is>
          <t>Comercial / Industrial</t>
        </is>
      </c>
      <c r="D53" s="18" t="inlineStr">
        <is>
          <t>Servidores</t>
        </is>
      </c>
      <c r="E53" s="18" t="inlineStr">
        <is>
          <t>U</t>
        </is>
      </c>
      <c r="F53" s="21" t="n">
        <v>0</v>
      </c>
      <c r="G53" s="22" t="n">
        <v>3200</v>
      </c>
      <c r="H53" s="22" t="n">
        <v>3264</v>
      </c>
      <c r="I53" s="18" t="inlineStr">
        <is>
          <t>Megametales</t>
        </is>
      </c>
      <c r="J53" s="22" t="n">
        <v>3488</v>
      </c>
      <c r="K53" s="18" t="inlineStr">
        <is>
          <t>Kywi / Megakywi</t>
        </is>
      </c>
      <c r="L53" s="8">
        <f>F53*G53</f>
        <v/>
      </c>
      <c r="M53" s="145" t="inlineStr">
        <is>
          <t>COM-D50-RAC-SRV</t>
        </is>
      </c>
      <c r="N53" s="18" t="inlineStr">
        <is>
          <t>Comunicaciones (datos, voz, audio, llamado)</t>
        </is>
      </c>
      <c r="O53" s="18" t="inlineStr">
        <is>
          <t>Estimado DION · criterio de mercado Guayaquil 2026 (no verificado en tienda)</t>
        </is>
      </c>
      <c r="P53" s="18" t="inlineStr">
        <is>
          <t>oct-2026 (est.)</t>
        </is>
      </c>
      <c r="Q53" s="18" t="n"/>
    </row>
    <row r="54">
      <c r="A54" s="234" t="n">
        <v>40</v>
      </c>
      <c r="B54" s="235" t="inlineStr">
        <is>
          <t xml:space="preserve">        PDU 8 Tomas para Rack</t>
        </is>
      </c>
      <c r="C54" s="236" t="inlineStr">
        <is>
          <t>Comercial / Industrial</t>
        </is>
      </c>
      <c r="D54" s="234" t="inlineStr">
        <is>
          <t>PDU</t>
        </is>
      </c>
      <c r="E54" s="234" t="inlineStr">
        <is>
          <t>U</t>
        </is>
      </c>
      <c r="F54" s="237" t="n">
        <v>1</v>
      </c>
      <c r="G54" s="238" t="n">
        <v>55</v>
      </c>
      <c r="H54" s="238" t="n">
        <v>57.2</v>
      </c>
      <c r="I54" s="234" t="inlineStr">
        <is>
          <t>Megametales</t>
        </is>
      </c>
      <c r="J54" s="238" t="n">
        <v>61.05</v>
      </c>
      <c r="K54" s="234" t="inlineStr">
        <is>
          <t>Kywi / Megakywi</t>
        </is>
      </c>
      <c r="L54" s="239">
        <f>F54*G54</f>
        <v/>
      </c>
      <c r="M54" s="240" t="inlineStr">
        <is>
          <t>COM-D50-RAC-PDU</t>
        </is>
      </c>
      <c r="N54" s="234" t="inlineStr">
        <is>
          <t>Comunicaciones (datos, voz, audio, llamado)</t>
        </is>
      </c>
      <c r="O54" s="234" t="inlineStr">
        <is>
          <t>Estimado DION · criterio de mercado Guayaquil 2026 (no verificado en tienda)</t>
        </is>
      </c>
      <c r="P54" s="234" t="inlineStr">
        <is>
          <t>oct-2026 (est.)</t>
        </is>
      </c>
      <c r="Q54" s="234" t="n"/>
    </row>
    <row r="55">
      <c r="A55" s="18" t="n">
        <v>41</v>
      </c>
      <c r="B55" s="19" t="inlineStr">
        <is>
          <t xml:space="preserve">        Central Telefónica IP 32 Ext.</t>
        </is>
      </c>
      <c r="C55" s="20" t="inlineStr">
        <is>
          <t>Comercial / Industrial</t>
        </is>
      </c>
      <c r="D55" s="18" t="inlineStr">
        <is>
          <t>Centrales</t>
        </is>
      </c>
      <c r="E55" s="18" t="inlineStr">
        <is>
          <t>U</t>
        </is>
      </c>
      <c r="F55" s="21" t="n">
        <v>0</v>
      </c>
      <c r="G55" s="22" t="n">
        <v>1450</v>
      </c>
      <c r="H55" s="22" t="n">
        <v>1493.5</v>
      </c>
      <c r="I55" s="18" t="inlineStr">
        <is>
          <t>Megametales</t>
        </is>
      </c>
      <c r="J55" s="22" t="n">
        <v>1551.5</v>
      </c>
      <c r="K55" s="18" t="inlineStr">
        <is>
          <t>Kywi / Megakywi</t>
        </is>
      </c>
      <c r="L55" s="8">
        <f>F55*G55</f>
        <v/>
      </c>
      <c r="M55" s="145" t="inlineStr">
        <is>
          <t>COM-D50-RAC-CEN-TEL</t>
        </is>
      </c>
      <c r="N55" s="18" t="inlineStr">
        <is>
          <t>Comunicaciones (datos, voz, audio, llamado)</t>
        </is>
      </c>
      <c r="O55" s="18" t="inlineStr">
        <is>
          <t>Estimado DION · criterio de mercado Guayaquil 2026 (no verificado en tienda)</t>
        </is>
      </c>
      <c r="P55" s="18" t="inlineStr">
        <is>
          <t>oct-2026 (est.)</t>
        </is>
      </c>
      <c r="Q55" s="18" t="n"/>
    </row>
    <row r="56">
      <c r="A56" s="234" t="n">
        <v>42</v>
      </c>
      <c r="B56" s="235" t="inlineStr">
        <is>
          <t xml:space="preserve">        Teléfono IP</t>
        </is>
      </c>
      <c r="C56" s="236" t="inlineStr">
        <is>
          <t>Comercial / Industrial</t>
        </is>
      </c>
      <c r="D56" s="234" t="inlineStr">
        <is>
          <t>Teléfonos</t>
        </is>
      </c>
      <c r="E56" s="234" t="inlineStr">
        <is>
          <t>U</t>
        </is>
      </c>
      <c r="F56" s="237" t="n">
        <v>1</v>
      </c>
      <c r="G56" s="238" t="n">
        <v>85</v>
      </c>
      <c r="H56" s="238" t="n">
        <v>87.55</v>
      </c>
      <c r="I56" s="234" t="inlineStr">
        <is>
          <t>Megametales</t>
        </is>
      </c>
      <c r="J56" s="238" t="n">
        <v>94.34999999999999</v>
      </c>
      <c r="K56" s="234" t="inlineStr">
        <is>
          <t>Kywi / Megakywi</t>
        </is>
      </c>
      <c r="L56" s="239">
        <f>F56*G56</f>
        <v/>
      </c>
      <c r="M56" s="240" t="inlineStr">
        <is>
          <t>COM-D50-RAC-TEL-IP</t>
        </is>
      </c>
      <c r="N56" s="234" t="inlineStr">
        <is>
          <t>Comunicaciones (datos, voz, audio, llamado)</t>
        </is>
      </c>
      <c r="O56" s="234" t="inlineStr">
        <is>
          <t>Estimado DION · criterio de mercado Guayaquil 2026 (no verificado en tienda)</t>
        </is>
      </c>
      <c r="P56" s="234" t="inlineStr">
        <is>
          <t>oct-2026 (est.)</t>
        </is>
      </c>
      <c r="Q56" s="234" t="n"/>
    </row>
    <row r="57">
      <c r="A57" s="231" t="inlineStr">
        <is>
          <t>CONEXIONES</t>
        </is>
      </c>
      <c r="B57" s="143" t="n"/>
      <c r="C57" s="143" t="n"/>
      <c r="D57" s="143" t="n"/>
      <c r="E57" s="143" t="n"/>
      <c r="F57" s="143" t="n"/>
      <c r="G57" s="143" t="n"/>
      <c r="H57" s="143" t="n"/>
      <c r="I57" s="143" t="n"/>
      <c r="J57" s="143" t="n"/>
      <c r="K57" s="143" t="n"/>
      <c r="L57" s="143" t="n"/>
      <c r="M57" s="143" t="n"/>
      <c r="N57" s="143" t="n"/>
      <c r="O57" s="143" t="n"/>
      <c r="P57" s="143" t="n"/>
      <c r="Q57" s="144" t="n"/>
    </row>
    <row r="58">
      <c r="A58" s="232" t="inlineStr">
        <is>
          <t xml:space="preserve">  ► CATEGORÍA: CCTV, CONTROL DE ACCESO E INTRUSIÓN</t>
        </is>
      </c>
      <c r="B58" s="143" t="n"/>
      <c r="C58" s="143" t="n"/>
      <c r="D58" s="143" t="n"/>
      <c r="E58" s="143" t="n"/>
      <c r="F58" s="143" t="n"/>
      <c r="G58" s="143" t="n"/>
      <c r="H58" s="143" t="n"/>
      <c r="I58" s="143" t="n"/>
      <c r="J58" s="143" t="n"/>
      <c r="K58" s="143" t="n"/>
      <c r="L58" s="143" t="n"/>
      <c r="M58" s="143" t="n"/>
      <c r="N58" s="143" t="n"/>
      <c r="O58" s="143" t="n"/>
      <c r="P58" s="143" t="n"/>
      <c r="Q58" s="144" t="n"/>
    </row>
    <row r="59">
      <c r="A59" s="233" t="inlineStr">
        <is>
          <t xml:space="preserve">      • Subcategoría Especificada: Cámaras, Grabación, Lectoras, Cerraduras y Sensores</t>
        </is>
      </c>
      <c r="B59" s="143" t="n"/>
      <c r="C59" s="143" t="n"/>
      <c r="D59" s="143" t="n"/>
      <c r="E59" s="143" t="n"/>
      <c r="F59" s="143" t="n"/>
      <c r="G59" s="143" t="n"/>
      <c r="H59" s="143" t="n"/>
      <c r="I59" s="143" t="n"/>
      <c r="J59" s="143" t="n"/>
      <c r="K59" s="143" t="n"/>
      <c r="L59" s="143" t="n"/>
      <c r="M59" s="143" t="n"/>
      <c r="N59" s="143" t="n"/>
      <c r="O59" s="143" t="n"/>
      <c r="P59" s="143" t="n"/>
      <c r="Q59" s="144" t="n"/>
    </row>
    <row r="60">
      <c r="A60" s="18" t="n">
        <v>43</v>
      </c>
      <c r="B60" s="19" t="inlineStr">
        <is>
          <t xml:space="preserve">        Cámara IP Domo 2 MP PoE</t>
        </is>
      </c>
      <c r="C60" s="20" t="inlineStr">
        <is>
          <t>Residencial / Comercial / Ind</t>
        </is>
      </c>
      <c r="D60" s="18" t="inlineStr">
        <is>
          <t>Cámaras</t>
        </is>
      </c>
      <c r="E60" s="18" t="inlineStr">
        <is>
          <t>U</t>
        </is>
      </c>
      <c r="F60" s="21" t="n">
        <v>4</v>
      </c>
      <c r="G60" s="22" t="n">
        <v>48</v>
      </c>
      <c r="H60" s="22" t="n">
        <v>49.92</v>
      </c>
      <c r="I60" s="18" t="inlineStr">
        <is>
          <t>Megametales</t>
        </is>
      </c>
      <c r="J60" s="22" t="n">
        <v>52.32</v>
      </c>
      <c r="K60" s="18" t="inlineStr">
        <is>
          <t>Kywi / Megakywi</t>
        </is>
      </c>
      <c r="L60" s="8">
        <f>F60*G60</f>
        <v/>
      </c>
      <c r="M60" s="145" t="inlineStr">
        <is>
          <t>SEG-D50-CAM-DOM-2MP</t>
        </is>
      </c>
      <c r="N60" s="18" t="inlineStr">
        <is>
          <t>Seguridad electrónica (CCTV, accesos, intrusión)</t>
        </is>
      </c>
      <c r="O60" s="18" t="inlineStr">
        <is>
          <t>Estimado DION · criterio de mercado Guayaquil 2026 (no verificado en tienda)</t>
        </is>
      </c>
      <c r="P60" s="18" t="inlineStr">
        <is>
          <t>oct-2026 (est.)</t>
        </is>
      </c>
      <c r="Q60" s="18" t="n"/>
    </row>
    <row r="61">
      <c r="A61" s="234" t="n">
        <v>44</v>
      </c>
      <c r="B61" s="235" t="inlineStr">
        <is>
          <t xml:space="preserve">        Cámara IP Bala 2 MP PoE</t>
        </is>
      </c>
      <c r="C61" s="236" t="inlineStr">
        <is>
          <t>Residencial / Comercial / Ind</t>
        </is>
      </c>
      <c r="D61" s="234" t="inlineStr">
        <is>
          <t>Cámaras</t>
        </is>
      </c>
      <c r="E61" s="234" t="inlineStr">
        <is>
          <t>U</t>
        </is>
      </c>
      <c r="F61" s="237" t="n">
        <v>4</v>
      </c>
      <c r="G61" s="238" t="n">
        <v>52</v>
      </c>
      <c r="H61" s="238" t="n">
        <v>53.56</v>
      </c>
      <c r="I61" s="234" t="inlineStr">
        <is>
          <t>Megametales</t>
        </is>
      </c>
      <c r="J61" s="238" t="n">
        <v>56.16</v>
      </c>
      <c r="K61" s="234" t="inlineStr">
        <is>
          <t>Kywi / Megakywi</t>
        </is>
      </c>
      <c r="L61" s="239">
        <f>F61*G61</f>
        <v/>
      </c>
      <c r="M61" s="240" t="inlineStr">
        <is>
          <t>SEG-D50-CAM-BAL-2MP</t>
        </is>
      </c>
      <c r="N61" s="234" t="inlineStr">
        <is>
          <t>Seguridad electrónica (CCTV, accesos, intrusión)</t>
        </is>
      </c>
      <c r="O61" s="234" t="inlineStr">
        <is>
          <t>Estimado DION · criterio de mercado Guayaquil 2026 (no verificado en tienda)</t>
        </is>
      </c>
      <c r="P61" s="234" t="inlineStr">
        <is>
          <t>oct-2026 (est.)</t>
        </is>
      </c>
      <c r="Q61" s="234" t="n"/>
    </row>
    <row r="62">
      <c r="A62" s="18" t="n">
        <v>45</v>
      </c>
      <c r="B62" s="19" t="inlineStr">
        <is>
          <t xml:space="preserve">        Cámara IP Domo 4 MP PoE</t>
        </is>
      </c>
      <c r="C62" s="20" t="inlineStr">
        <is>
          <t>Residencial / Comercial / Ind</t>
        </is>
      </c>
      <c r="D62" s="18" t="inlineStr">
        <is>
          <t>Cámaras</t>
        </is>
      </c>
      <c r="E62" s="18" t="inlineStr">
        <is>
          <t>U</t>
        </is>
      </c>
      <c r="F62" s="21" t="n">
        <v>4</v>
      </c>
      <c r="G62" s="22" t="n">
        <v>78</v>
      </c>
      <c r="H62" s="22" t="n">
        <v>81.12</v>
      </c>
      <c r="I62" s="18" t="inlineStr">
        <is>
          <t>Megametales</t>
        </is>
      </c>
      <c r="J62" s="22" t="n">
        <v>86.58</v>
      </c>
      <c r="K62" s="18" t="inlineStr">
        <is>
          <t>Kywi / Megakywi</t>
        </is>
      </c>
      <c r="L62" s="8">
        <f>F62*G62</f>
        <v/>
      </c>
      <c r="M62" s="145" t="inlineStr">
        <is>
          <t>SEG-D50-CAM-DOM-4MP</t>
        </is>
      </c>
      <c r="N62" s="18" t="inlineStr">
        <is>
          <t>Seguridad electrónica (CCTV, accesos, intrusión)</t>
        </is>
      </c>
      <c r="O62" s="18" t="inlineStr">
        <is>
          <t>Estimado DION · criterio de mercado Guayaquil 2026 (no verificado en tienda)</t>
        </is>
      </c>
      <c r="P62" s="18" t="inlineStr">
        <is>
          <t>oct-2026 (est.)</t>
        </is>
      </c>
      <c r="Q62" s="18" t="n"/>
    </row>
    <row r="63">
      <c r="A63" s="234" t="n">
        <v>46</v>
      </c>
      <c r="B63" s="235" t="inlineStr">
        <is>
          <t xml:space="preserve">        Cámara IP Domo 4K 8 MP</t>
        </is>
      </c>
      <c r="C63" s="236" t="inlineStr">
        <is>
          <t>Residencial / Comercial / Ind</t>
        </is>
      </c>
      <c r="D63" s="234" t="inlineStr">
        <is>
          <t>Cámaras</t>
        </is>
      </c>
      <c r="E63" s="234" t="inlineStr">
        <is>
          <t>U</t>
        </is>
      </c>
      <c r="F63" s="237" t="n">
        <v>2</v>
      </c>
      <c r="G63" s="238" t="n">
        <v>165</v>
      </c>
      <c r="H63" s="238" t="n">
        <v>173.25</v>
      </c>
      <c r="I63" s="234" t="inlineStr">
        <is>
          <t>Megametales</t>
        </is>
      </c>
      <c r="J63" s="238" t="n">
        <v>181.5</v>
      </c>
      <c r="K63" s="234" t="inlineStr">
        <is>
          <t>Kywi / Megakywi</t>
        </is>
      </c>
      <c r="L63" s="239">
        <f>F63*G63</f>
        <v/>
      </c>
      <c r="M63" s="240" t="inlineStr">
        <is>
          <t>SEG-D50-CAM-DOM-8MP</t>
        </is>
      </c>
      <c r="N63" s="234" t="inlineStr">
        <is>
          <t>Seguridad electrónica (CCTV, accesos, intrusión)</t>
        </is>
      </c>
      <c r="O63" s="234" t="inlineStr">
        <is>
          <t>Estimado DION · criterio de mercado Guayaquil 2026 (no verificado en tienda)</t>
        </is>
      </c>
      <c r="P63" s="234" t="inlineStr">
        <is>
          <t>oct-2026 (est.)</t>
        </is>
      </c>
      <c r="Q63" s="234" t="n"/>
    </row>
    <row r="64">
      <c r="A64" s="18" t="n">
        <v>47</v>
      </c>
      <c r="B64" s="19" t="inlineStr">
        <is>
          <t xml:space="preserve">        Cámara IP Bala 4K 8 MP</t>
        </is>
      </c>
      <c r="C64" s="20" t="inlineStr">
        <is>
          <t>Residencial / Comercial / Ind</t>
        </is>
      </c>
      <c r="D64" s="18" t="inlineStr">
        <is>
          <t>Cámaras</t>
        </is>
      </c>
      <c r="E64" s="18" t="inlineStr">
        <is>
          <t>U</t>
        </is>
      </c>
      <c r="F64" s="21" t="n">
        <v>2</v>
      </c>
      <c r="G64" s="22" t="n">
        <v>175</v>
      </c>
      <c r="H64" s="22" t="n">
        <v>183.75</v>
      </c>
      <c r="I64" s="18" t="inlineStr">
        <is>
          <t>Megametales</t>
        </is>
      </c>
      <c r="J64" s="22" t="n">
        <v>187.25</v>
      </c>
      <c r="K64" s="18" t="inlineStr">
        <is>
          <t>Kywi / Megakywi</t>
        </is>
      </c>
      <c r="L64" s="8">
        <f>F64*G64</f>
        <v/>
      </c>
      <c r="M64" s="145" t="inlineStr">
        <is>
          <t>SEG-D50-CAM-BAL-8MP</t>
        </is>
      </c>
      <c r="N64" s="18" t="inlineStr">
        <is>
          <t>Seguridad electrónica (CCTV, accesos, intrusión)</t>
        </is>
      </c>
      <c r="O64" s="18" t="inlineStr">
        <is>
          <t>Estimado DION · criterio de mercado Guayaquil 2026 (no verificado en tienda)</t>
        </is>
      </c>
      <c r="P64" s="18" t="inlineStr">
        <is>
          <t>oct-2026 (est.)</t>
        </is>
      </c>
      <c r="Q64" s="18" t="n"/>
    </row>
    <row r="65">
      <c r="A65" s="234" t="n">
        <v>48</v>
      </c>
      <c r="B65" s="235" t="inlineStr">
        <is>
          <t xml:space="preserve">        Cámara PTZ 25X IP</t>
        </is>
      </c>
      <c r="C65" s="236" t="inlineStr">
        <is>
          <t>Residencial / Comercial / Ind</t>
        </is>
      </c>
      <c r="D65" s="234" t="inlineStr">
        <is>
          <t>Cámaras PTZ</t>
        </is>
      </c>
      <c r="E65" s="234" t="inlineStr">
        <is>
          <t>U</t>
        </is>
      </c>
      <c r="F65" s="237" t="n">
        <v>0</v>
      </c>
      <c r="G65" s="238" t="n">
        <v>850</v>
      </c>
      <c r="H65" s="238" t="n">
        <v>867</v>
      </c>
      <c r="I65" s="234" t="inlineStr">
        <is>
          <t>Megametales</t>
        </is>
      </c>
      <c r="J65" s="238" t="n">
        <v>909.5</v>
      </c>
      <c r="K65" s="234" t="inlineStr">
        <is>
          <t>Kywi / Megakywi</t>
        </is>
      </c>
      <c r="L65" s="239">
        <f>F65*G65</f>
        <v/>
      </c>
      <c r="M65" s="240" t="inlineStr">
        <is>
          <t>SEG-D50-CAM-PTZ-25X</t>
        </is>
      </c>
      <c r="N65" s="234" t="inlineStr">
        <is>
          <t>Seguridad electrónica (CCTV, accesos, intrusión)</t>
        </is>
      </c>
      <c r="O65" s="234" t="inlineStr">
        <is>
          <t>Estimado DION · criterio de mercado Guayaquil 2026 (no verificado en tienda)</t>
        </is>
      </c>
      <c r="P65" s="234" t="inlineStr">
        <is>
          <t>oct-2026 (est.)</t>
        </is>
      </c>
      <c r="Q65" s="234" t="n"/>
    </row>
    <row r="66">
      <c r="A66" s="18" t="n">
        <v>49</v>
      </c>
      <c r="B66" s="19" t="inlineStr">
        <is>
          <t xml:space="preserve">        Cámara Ojo de Pez 12 MP 360°</t>
        </is>
      </c>
      <c r="C66" s="20" t="inlineStr">
        <is>
          <t>Residencial / Comercial / Ind</t>
        </is>
      </c>
      <c r="D66" s="18" t="inlineStr">
        <is>
          <t>Cámaras</t>
        </is>
      </c>
      <c r="E66" s="18" t="inlineStr">
        <is>
          <t>U</t>
        </is>
      </c>
      <c r="F66" s="21" t="n">
        <v>1</v>
      </c>
      <c r="G66" s="22" t="n">
        <v>420</v>
      </c>
      <c r="H66" s="22" t="n">
        <v>436.8</v>
      </c>
      <c r="I66" s="18" t="inlineStr">
        <is>
          <t>Megametales</t>
        </is>
      </c>
      <c r="J66" s="22" t="n">
        <v>453.6</v>
      </c>
      <c r="K66" s="18" t="inlineStr">
        <is>
          <t>Kywi / Megakywi</t>
        </is>
      </c>
      <c r="L66" s="8">
        <f>F66*G66</f>
        <v/>
      </c>
      <c r="M66" s="145" t="inlineStr">
        <is>
          <t>SEG-D50-CAM-FIS-12MP</t>
        </is>
      </c>
      <c r="N66" s="18" t="inlineStr">
        <is>
          <t>Seguridad electrónica (CCTV, accesos, intrusión)</t>
        </is>
      </c>
      <c r="O66" s="18" t="inlineStr">
        <is>
          <t>Estimado DION · criterio de mercado Guayaquil 2026 (no verificado en tienda)</t>
        </is>
      </c>
      <c r="P66" s="18" t="inlineStr">
        <is>
          <t>oct-2026 (est.)</t>
        </is>
      </c>
      <c r="Q66" s="18" t="n"/>
    </row>
    <row r="67">
      <c r="A67" s="234" t="n">
        <v>50</v>
      </c>
      <c r="B67" s="235" t="inlineStr">
        <is>
          <t xml:space="preserve">        Cámara Lectora de Placas LPR</t>
        </is>
      </c>
      <c r="C67" s="236" t="inlineStr">
        <is>
          <t>Residencial / Comercial / Ind</t>
        </is>
      </c>
      <c r="D67" s="234" t="inlineStr">
        <is>
          <t>Cámaras</t>
        </is>
      </c>
      <c r="E67" s="234" t="inlineStr">
        <is>
          <t>U</t>
        </is>
      </c>
      <c r="F67" s="237" t="n">
        <v>0</v>
      </c>
      <c r="G67" s="238" t="n">
        <v>680</v>
      </c>
      <c r="H67" s="238" t="n">
        <v>714</v>
      </c>
      <c r="I67" s="234" t="inlineStr">
        <is>
          <t>Megametales</t>
        </is>
      </c>
      <c r="J67" s="238" t="n">
        <v>727.6</v>
      </c>
      <c r="K67" s="234" t="inlineStr">
        <is>
          <t>Kywi / Megakywi</t>
        </is>
      </c>
      <c r="L67" s="239">
        <f>F67*G67</f>
        <v/>
      </c>
      <c r="M67" s="240" t="inlineStr">
        <is>
          <t>SEG-D50-CAM-LPR</t>
        </is>
      </c>
      <c r="N67" s="234" t="inlineStr">
        <is>
          <t>Seguridad electrónica (CCTV, accesos, intrusión)</t>
        </is>
      </c>
      <c r="O67" s="234" t="inlineStr">
        <is>
          <t>Estimado DION · criterio de mercado Guayaquil 2026 (no verificado en tienda)</t>
        </is>
      </c>
      <c r="P67" s="234" t="inlineStr">
        <is>
          <t>oct-2026 (est.)</t>
        </is>
      </c>
      <c r="Q67" s="234" t="n"/>
    </row>
    <row r="68">
      <c r="A68" s="18" t="n">
        <v>51</v>
      </c>
      <c r="B68" s="19" t="inlineStr">
        <is>
          <t xml:space="preserve">        Cámara Térmica Bi-Espectral</t>
        </is>
      </c>
      <c r="C68" s="20" t="inlineStr">
        <is>
          <t>Residencial / Comercial / Ind</t>
        </is>
      </c>
      <c r="D68" s="18" t="inlineStr">
        <is>
          <t>Cámaras</t>
        </is>
      </c>
      <c r="E68" s="18" t="inlineStr">
        <is>
          <t>U</t>
        </is>
      </c>
      <c r="F68" s="21" t="n">
        <v>0</v>
      </c>
      <c r="G68" s="22" t="n">
        <v>1650</v>
      </c>
      <c r="H68" s="22" t="n">
        <v>1732.5</v>
      </c>
      <c r="I68" s="18" t="inlineStr">
        <is>
          <t>Megametales</t>
        </is>
      </c>
      <c r="J68" s="22" t="n">
        <v>1765.5</v>
      </c>
      <c r="K68" s="18" t="inlineStr">
        <is>
          <t>Kywi / Megakywi</t>
        </is>
      </c>
      <c r="L68" s="8">
        <f>F68*G68</f>
        <v/>
      </c>
      <c r="M68" s="145" t="inlineStr">
        <is>
          <t>SEG-D50-CAM-TER</t>
        </is>
      </c>
      <c r="N68" s="18" t="inlineStr">
        <is>
          <t>Seguridad electrónica (CCTV, accesos, intrusión)</t>
        </is>
      </c>
      <c r="O68" s="18" t="inlineStr">
        <is>
          <t>Estimado DION · criterio de mercado Guayaquil 2026 (no verificado en tienda)</t>
        </is>
      </c>
      <c r="P68" s="18" t="inlineStr">
        <is>
          <t>oct-2026 (est.)</t>
        </is>
      </c>
      <c r="Q68" s="18" t="n"/>
    </row>
    <row r="69">
      <c r="A69" s="234" t="n">
        <v>52</v>
      </c>
      <c r="B69" s="235" t="inlineStr">
        <is>
          <t xml:space="preserve">        NVR 8 Canales PoE 4K</t>
        </is>
      </c>
      <c r="C69" s="236" t="inlineStr">
        <is>
          <t>Residencial / Comercial / Ind</t>
        </is>
      </c>
      <c r="D69" s="234" t="inlineStr">
        <is>
          <t>Grabadores</t>
        </is>
      </c>
      <c r="E69" s="234" t="inlineStr">
        <is>
          <t>U</t>
        </is>
      </c>
      <c r="F69" s="237" t="n">
        <v>1</v>
      </c>
      <c r="G69" s="238" t="n">
        <v>185</v>
      </c>
      <c r="H69" s="238" t="n">
        <v>188.7</v>
      </c>
      <c r="I69" s="234" t="inlineStr">
        <is>
          <t>Megametales</t>
        </is>
      </c>
      <c r="J69" s="238" t="n">
        <v>197.95</v>
      </c>
      <c r="K69" s="234" t="inlineStr">
        <is>
          <t>Kywi / Megakywi</t>
        </is>
      </c>
      <c r="L69" s="239">
        <f>F69*G69</f>
        <v/>
      </c>
      <c r="M69" s="240" t="inlineStr">
        <is>
          <t>SEG-D50-NVR-008CH</t>
        </is>
      </c>
      <c r="N69" s="234" t="inlineStr">
        <is>
          <t>Seguridad electrónica (CCTV, accesos, intrusión)</t>
        </is>
      </c>
      <c r="O69" s="234" t="inlineStr">
        <is>
          <t>Estimado DION · criterio de mercado Guayaquil 2026 (no verificado en tienda)</t>
        </is>
      </c>
      <c r="P69" s="234" t="inlineStr">
        <is>
          <t>oct-2026 (est.)</t>
        </is>
      </c>
      <c r="Q69" s="234" t="n"/>
    </row>
    <row r="70">
      <c r="A70" s="18" t="n">
        <v>53</v>
      </c>
      <c r="B70" s="19" t="inlineStr">
        <is>
          <t xml:space="preserve">        NVR 16 Canales PoE 4K</t>
        </is>
      </c>
      <c r="C70" s="20" t="inlineStr">
        <is>
          <t>Residencial / Comercial / Ind</t>
        </is>
      </c>
      <c r="D70" s="18" t="inlineStr">
        <is>
          <t>Grabadores</t>
        </is>
      </c>
      <c r="E70" s="18" t="inlineStr">
        <is>
          <t>U</t>
        </is>
      </c>
      <c r="F70" s="21" t="n">
        <v>1</v>
      </c>
      <c r="G70" s="22" t="n">
        <v>360</v>
      </c>
      <c r="H70" s="22" t="n">
        <v>367.2</v>
      </c>
      <c r="I70" s="18" t="inlineStr">
        <is>
          <t>Megametales</t>
        </is>
      </c>
      <c r="J70" s="22" t="n">
        <v>399.6</v>
      </c>
      <c r="K70" s="18" t="inlineStr">
        <is>
          <t>Kywi / Megakywi</t>
        </is>
      </c>
      <c r="L70" s="8">
        <f>F70*G70</f>
        <v/>
      </c>
      <c r="M70" s="145" t="inlineStr">
        <is>
          <t>SEG-D50-NVR-016CH</t>
        </is>
      </c>
      <c r="N70" s="18" t="inlineStr">
        <is>
          <t>Seguridad electrónica (CCTV, accesos, intrusión)</t>
        </is>
      </c>
      <c r="O70" s="18" t="inlineStr">
        <is>
          <t>Estimado DION · criterio de mercado Guayaquil 2026 (no verificado en tienda)</t>
        </is>
      </c>
      <c r="P70" s="18" t="inlineStr">
        <is>
          <t>oct-2026 (est.)</t>
        </is>
      </c>
      <c r="Q70" s="18" t="n"/>
    </row>
    <row r="71">
      <c r="A71" s="234" t="n">
        <v>54</v>
      </c>
      <c r="B71" s="235" t="inlineStr">
        <is>
          <t xml:space="preserve">        NVR 32 Canales 4K</t>
        </is>
      </c>
      <c r="C71" s="236" t="inlineStr">
        <is>
          <t>Residencial / Comercial / Ind</t>
        </is>
      </c>
      <c r="D71" s="234" t="inlineStr">
        <is>
          <t>Grabadores</t>
        </is>
      </c>
      <c r="E71" s="234" t="inlineStr">
        <is>
          <t>U</t>
        </is>
      </c>
      <c r="F71" s="237" t="n">
        <v>0</v>
      </c>
      <c r="G71" s="238" t="n">
        <v>780</v>
      </c>
      <c r="H71" s="238" t="n">
        <v>819</v>
      </c>
      <c r="I71" s="234" t="inlineStr">
        <is>
          <t>Megametales</t>
        </is>
      </c>
      <c r="J71" s="238" t="n">
        <v>842.4</v>
      </c>
      <c r="K71" s="234" t="inlineStr">
        <is>
          <t>Kywi / Megakywi</t>
        </is>
      </c>
      <c r="L71" s="239">
        <f>F71*G71</f>
        <v/>
      </c>
      <c r="M71" s="240" t="inlineStr">
        <is>
          <t>SEG-D50-NVR-032CH</t>
        </is>
      </c>
      <c r="N71" s="234" t="inlineStr">
        <is>
          <t>Seguridad electrónica (CCTV, accesos, intrusión)</t>
        </is>
      </c>
      <c r="O71" s="234" t="inlineStr">
        <is>
          <t>Estimado DION · criterio de mercado Guayaquil 2026 (no verificado en tienda)</t>
        </is>
      </c>
      <c r="P71" s="234" t="inlineStr">
        <is>
          <t>oct-2026 (est.)</t>
        </is>
      </c>
      <c r="Q71" s="234" t="n"/>
    </row>
    <row r="72">
      <c r="A72" s="18" t="n">
        <v>55</v>
      </c>
      <c r="B72" s="19" t="inlineStr">
        <is>
          <t xml:space="preserve">        Disco Duro Videovigilancia 4 TB</t>
        </is>
      </c>
      <c r="C72" s="20" t="inlineStr">
        <is>
          <t>Residencial / Comercial / Ind</t>
        </is>
      </c>
      <c r="D72" s="18" t="inlineStr">
        <is>
          <t>Almacenamiento</t>
        </is>
      </c>
      <c r="E72" s="18" t="inlineStr">
        <is>
          <t>U</t>
        </is>
      </c>
      <c r="F72" s="21" t="n">
        <v>2</v>
      </c>
      <c r="G72" s="22" t="n">
        <v>110</v>
      </c>
      <c r="H72" s="22" t="n">
        <v>114.4</v>
      </c>
      <c r="I72" s="18" t="inlineStr">
        <is>
          <t>Megametales</t>
        </is>
      </c>
      <c r="J72" s="22" t="n">
        <v>118.8</v>
      </c>
      <c r="K72" s="18" t="inlineStr">
        <is>
          <t>Kywi / Megakywi</t>
        </is>
      </c>
      <c r="L72" s="8">
        <f>F72*G72</f>
        <v/>
      </c>
      <c r="M72" s="145" t="inlineStr">
        <is>
          <t>SEG-D50-NVR-ALM-STO</t>
        </is>
      </c>
      <c r="N72" s="18" t="inlineStr">
        <is>
          <t>Seguridad electrónica (CCTV, accesos, intrusión)</t>
        </is>
      </c>
      <c r="O72" s="18" t="inlineStr">
        <is>
          <t>Estimado DION · criterio de mercado Guayaquil 2026 (no verificado en tienda)</t>
        </is>
      </c>
      <c r="P72" s="18" t="inlineStr">
        <is>
          <t>oct-2026 (est.)</t>
        </is>
      </c>
      <c r="Q72" s="18" t="n"/>
    </row>
    <row r="73">
      <c r="A73" s="234" t="n">
        <v>56</v>
      </c>
      <c r="B73" s="235" t="inlineStr">
        <is>
          <t xml:space="preserve">        Monitor de Vigilancia 43"</t>
        </is>
      </c>
      <c r="C73" s="236" t="inlineStr">
        <is>
          <t>Residencial / Comercial / Ind</t>
        </is>
      </c>
      <c r="D73" s="234" t="inlineStr">
        <is>
          <t>Monitores</t>
        </is>
      </c>
      <c r="E73" s="234" t="inlineStr">
        <is>
          <t>U</t>
        </is>
      </c>
      <c r="F73" s="237" t="n">
        <v>1</v>
      </c>
      <c r="G73" s="238" t="n">
        <v>380</v>
      </c>
      <c r="H73" s="238" t="n">
        <v>395.2</v>
      </c>
      <c r="I73" s="234" t="inlineStr">
        <is>
          <t>Megametales</t>
        </is>
      </c>
      <c r="J73" s="238" t="n">
        <v>418</v>
      </c>
      <c r="K73" s="234" t="inlineStr">
        <is>
          <t>Kywi / Megakywi</t>
        </is>
      </c>
      <c r="L73" s="239">
        <f>F73*G73</f>
        <v/>
      </c>
      <c r="M73" s="240" t="inlineStr">
        <is>
          <t>SEG-D50-NVR-MON-43</t>
        </is>
      </c>
      <c r="N73" s="234" t="inlineStr">
        <is>
          <t>Seguridad electrónica (CCTV, accesos, intrusión)</t>
        </is>
      </c>
      <c r="O73" s="234" t="inlineStr">
        <is>
          <t>Estimado DION · criterio de mercado Guayaquil 2026 (no verificado en tienda)</t>
        </is>
      </c>
      <c r="P73" s="234" t="inlineStr">
        <is>
          <t>oct-2026 (est.)</t>
        </is>
      </c>
      <c r="Q73" s="234" t="n"/>
    </row>
    <row r="74">
      <c r="A74" s="18" t="n">
        <v>57</v>
      </c>
      <c r="B74" s="19" t="inlineStr">
        <is>
          <t xml:space="preserve">        Lectora de Proximidad RFID</t>
        </is>
      </c>
      <c r="C74" s="20" t="inlineStr">
        <is>
          <t>Residencial / Comercial / Ind</t>
        </is>
      </c>
      <c r="D74" s="18" t="inlineStr">
        <is>
          <t>Control Acceso</t>
        </is>
      </c>
      <c r="E74" s="18" t="inlineStr">
        <is>
          <t>U</t>
        </is>
      </c>
      <c r="F74" s="21" t="n">
        <v>2</v>
      </c>
      <c r="G74" s="22" t="n">
        <v>58</v>
      </c>
      <c r="H74" s="22" t="n">
        <v>59.74</v>
      </c>
      <c r="I74" s="18" t="inlineStr">
        <is>
          <t>Megametales</t>
        </is>
      </c>
      <c r="J74" s="22" t="n">
        <v>63.22</v>
      </c>
      <c r="K74" s="18" t="inlineStr">
        <is>
          <t>Kywi / Megakywi</t>
        </is>
      </c>
      <c r="L74" s="8">
        <f>F74*G74</f>
        <v/>
      </c>
      <c r="M74" s="145" t="inlineStr">
        <is>
          <t>SEG-D50-ACC-LEC-PRO</t>
        </is>
      </c>
      <c r="N74" s="18" t="inlineStr">
        <is>
          <t>Seguridad electrónica (CCTV, accesos, intrusión)</t>
        </is>
      </c>
      <c r="O74" s="18" t="inlineStr">
        <is>
          <t>Estimado DION · criterio de mercado Guayaquil 2026 (no verificado en tienda)</t>
        </is>
      </c>
      <c r="P74" s="18" t="inlineStr">
        <is>
          <t>oct-2026 (est.)</t>
        </is>
      </c>
      <c r="Q74" s="18" t="n"/>
    </row>
    <row r="75">
      <c r="A75" s="234" t="n">
        <v>58</v>
      </c>
      <c r="B75" s="235" t="inlineStr">
        <is>
          <t xml:space="preserve">        Lectora Biométrica Huella/Rostro</t>
        </is>
      </c>
      <c r="C75" s="236" t="inlineStr">
        <is>
          <t>Residencial / Comercial / Ind</t>
        </is>
      </c>
      <c r="D75" s="234" t="inlineStr">
        <is>
          <t>Control Acceso</t>
        </is>
      </c>
      <c r="E75" s="234" t="inlineStr">
        <is>
          <t>U</t>
        </is>
      </c>
      <c r="F75" s="237" t="n">
        <v>2</v>
      </c>
      <c r="G75" s="238" t="n">
        <v>285</v>
      </c>
      <c r="H75" s="238" t="n">
        <v>293.55</v>
      </c>
      <c r="I75" s="234" t="inlineStr">
        <is>
          <t>Megametales</t>
        </is>
      </c>
      <c r="J75" s="238" t="n">
        <v>313.5</v>
      </c>
      <c r="K75" s="234" t="inlineStr">
        <is>
          <t>Kywi / Megakywi</t>
        </is>
      </c>
      <c r="L75" s="239">
        <f>F75*G75</f>
        <v/>
      </c>
      <c r="M75" s="240" t="inlineStr">
        <is>
          <t>SEG-D50-ACC-LEC-BIO</t>
        </is>
      </c>
      <c r="N75" s="234" t="inlineStr">
        <is>
          <t>Seguridad electrónica (CCTV, accesos, intrusión)</t>
        </is>
      </c>
      <c r="O75" s="234" t="inlineStr">
        <is>
          <t>Estimado DION · criterio de mercado Guayaquil 2026 (no verificado en tienda)</t>
        </is>
      </c>
      <c r="P75" s="234" t="inlineStr">
        <is>
          <t>oct-2026 (est.)</t>
        </is>
      </c>
      <c r="Q75" s="234" t="n"/>
    </row>
    <row r="76">
      <c r="A76" s="18" t="n">
        <v>59</v>
      </c>
      <c r="B76" s="19" t="inlineStr">
        <is>
          <t xml:space="preserve">        Cerradura Electromagnética 300 lb</t>
        </is>
      </c>
      <c r="C76" s="20" t="inlineStr">
        <is>
          <t>Residencial / Comercial / Ind</t>
        </is>
      </c>
      <c r="D76" s="18" t="inlineStr">
        <is>
          <t>Cerraduras</t>
        </is>
      </c>
      <c r="E76" s="18" t="inlineStr">
        <is>
          <t>U</t>
        </is>
      </c>
      <c r="F76" s="21" t="n">
        <v>2</v>
      </c>
      <c r="G76" s="22" t="n">
        <v>48</v>
      </c>
      <c r="H76" s="22" t="n">
        <v>49.44</v>
      </c>
      <c r="I76" s="18" t="inlineStr">
        <is>
          <t>Megametales</t>
        </is>
      </c>
      <c r="J76" s="22" t="n">
        <v>51.84</v>
      </c>
      <c r="K76" s="18" t="inlineStr">
        <is>
          <t>Kywi / Megakywi</t>
        </is>
      </c>
      <c r="L76" s="8">
        <f>F76*G76</f>
        <v/>
      </c>
      <c r="M76" s="145" t="inlineStr">
        <is>
          <t>SEG-D50-ACC-CER-ELM-300</t>
        </is>
      </c>
      <c r="N76" s="18" t="inlineStr">
        <is>
          <t>Seguridad electrónica (CCTV, accesos, intrusión)</t>
        </is>
      </c>
      <c r="O76" s="18" t="inlineStr">
        <is>
          <t>Estimado DION · criterio de mercado Guayaquil 2026 (no verificado en tienda)</t>
        </is>
      </c>
      <c r="P76" s="18" t="inlineStr">
        <is>
          <t>oct-2026 (est.)</t>
        </is>
      </c>
      <c r="Q76" s="18" t="n"/>
    </row>
    <row r="77">
      <c r="A77" s="234" t="n">
        <v>60</v>
      </c>
      <c r="B77" s="235" t="inlineStr">
        <is>
          <t xml:space="preserve">        Cerradura Electromagnética 600 lb</t>
        </is>
      </c>
      <c r="C77" s="236" t="inlineStr">
        <is>
          <t>Residencial / Comercial / Ind</t>
        </is>
      </c>
      <c r="D77" s="234" t="inlineStr">
        <is>
          <t>Cerraduras</t>
        </is>
      </c>
      <c r="E77" s="234" t="inlineStr">
        <is>
          <t>U</t>
        </is>
      </c>
      <c r="F77" s="237" t="n">
        <v>2</v>
      </c>
      <c r="G77" s="238" t="n">
        <v>72</v>
      </c>
      <c r="H77" s="238" t="n">
        <v>74.88</v>
      </c>
      <c r="I77" s="234" t="inlineStr">
        <is>
          <t>Megametales</t>
        </is>
      </c>
      <c r="J77" s="238" t="n">
        <v>78.48</v>
      </c>
      <c r="K77" s="234" t="inlineStr">
        <is>
          <t>Kywi / Megakywi</t>
        </is>
      </c>
      <c r="L77" s="239">
        <f>F77*G77</f>
        <v/>
      </c>
      <c r="M77" s="240" t="inlineStr">
        <is>
          <t>SEG-D50-ACC-CER-ELM-600</t>
        </is>
      </c>
      <c r="N77" s="234" t="inlineStr">
        <is>
          <t>Seguridad electrónica (CCTV, accesos, intrusión)</t>
        </is>
      </c>
      <c r="O77" s="234" t="inlineStr">
        <is>
          <t>Estimado DION · criterio de mercado Guayaquil 2026 (no verificado en tienda)</t>
        </is>
      </c>
      <c r="P77" s="234" t="inlineStr">
        <is>
          <t>oct-2026 (est.)</t>
        </is>
      </c>
      <c r="Q77" s="234" t="n"/>
    </row>
    <row r="78">
      <c r="A78" s="18" t="n">
        <v>61</v>
      </c>
      <c r="B78" s="19" t="inlineStr">
        <is>
          <t xml:space="preserve">        Botón de Salida</t>
        </is>
      </c>
      <c r="C78" s="20" t="inlineStr">
        <is>
          <t>Residencial / Comercial / Ind</t>
        </is>
      </c>
      <c r="D78" s="18" t="inlineStr">
        <is>
          <t>Botones</t>
        </is>
      </c>
      <c r="E78" s="18" t="inlineStr">
        <is>
          <t>U</t>
        </is>
      </c>
      <c r="F78" s="21" t="n">
        <v>2</v>
      </c>
      <c r="G78" s="22" t="n">
        <v>9.5</v>
      </c>
      <c r="H78" s="22" t="n">
        <v>9.970000000000001</v>
      </c>
      <c r="I78" s="18" t="inlineStr">
        <is>
          <t>Megametales</t>
        </is>
      </c>
      <c r="J78" s="22" t="n">
        <v>10.45</v>
      </c>
      <c r="K78" s="18" t="inlineStr">
        <is>
          <t>Kywi / Megakywi</t>
        </is>
      </c>
      <c r="L78" s="8">
        <f>F78*G78</f>
        <v/>
      </c>
      <c r="M78" s="145" t="inlineStr">
        <is>
          <t>SEG-D50-ACC-BOT-SAL</t>
        </is>
      </c>
      <c r="N78" s="18" t="inlineStr">
        <is>
          <t>Seguridad electrónica (CCTV, accesos, intrusión)</t>
        </is>
      </c>
      <c r="O78" s="18" t="inlineStr">
        <is>
          <t>Estimado DION · criterio de mercado Guayaquil 2026 (no verificado en tienda)</t>
        </is>
      </c>
      <c r="P78" s="18" t="inlineStr">
        <is>
          <t>oct-2026 (est.)</t>
        </is>
      </c>
      <c r="Q78" s="18" t="n"/>
    </row>
    <row r="79">
      <c r="A79" s="234" t="n">
        <v>62</v>
      </c>
      <c r="B79" s="235" t="inlineStr">
        <is>
          <t xml:space="preserve">        Botón de Emergencia Rompevidrio</t>
        </is>
      </c>
      <c r="C79" s="236" t="inlineStr">
        <is>
          <t>Residencial / Comercial / Ind</t>
        </is>
      </c>
      <c r="D79" s="234" t="inlineStr">
        <is>
          <t>Botones</t>
        </is>
      </c>
      <c r="E79" s="234" t="inlineStr">
        <is>
          <t>U</t>
        </is>
      </c>
      <c r="F79" s="237" t="n">
        <v>2</v>
      </c>
      <c r="G79" s="238" t="n">
        <v>18</v>
      </c>
      <c r="H79" s="238" t="n">
        <v>18.36</v>
      </c>
      <c r="I79" s="234" t="inlineStr">
        <is>
          <t>Megametales</t>
        </is>
      </c>
      <c r="J79" s="238" t="n">
        <v>19.44</v>
      </c>
      <c r="K79" s="234" t="inlineStr">
        <is>
          <t>Kywi / Megakywi</t>
        </is>
      </c>
      <c r="L79" s="239">
        <f>F79*G79</f>
        <v/>
      </c>
      <c r="M79" s="240" t="inlineStr">
        <is>
          <t>SEG-D50-ACC-BOT-EME</t>
        </is>
      </c>
      <c r="N79" s="234" t="inlineStr">
        <is>
          <t>Seguridad electrónica (CCTV, accesos, intrusión)</t>
        </is>
      </c>
      <c r="O79" s="234" t="inlineStr">
        <is>
          <t>Estimado DION · criterio de mercado Guayaquil 2026 (no verificado en tienda)</t>
        </is>
      </c>
      <c r="P79" s="234" t="inlineStr">
        <is>
          <t>oct-2026 (est.)</t>
        </is>
      </c>
      <c r="Q79" s="234" t="n"/>
    </row>
    <row r="80">
      <c r="A80" s="18" t="n">
        <v>63</v>
      </c>
      <c r="B80" s="19" t="inlineStr">
        <is>
          <t xml:space="preserve">        Controladora de Acceso 2 Puertas</t>
        </is>
      </c>
      <c r="C80" s="20" t="inlineStr">
        <is>
          <t>Residencial / Comercial / Ind</t>
        </is>
      </c>
      <c r="D80" s="18" t="inlineStr">
        <is>
          <t>Controladoras</t>
        </is>
      </c>
      <c r="E80" s="18" t="inlineStr">
        <is>
          <t>U</t>
        </is>
      </c>
      <c r="F80" s="21" t="n">
        <v>1</v>
      </c>
      <c r="G80" s="22" t="n">
        <v>420</v>
      </c>
      <c r="H80" s="22" t="n">
        <v>436.8</v>
      </c>
      <c r="I80" s="18" t="inlineStr">
        <is>
          <t>Megametales</t>
        </is>
      </c>
      <c r="J80" s="22" t="n">
        <v>453.6</v>
      </c>
      <c r="K80" s="18" t="inlineStr">
        <is>
          <t>Kywi / Megakywi</t>
        </is>
      </c>
      <c r="L80" s="8">
        <f>F80*G80</f>
        <v/>
      </c>
      <c r="M80" s="145" t="inlineStr">
        <is>
          <t>SEG-D50-ACC-CTL-2P</t>
        </is>
      </c>
      <c r="N80" s="18" t="inlineStr">
        <is>
          <t>Seguridad electrónica (CCTV, accesos, intrusión)</t>
        </is>
      </c>
      <c r="O80" s="18" t="inlineStr">
        <is>
          <t>Estimado DION · criterio de mercado Guayaquil 2026 (no verificado en tienda)</t>
        </is>
      </c>
      <c r="P80" s="18" t="inlineStr">
        <is>
          <t>oct-2026 (est.)</t>
        </is>
      </c>
      <c r="Q80" s="18" t="n"/>
    </row>
    <row r="81">
      <c r="A81" s="234" t="n">
        <v>64</v>
      </c>
      <c r="B81" s="235" t="inlineStr">
        <is>
          <t xml:space="preserve">        Torniquete Trípode Acero Inox</t>
        </is>
      </c>
      <c r="C81" s="236" t="inlineStr">
        <is>
          <t>Residencial / Comercial / Ind</t>
        </is>
      </c>
      <c r="D81" s="234" t="inlineStr">
        <is>
          <t>Torniquetes</t>
        </is>
      </c>
      <c r="E81" s="234" t="inlineStr">
        <is>
          <t>U</t>
        </is>
      </c>
      <c r="F81" s="237" t="n">
        <v>0</v>
      </c>
      <c r="G81" s="238" t="n">
        <v>1650</v>
      </c>
      <c r="H81" s="238" t="n">
        <v>1699.5</v>
      </c>
      <c r="I81" s="234" t="inlineStr">
        <is>
          <t>Megametales</t>
        </is>
      </c>
      <c r="J81" s="238" t="n">
        <v>1831.5</v>
      </c>
      <c r="K81" s="234" t="inlineStr">
        <is>
          <t>Kywi / Megakywi</t>
        </is>
      </c>
      <c r="L81" s="239">
        <f>F81*G81</f>
        <v/>
      </c>
      <c r="M81" s="240" t="inlineStr">
        <is>
          <t>SEG-D50-ACC-TOR-TRI</t>
        </is>
      </c>
      <c r="N81" s="234" t="inlineStr">
        <is>
          <t>Seguridad electrónica (CCTV, accesos, intrusión)</t>
        </is>
      </c>
      <c r="O81" s="234" t="inlineStr">
        <is>
          <t>Estimado DION · criterio de mercado Guayaquil 2026 (no verificado en tienda)</t>
        </is>
      </c>
      <c r="P81" s="234" t="inlineStr">
        <is>
          <t>oct-2026 (est.)</t>
        </is>
      </c>
      <c r="Q81" s="234" t="n"/>
    </row>
    <row r="82">
      <c r="A82" s="18" t="n">
        <v>65</v>
      </c>
      <c r="B82" s="19" t="inlineStr">
        <is>
          <t xml:space="preserve">        Barrera Vehicular 3 m</t>
        </is>
      </c>
      <c r="C82" s="20" t="inlineStr">
        <is>
          <t>Residencial / Comercial / Ind</t>
        </is>
      </c>
      <c r="D82" s="18" t="inlineStr">
        <is>
          <t>Barreras</t>
        </is>
      </c>
      <c r="E82" s="18" t="inlineStr">
        <is>
          <t>U</t>
        </is>
      </c>
      <c r="F82" s="21" t="n">
        <v>0</v>
      </c>
      <c r="G82" s="22" t="n">
        <v>1250</v>
      </c>
      <c r="H82" s="22" t="n">
        <v>1312.5</v>
      </c>
      <c r="I82" s="18" t="inlineStr">
        <is>
          <t>Megametales</t>
        </is>
      </c>
      <c r="J82" s="22" t="n">
        <v>1350</v>
      </c>
      <c r="K82" s="18" t="inlineStr">
        <is>
          <t>Kywi / Megakywi</t>
        </is>
      </c>
      <c r="L82" s="8">
        <f>F82*G82</f>
        <v/>
      </c>
      <c r="M82" s="145" t="inlineStr">
        <is>
          <t>SEG-D50-ACC-BAR-VEH</t>
        </is>
      </c>
      <c r="N82" s="18" t="inlineStr">
        <is>
          <t>Seguridad electrónica (CCTV, accesos, intrusión)</t>
        </is>
      </c>
      <c r="O82" s="18" t="inlineStr">
        <is>
          <t>Estimado DION · criterio de mercado Guayaquil 2026 (no verificado en tienda)</t>
        </is>
      </c>
      <c r="P82" s="18" t="inlineStr">
        <is>
          <t>oct-2026 (est.)</t>
        </is>
      </c>
      <c r="Q82" s="18" t="n"/>
    </row>
    <row r="83">
      <c r="A83" s="234" t="n">
        <v>66</v>
      </c>
      <c r="B83" s="235" t="inlineStr">
        <is>
          <t xml:space="preserve">        Sensor de Movimiento PIR</t>
        </is>
      </c>
      <c r="C83" s="236" t="inlineStr">
        <is>
          <t>Residencial / Comercial / Ind</t>
        </is>
      </c>
      <c r="D83" s="234" t="inlineStr">
        <is>
          <t>Intrusión</t>
        </is>
      </c>
      <c r="E83" s="234" t="inlineStr">
        <is>
          <t>U</t>
        </is>
      </c>
      <c r="F83" s="237" t="n">
        <v>4</v>
      </c>
      <c r="G83" s="238" t="n">
        <v>18</v>
      </c>
      <c r="H83" s="238" t="n">
        <v>18.9</v>
      </c>
      <c r="I83" s="234" t="inlineStr">
        <is>
          <t>Megametales</t>
        </is>
      </c>
      <c r="J83" s="238" t="n">
        <v>19.98</v>
      </c>
      <c r="K83" s="234" t="inlineStr">
        <is>
          <t>Kywi / Megakywi</t>
        </is>
      </c>
      <c r="L83" s="239">
        <f>F83*G83</f>
        <v/>
      </c>
      <c r="M83" s="240" t="inlineStr">
        <is>
          <t>SEG-D50-INT-PIR</t>
        </is>
      </c>
      <c r="N83" s="234" t="inlineStr">
        <is>
          <t>Seguridad electrónica (CCTV, accesos, intrusión)</t>
        </is>
      </c>
      <c r="O83" s="234" t="inlineStr">
        <is>
          <t>Estimado DION · criterio de mercado Guayaquil 2026 (no verificado en tienda)</t>
        </is>
      </c>
      <c r="P83" s="234" t="inlineStr">
        <is>
          <t>oct-2026 (est.)</t>
        </is>
      </c>
      <c r="Q83" s="234" t="n"/>
    </row>
    <row r="84">
      <c r="A84" s="18" t="n">
        <v>67</v>
      </c>
      <c r="B84" s="19" t="inlineStr">
        <is>
          <t xml:space="preserve">        Contacto Magnético Puerta/Ventana</t>
        </is>
      </c>
      <c r="C84" s="20" t="inlineStr">
        <is>
          <t>Residencial / Comercial / Ind</t>
        </is>
      </c>
      <c r="D84" s="18" t="inlineStr">
        <is>
          <t>Intrusión</t>
        </is>
      </c>
      <c r="E84" s="18" t="inlineStr">
        <is>
          <t>U</t>
        </is>
      </c>
      <c r="F84" s="21" t="n">
        <v>6</v>
      </c>
      <c r="G84" s="22" t="n">
        <v>6.5</v>
      </c>
      <c r="H84" s="22" t="n">
        <v>6.76</v>
      </c>
      <c r="I84" s="18" t="inlineStr">
        <is>
          <t>Megametales</t>
        </is>
      </c>
      <c r="J84" s="22" t="n">
        <v>7.15</v>
      </c>
      <c r="K84" s="18" t="inlineStr">
        <is>
          <t>Kywi / Megakywi</t>
        </is>
      </c>
      <c r="L84" s="8">
        <f>F84*G84</f>
        <v/>
      </c>
      <c r="M84" s="145" t="inlineStr">
        <is>
          <t>SEG-D50-INT-MAG</t>
        </is>
      </c>
      <c r="N84" s="18" t="inlineStr">
        <is>
          <t>Seguridad electrónica (CCTV, accesos, intrusión)</t>
        </is>
      </c>
      <c r="O84" s="18" t="inlineStr">
        <is>
          <t>Estimado DION · criterio de mercado Guayaquil 2026 (no verificado en tienda)</t>
        </is>
      </c>
      <c r="P84" s="18" t="inlineStr">
        <is>
          <t>oct-2026 (est.)</t>
        </is>
      </c>
      <c r="Q84" s="18" t="n"/>
    </row>
    <row r="85">
      <c r="A85" s="234" t="n">
        <v>68</v>
      </c>
      <c r="B85" s="235" t="inlineStr">
        <is>
          <t xml:space="preserve">        Panel de Alarma 8-32 Zonas + Teclado</t>
        </is>
      </c>
      <c r="C85" s="236" t="inlineStr">
        <is>
          <t>Residencial / Comercial / Ind</t>
        </is>
      </c>
      <c r="D85" s="234" t="inlineStr">
        <is>
          <t>Intrusión</t>
        </is>
      </c>
      <c r="E85" s="234" t="inlineStr">
        <is>
          <t>U</t>
        </is>
      </c>
      <c r="F85" s="237" t="n">
        <v>1</v>
      </c>
      <c r="G85" s="238" t="n">
        <v>195</v>
      </c>
      <c r="H85" s="238" t="n">
        <v>202.8</v>
      </c>
      <c r="I85" s="234" t="inlineStr">
        <is>
          <t>Megametales</t>
        </is>
      </c>
      <c r="J85" s="238" t="n">
        <v>208.65</v>
      </c>
      <c r="K85" s="234" t="inlineStr">
        <is>
          <t>Kywi / Megakywi</t>
        </is>
      </c>
      <c r="L85" s="239">
        <f>F85*G85</f>
        <v/>
      </c>
      <c r="M85" s="240" t="inlineStr">
        <is>
          <t>SEG-D50-INT-PAN-ALA</t>
        </is>
      </c>
      <c r="N85" s="234" t="inlineStr">
        <is>
          <t>Seguridad electrónica (CCTV, accesos, intrusión)</t>
        </is>
      </c>
      <c r="O85" s="234" t="inlineStr">
        <is>
          <t>Estimado DION · criterio de mercado Guayaquil 2026 (no verificado en tienda)</t>
        </is>
      </c>
      <c r="P85" s="234" t="inlineStr">
        <is>
          <t>oct-2026 (est.)</t>
        </is>
      </c>
      <c r="Q85" s="234" t="n"/>
    </row>
    <row r="86">
      <c r="A86" s="18" t="n">
        <v>69</v>
      </c>
      <c r="B86" s="19" t="inlineStr">
        <is>
          <t xml:space="preserve">        Sirena Exterior con Estrobo</t>
        </is>
      </c>
      <c r="C86" s="20" t="inlineStr">
        <is>
          <t>Residencial / Comercial / Ind</t>
        </is>
      </c>
      <c r="D86" s="18" t="inlineStr">
        <is>
          <t>Intrusión</t>
        </is>
      </c>
      <c r="E86" s="18" t="inlineStr">
        <is>
          <t>U</t>
        </is>
      </c>
      <c r="F86" s="21" t="n">
        <v>1</v>
      </c>
      <c r="G86" s="22" t="n">
        <v>38</v>
      </c>
      <c r="H86" s="22" t="n">
        <v>39.9</v>
      </c>
      <c r="I86" s="18" t="inlineStr">
        <is>
          <t>Megametales</t>
        </is>
      </c>
      <c r="J86" s="22" t="n">
        <v>41.8</v>
      </c>
      <c r="K86" s="18" t="inlineStr">
        <is>
          <t>Kywi / Megakywi</t>
        </is>
      </c>
      <c r="L86" s="8">
        <f>F86*G86</f>
        <v/>
      </c>
      <c r="M86" s="145" t="inlineStr">
        <is>
          <t>SEG-D50-INT-SIR</t>
        </is>
      </c>
      <c r="N86" s="18" t="inlineStr">
        <is>
          <t>Seguridad electrónica (CCTV, accesos, intrusión)</t>
        </is>
      </c>
      <c r="O86" s="18" t="inlineStr">
        <is>
          <t>Estimado DION · criterio de mercado Guayaquil 2026 (no verificado en tienda)</t>
        </is>
      </c>
      <c r="P86" s="18" t="inlineStr">
        <is>
          <t>oct-2026 (est.)</t>
        </is>
      </c>
      <c r="Q86" s="18" t="n"/>
    </row>
    <row r="87">
      <c r="A87" s="231" t="inlineStr">
        <is>
          <t>EQUIPOS ESPECIALIZADOS</t>
        </is>
      </c>
      <c r="B87" s="143" t="n"/>
      <c r="C87" s="143" t="n"/>
      <c r="D87" s="143" t="n"/>
      <c r="E87" s="143" t="n"/>
      <c r="F87" s="143" t="n"/>
      <c r="G87" s="143" t="n"/>
      <c r="H87" s="143" t="n"/>
      <c r="I87" s="143" t="n"/>
      <c r="J87" s="143" t="n"/>
      <c r="K87" s="143" t="n"/>
      <c r="L87" s="143" t="n"/>
      <c r="M87" s="143" t="n"/>
      <c r="N87" s="143" t="n"/>
      <c r="O87" s="143" t="n"/>
      <c r="P87" s="143" t="n"/>
      <c r="Q87" s="144" t="n"/>
    </row>
    <row r="88">
      <c r="A88" s="232" t="inlineStr">
        <is>
          <t xml:space="preserve">  ► CATEGORÍA: AUDIO, LLAMADO DE ENFERMERÍA E INTERCOMUNICACIÓN</t>
        </is>
      </c>
      <c r="B88" s="143" t="n"/>
      <c r="C88" s="143" t="n"/>
      <c r="D88" s="143" t="n"/>
      <c r="E88" s="143" t="n"/>
      <c r="F88" s="143" t="n"/>
      <c r="G88" s="143" t="n"/>
      <c r="H88" s="143" t="n"/>
      <c r="I88" s="143" t="n"/>
      <c r="J88" s="143" t="n"/>
      <c r="K88" s="143" t="n"/>
      <c r="L88" s="143" t="n"/>
      <c r="M88" s="143" t="n"/>
      <c r="N88" s="143" t="n"/>
      <c r="O88" s="143" t="n"/>
      <c r="P88" s="143" t="n"/>
      <c r="Q88" s="144" t="n"/>
    </row>
    <row r="89">
      <c r="A89" s="233" t="inlineStr">
        <is>
          <t xml:space="preserve">      • Subcategoría Especificada: Sonorización, Perifoneo y Nurse Call</t>
        </is>
      </c>
      <c r="B89" s="143" t="n"/>
      <c r="C89" s="143" t="n"/>
      <c r="D89" s="143" t="n"/>
      <c r="E89" s="143" t="n"/>
      <c r="F89" s="143" t="n"/>
      <c r="G89" s="143" t="n"/>
      <c r="H89" s="143" t="n"/>
      <c r="I89" s="143" t="n"/>
      <c r="J89" s="143" t="n"/>
      <c r="K89" s="143" t="n"/>
      <c r="L89" s="143" t="n"/>
      <c r="M89" s="143" t="n"/>
      <c r="N89" s="143" t="n"/>
      <c r="O89" s="143" t="n"/>
      <c r="P89" s="143" t="n"/>
      <c r="Q89" s="144" t="n"/>
    </row>
    <row r="90">
      <c r="A90" s="234" t="n">
        <v>70</v>
      </c>
      <c r="B90" s="235" t="inlineStr">
        <is>
          <t xml:space="preserve">        Parlante de Techo 6W 70V</t>
        </is>
      </c>
      <c r="C90" s="236" t="inlineStr">
        <is>
          <t>Residencial / Comercial / Ind</t>
        </is>
      </c>
      <c r="D90" s="234" t="inlineStr">
        <is>
          <t>Audio</t>
        </is>
      </c>
      <c r="E90" s="234" t="inlineStr">
        <is>
          <t>U</t>
        </is>
      </c>
      <c r="F90" s="237" t="n">
        <v>8</v>
      </c>
      <c r="G90" s="238" t="n">
        <v>28</v>
      </c>
      <c r="H90" s="238" t="n">
        <v>28.56</v>
      </c>
      <c r="I90" s="234" t="inlineStr">
        <is>
          <t>Megametales</t>
        </is>
      </c>
      <c r="J90" s="238" t="n">
        <v>31.08</v>
      </c>
      <c r="K90" s="234" t="inlineStr">
        <is>
          <t>Kywi / Megakywi</t>
        </is>
      </c>
      <c r="L90" s="239">
        <f>F90*G90</f>
        <v/>
      </c>
      <c r="M90" s="240" t="inlineStr">
        <is>
          <t>COM-D50-AUD-PAR-TEC-6W</t>
        </is>
      </c>
      <c r="N90" s="234" t="inlineStr">
        <is>
          <t>Comunicaciones (datos, voz, audio, llamado)</t>
        </is>
      </c>
      <c r="O90" s="234" t="inlineStr">
        <is>
          <t>Estimado DION · criterio de mercado Guayaquil 2026 (no verificado en tienda)</t>
        </is>
      </c>
      <c r="P90" s="234" t="inlineStr">
        <is>
          <t>oct-2026 (est.)</t>
        </is>
      </c>
      <c r="Q90" s="234" t="n"/>
    </row>
    <row r="91">
      <c r="A91" s="18" t="n">
        <v>71</v>
      </c>
      <c r="B91" s="19" t="inlineStr">
        <is>
          <t xml:space="preserve">        Parlante de Pared 10W</t>
        </is>
      </c>
      <c r="C91" s="20" t="inlineStr">
        <is>
          <t>Residencial / Comercial / Ind</t>
        </is>
      </c>
      <c r="D91" s="18" t="inlineStr">
        <is>
          <t>Audio</t>
        </is>
      </c>
      <c r="E91" s="18" t="inlineStr">
        <is>
          <t>U</t>
        </is>
      </c>
      <c r="F91" s="21" t="n">
        <v>4</v>
      </c>
      <c r="G91" s="22" t="n">
        <v>42</v>
      </c>
      <c r="H91" s="22" t="n">
        <v>44.1</v>
      </c>
      <c r="I91" s="18" t="inlineStr">
        <is>
          <t>Megametales</t>
        </is>
      </c>
      <c r="J91" s="22" t="n">
        <v>45.36</v>
      </c>
      <c r="K91" s="18" t="inlineStr">
        <is>
          <t>Kywi / Megakywi</t>
        </is>
      </c>
      <c r="L91" s="8">
        <f>F91*G91</f>
        <v/>
      </c>
      <c r="M91" s="145" t="inlineStr">
        <is>
          <t>COM-D50-AUD-PAR-PAR</t>
        </is>
      </c>
      <c r="N91" s="18" t="inlineStr">
        <is>
          <t>Comunicaciones (datos, voz, audio, llamado)</t>
        </is>
      </c>
      <c r="O91" s="18" t="inlineStr">
        <is>
          <t>Estimado DION · criterio de mercado Guayaquil 2026 (no verificado en tienda)</t>
        </is>
      </c>
      <c r="P91" s="18" t="inlineStr">
        <is>
          <t>oct-2026 (est.)</t>
        </is>
      </c>
      <c r="Q91" s="18" t="n"/>
    </row>
    <row r="92">
      <c r="A92" s="234" t="n">
        <v>72</v>
      </c>
      <c r="B92" s="235" t="inlineStr">
        <is>
          <t xml:space="preserve">        Bocina Exterior Tipo Corneta 30W</t>
        </is>
      </c>
      <c r="C92" s="236" t="inlineStr">
        <is>
          <t>Comercial / Industrial</t>
        </is>
      </c>
      <c r="D92" s="234" t="inlineStr">
        <is>
          <t>Audio</t>
        </is>
      </c>
      <c r="E92" s="234" t="inlineStr">
        <is>
          <t>U</t>
        </is>
      </c>
      <c r="F92" s="237" t="n">
        <v>2</v>
      </c>
      <c r="G92" s="238" t="n">
        <v>48</v>
      </c>
      <c r="H92" s="238" t="n">
        <v>48.96</v>
      </c>
      <c r="I92" s="234" t="inlineStr">
        <is>
          <t>Megametales</t>
        </is>
      </c>
      <c r="J92" s="238" t="n">
        <v>52.8</v>
      </c>
      <c r="K92" s="234" t="inlineStr">
        <is>
          <t>Kywi / Megakywi</t>
        </is>
      </c>
      <c r="L92" s="239">
        <f>F92*G92</f>
        <v/>
      </c>
      <c r="M92" s="240" t="inlineStr">
        <is>
          <t>COM-D50-AUD-BOC-EXT</t>
        </is>
      </c>
      <c r="N92" s="234" t="inlineStr">
        <is>
          <t>Comunicaciones (datos, voz, audio, llamado)</t>
        </is>
      </c>
      <c r="O92" s="234" t="inlineStr">
        <is>
          <t>Estimado DION · criterio de mercado Guayaquil 2026 (no verificado en tienda)</t>
        </is>
      </c>
      <c r="P92" s="234" t="inlineStr">
        <is>
          <t>oct-2026 (est.)</t>
        </is>
      </c>
      <c r="Q92" s="234" t="n"/>
    </row>
    <row r="93">
      <c r="A93" s="18" t="n">
        <v>73</v>
      </c>
      <c r="B93" s="19" t="inlineStr">
        <is>
          <t xml:space="preserve">        Amplificador Mezclador 240W 70V</t>
        </is>
      </c>
      <c r="C93" s="20" t="inlineStr">
        <is>
          <t>Comercial / Industrial</t>
        </is>
      </c>
      <c r="D93" s="18" t="inlineStr">
        <is>
          <t>Audio</t>
        </is>
      </c>
      <c r="E93" s="18" t="inlineStr">
        <is>
          <t>U</t>
        </is>
      </c>
      <c r="F93" s="21" t="n">
        <v>0</v>
      </c>
      <c r="G93" s="22" t="n">
        <v>520</v>
      </c>
      <c r="H93" s="22" t="n">
        <v>530.4</v>
      </c>
      <c r="I93" s="18" t="inlineStr">
        <is>
          <t>Megametales</t>
        </is>
      </c>
      <c r="J93" s="22" t="n">
        <v>566.8</v>
      </c>
      <c r="K93" s="18" t="inlineStr">
        <is>
          <t>Kywi / Megakywi</t>
        </is>
      </c>
      <c r="L93" s="8">
        <f>F93*G93</f>
        <v/>
      </c>
      <c r="M93" s="145" t="inlineStr">
        <is>
          <t>COM-D50-AUD-AMP-240W</t>
        </is>
      </c>
      <c r="N93" s="18" t="inlineStr">
        <is>
          <t>Comunicaciones (datos, voz, audio, llamado)</t>
        </is>
      </c>
      <c r="O93" s="18" t="inlineStr">
        <is>
          <t>Estimado DION · criterio de mercado Guayaquil 2026 (no verificado en tienda)</t>
        </is>
      </c>
      <c r="P93" s="18" t="inlineStr">
        <is>
          <t>oct-2026 (est.)</t>
        </is>
      </c>
      <c r="Q93" s="18" t="n"/>
    </row>
    <row r="94">
      <c r="A94" s="234" t="n">
        <v>74</v>
      </c>
      <c r="B94" s="235" t="inlineStr">
        <is>
          <t xml:space="preserve">        Micrófono de Perifoneo de Mesa</t>
        </is>
      </c>
      <c r="C94" s="236" t="inlineStr">
        <is>
          <t>Comercial / Industrial</t>
        </is>
      </c>
      <c r="D94" s="234" t="inlineStr">
        <is>
          <t>Audio</t>
        </is>
      </c>
      <c r="E94" s="234" t="inlineStr">
        <is>
          <t>U</t>
        </is>
      </c>
      <c r="F94" s="237" t="n">
        <v>1</v>
      </c>
      <c r="G94" s="238" t="n">
        <v>145</v>
      </c>
      <c r="H94" s="238" t="n">
        <v>147.9</v>
      </c>
      <c r="I94" s="234" t="inlineStr">
        <is>
          <t>Megametales</t>
        </is>
      </c>
      <c r="J94" s="238" t="n">
        <v>159.5</v>
      </c>
      <c r="K94" s="234" t="inlineStr">
        <is>
          <t>Kywi / Megakywi</t>
        </is>
      </c>
      <c r="L94" s="239">
        <f>F94*G94</f>
        <v/>
      </c>
      <c r="M94" s="240" t="inlineStr">
        <is>
          <t>COM-D50-AUD-MIC-PAG</t>
        </is>
      </c>
      <c r="N94" s="234" t="inlineStr">
        <is>
          <t>Comunicaciones (datos, voz, audio, llamado)</t>
        </is>
      </c>
      <c r="O94" s="234" t="inlineStr">
        <is>
          <t>Estimado DION · criterio de mercado Guayaquil 2026 (no verificado en tienda)</t>
        </is>
      </c>
      <c r="P94" s="234" t="inlineStr">
        <is>
          <t>oct-2026 (est.)</t>
        </is>
      </c>
      <c r="Q94" s="234" t="n"/>
    </row>
    <row r="95">
      <c r="A95" s="18" t="n">
        <v>75</v>
      </c>
      <c r="B95" s="19" t="inlineStr">
        <is>
          <t xml:space="preserve">        Proyector Láser 5000 lm</t>
        </is>
      </c>
      <c r="C95" s="20" t="inlineStr">
        <is>
          <t>Comercial / Industrial</t>
        </is>
      </c>
      <c r="D95" s="18" t="inlineStr">
        <is>
          <t>Video</t>
        </is>
      </c>
      <c r="E95" s="18" t="inlineStr">
        <is>
          <t>U</t>
        </is>
      </c>
      <c r="F95" s="21" t="n">
        <v>0</v>
      </c>
      <c r="G95" s="22" t="n">
        <v>2400</v>
      </c>
      <c r="H95" s="22" t="n">
        <v>2520</v>
      </c>
      <c r="I95" s="18" t="inlineStr">
        <is>
          <t>Megametales</t>
        </is>
      </c>
      <c r="J95" s="22" t="n">
        <v>2664</v>
      </c>
      <c r="K95" s="18" t="inlineStr">
        <is>
          <t>Kywi / Megakywi</t>
        </is>
      </c>
      <c r="L95" s="8">
        <f>F95*G95</f>
        <v/>
      </c>
      <c r="M95" s="145" t="inlineStr">
        <is>
          <t>COM-D50-AUD-PRO-LAS</t>
        </is>
      </c>
      <c r="N95" s="18" t="inlineStr">
        <is>
          <t>Comunicaciones (datos, voz, audio, llamado)</t>
        </is>
      </c>
      <c r="O95" s="18" t="inlineStr">
        <is>
          <t>Estimado DION · criterio de mercado Guayaquil 2026 (no verificado en tienda)</t>
        </is>
      </c>
      <c r="P95" s="18" t="inlineStr">
        <is>
          <t>oct-2026 (est.)</t>
        </is>
      </c>
      <c r="Q95" s="18" t="n"/>
    </row>
    <row r="96">
      <c r="A96" s="234" t="n">
        <v>76</v>
      </c>
      <c r="B96" s="235" t="inlineStr">
        <is>
          <t xml:space="preserve">        Pantalla Interactiva 75"</t>
        </is>
      </c>
      <c r="C96" s="236" t="inlineStr">
        <is>
          <t>Educación / Oficinas</t>
        </is>
      </c>
      <c r="D96" s="234" t="inlineStr">
        <is>
          <t>Video</t>
        </is>
      </c>
      <c r="E96" s="234" t="inlineStr">
        <is>
          <t>U</t>
        </is>
      </c>
      <c r="F96" s="237" t="n">
        <v>0</v>
      </c>
      <c r="G96" s="238" t="n">
        <v>2900</v>
      </c>
      <c r="H96" s="238" t="n">
        <v>3016</v>
      </c>
      <c r="I96" s="234" t="inlineStr">
        <is>
          <t>Megametales</t>
        </is>
      </c>
      <c r="J96" s="238" t="n">
        <v>3219</v>
      </c>
      <c r="K96" s="234" t="inlineStr">
        <is>
          <t>Kywi / Megakywi</t>
        </is>
      </c>
      <c r="L96" s="239">
        <f>F96*G96</f>
        <v/>
      </c>
      <c r="M96" s="240" t="inlineStr">
        <is>
          <t>COM-D50-AUD-PAN-INT</t>
        </is>
      </c>
      <c r="N96" s="234" t="inlineStr">
        <is>
          <t>Comunicaciones (datos, voz, audio, llamado)</t>
        </is>
      </c>
      <c r="O96" s="234" t="inlineStr">
        <is>
          <t>Estimado DION · criterio de mercado Guayaquil 2026 (no verificado en tienda)</t>
        </is>
      </c>
      <c r="P96" s="234" t="inlineStr">
        <is>
          <t>oct-2026 (est.)</t>
        </is>
      </c>
      <c r="Q96" s="234" t="n"/>
    </row>
    <row r="97">
      <c r="A97" s="18" t="n">
        <v>77</v>
      </c>
      <c r="B97" s="19" t="inlineStr">
        <is>
          <t xml:space="preserve">        Pantalla de Señalización Digital 55"</t>
        </is>
      </c>
      <c r="C97" s="20" t="inlineStr">
        <is>
          <t>Comercial</t>
        </is>
      </c>
      <c r="D97" s="18" t="inlineStr">
        <is>
          <t>Video</t>
        </is>
      </c>
      <c r="E97" s="18" t="inlineStr">
        <is>
          <t>U</t>
        </is>
      </c>
      <c r="F97" s="21" t="n">
        <v>0</v>
      </c>
      <c r="G97" s="22" t="n">
        <v>780</v>
      </c>
      <c r="H97" s="22" t="n">
        <v>811.2</v>
      </c>
      <c r="I97" s="18" t="inlineStr">
        <is>
          <t>Megametales</t>
        </is>
      </c>
      <c r="J97" s="22" t="n">
        <v>842.4</v>
      </c>
      <c r="K97" s="18" t="inlineStr">
        <is>
          <t>Kywi / Megakywi</t>
        </is>
      </c>
      <c r="L97" s="8">
        <f>F97*G97</f>
        <v/>
      </c>
      <c r="M97" s="145" t="inlineStr">
        <is>
          <t>COM-D50-AUD-SEN-DIG</t>
        </is>
      </c>
      <c r="N97" s="18" t="inlineStr">
        <is>
          <t>Comunicaciones (datos, voz, audio, llamado)</t>
        </is>
      </c>
      <c r="O97" s="18" t="inlineStr">
        <is>
          <t>Estimado DION · criterio de mercado Guayaquil 2026 (no verificado en tienda)</t>
        </is>
      </c>
      <c r="P97" s="18" t="inlineStr">
        <is>
          <t>oct-2026 (est.)</t>
        </is>
      </c>
      <c r="Q97" s="18" t="n"/>
    </row>
    <row r="98">
      <c r="A98" s="234" t="n">
        <v>78</v>
      </c>
      <c r="B98" s="235" t="inlineStr">
        <is>
          <t xml:space="preserve">        Estación de Llamado de Cama (Nurse Call)</t>
        </is>
      </c>
      <c r="C98" s="236" t="inlineStr">
        <is>
          <t>Hospitalario</t>
        </is>
      </c>
      <c r="D98" s="234" t="inlineStr">
        <is>
          <t>Llamado Enfermería</t>
        </is>
      </c>
      <c r="E98" s="234" t="inlineStr">
        <is>
          <t>U</t>
        </is>
      </c>
      <c r="F98" s="237" t="n">
        <v>8</v>
      </c>
      <c r="G98" s="238" t="n">
        <v>165</v>
      </c>
      <c r="H98" s="238" t="n">
        <v>173.25</v>
      </c>
      <c r="I98" s="234" t="inlineStr">
        <is>
          <t>Megametales</t>
        </is>
      </c>
      <c r="J98" s="238" t="n">
        <v>183.15</v>
      </c>
      <c r="K98" s="234" t="inlineStr">
        <is>
          <t>Kywi / Megakywi</t>
        </is>
      </c>
      <c r="L98" s="239">
        <f>F98*G98</f>
        <v/>
      </c>
      <c r="M98" s="240" t="inlineStr">
        <is>
          <t>COM-D50-LLA-CAM</t>
        </is>
      </c>
      <c r="N98" s="234" t="inlineStr">
        <is>
          <t>Comunicaciones (datos, voz, audio, llamado)</t>
        </is>
      </c>
      <c r="O98" s="234" t="inlineStr">
        <is>
          <t>Estimado DION · criterio de mercado Guayaquil 2026 (no verificado en tienda)</t>
        </is>
      </c>
      <c r="P98" s="234" t="inlineStr">
        <is>
          <t>oct-2026 (est.)</t>
        </is>
      </c>
      <c r="Q98" s="234" t="n"/>
    </row>
    <row r="99">
      <c r="A99" s="18" t="n">
        <v>79</v>
      </c>
      <c r="B99" s="19" t="inlineStr">
        <is>
          <t xml:space="preserve">        Pulsador de Llamado de Baño con Cordón</t>
        </is>
      </c>
      <c r="C99" s="20" t="inlineStr">
        <is>
          <t>Hospitalario</t>
        </is>
      </c>
      <c r="D99" s="18" t="inlineStr">
        <is>
          <t>Llamado Enfermería</t>
        </is>
      </c>
      <c r="E99" s="18" t="inlineStr">
        <is>
          <t>U</t>
        </is>
      </c>
      <c r="F99" s="21" t="n">
        <v>8</v>
      </c>
      <c r="G99" s="22" t="n">
        <v>85</v>
      </c>
      <c r="H99" s="22" t="n">
        <v>89.25</v>
      </c>
      <c r="I99" s="18" t="inlineStr">
        <is>
          <t>Megametales</t>
        </is>
      </c>
      <c r="J99" s="22" t="n">
        <v>94.34999999999999</v>
      </c>
      <c r="K99" s="18" t="inlineStr">
        <is>
          <t>Kywi / Megakywi</t>
        </is>
      </c>
      <c r="L99" s="8">
        <f>F99*G99</f>
        <v/>
      </c>
      <c r="M99" s="145" t="inlineStr">
        <is>
          <t>COM-D50-LLA-BAN</t>
        </is>
      </c>
      <c r="N99" s="18" t="inlineStr">
        <is>
          <t>Comunicaciones (datos, voz, audio, llamado)</t>
        </is>
      </c>
      <c r="O99" s="18" t="inlineStr">
        <is>
          <t>Estimado DION · criterio de mercado Guayaquil 2026 (no verificado en tienda)</t>
        </is>
      </c>
      <c r="P99" s="18" t="inlineStr">
        <is>
          <t>oct-2026 (est.)</t>
        </is>
      </c>
      <c r="Q99" s="18" t="n"/>
    </row>
    <row r="100">
      <c r="A100" s="234" t="n">
        <v>80</v>
      </c>
      <c r="B100" s="235" t="inlineStr">
        <is>
          <t xml:space="preserve">        Lámpara de Pasillo/Puerta de Llamado</t>
        </is>
      </c>
      <c r="C100" s="236" t="inlineStr">
        <is>
          <t>Hospitalario</t>
        </is>
      </c>
      <c r="D100" s="234" t="inlineStr">
        <is>
          <t>Llamado Enfermería</t>
        </is>
      </c>
      <c r="E100" s="234" t="inlineStr">
        <is>
          <t>U</t>
        </is>
      </c>
      <c r="F100" s="237" t="n">
        <v>8</v>
      </c>
      <c r="G100" s="238" t="n">
        <v>65</v>
      </c>
      <c r="H100" s="238" t="n">
        <v>67.59999999999999</v>
      </c>
      <c r="I100" s="234" t="inlineStr">
        <is>
          <t>Megametales</t>
        </is>
      </c>
      <c r="J100" s="238" t="n">
        <v>69.55</v>
      </c>
      <c r="K100" s="234" t="inlineStr">
        <is>
          <t>Kywi / Megakywi</t>
        </is>
      </c>
      <c r="L100" s="239">
        <f>F100*G100</f>
        <v/>
      </c>
      <c r="M100" s="240" t="inlineStr">
        <is>
          <t>COM-D50-LLA-PUE</t>
        </is>
      </c>
      <c r="N100" s="234" t="inlineStr">
        <is>
          <t>Comunicaciones (datos, voz, audio, llamado)</t>
        </is>
      </c>
      <c r="O100" s="234" t="inlineStr">
        <is>
          <t>Estimado DION · criterio de mercado Guayaquil 2026 (no verificado en tienda)</t>
        </is>
      </c>
      <c r="P100" s="234" t="inlineStr">
        <is>
          <t>oct-2026 (est.)</t>
        </is>
      </c>
      <c r="Q100" s="234" t="n"/>
    </row>
    <row r="101">
      <c r="A101" s="18" t="n">
        <v>81</v>
      </c>
      <c r="B101" s="19" t="inlineStr">
        <is>
          <t xml:space="preserve">        Consola Central de Estación de Enfermería</t>
        </is>
      </c>
      <c r="C101" s="20" t="inlineStr">
        <is>
          <t>Hospitalario</t>
        </is>
      </c>
      <c r="D101" s="18" t="inlineStr">
        <is>
          <t>Llamado Enfermería</t>
        </is>
      </c>
      <c r="E101" s="18" t="inlineStr">
        <is>
          <t>U</t>
        </is>
      </c>
      <c r="F101" s="21" t="n">
        <v>0</v>
      </c>
      <c r="G101" s="22" t="n">
        <v>1850</v>
      </c>
      <c r="H101" s="22" t="n">
        <v>1924</v>
      </c>
      <c r="I101" s="18" t="inlineStr">
        <is>
          <t>Megametales</t>
        </is>
      </c>
      <c r="J101" s="22" t="n">
        <v>1998</v>
      </c>
      <c r="K101" s="18" t="inlineStr">
        <is>
          <t>Kywi / Megakywi</t>
        </is>
      </c>
      <c r="L101" s="8">
        <f>F101*G101</f>
        <v/>
      </c>
      <c r="M101" s="145" t="inlineStr">
        <is>
          <t>COM-D50-LLA-ENF</t>
        </is>
      </c>
      <c r="N101" s="18" t="inlineStr">
        <is>
          <t>Comunicaciones (datos, voz, audio, llamado)</t>
        </is>
      </c>
      <c r="O101" s="18" t="inlineStr">
        <is>
          <t>Estimado DION · criterio de mercado Guayaquil 2026 (no verificado en tienda)</t>
        </is>
      </c>
      <c r="P101" s="18" t="inlineStr">
        <is>
          <t>oct-2026 (est.)</t>
        </is>
      </c>
      <c r="Q101" s="18" t="n"/>
    </row>
    <row r="102">
      <c r="A102" s="234" t="n">
        <v>82</v>
      </c>
      <c r="B102" s="235" t="inlineStr">
        <is>
          <t xml:space="preserve">        Videoportero IP con Monitor</t>
        </is>
      </c>
      <c r="C102" s="236" t="inlineStr">
        <is>
          <t>Residencial / Comercial / Ind</t>
        </is>
      </c>
      <c r="D102" s="234" t="inlineStr">
        <is>
          <t>Intercomunicación</t>
        </is>
      </c>
      <c r="E102" s="234" t="inlineStr">
        <is>
          <t>U</t>
        </is>
      </c>
      <c r="F102" s="237" t="n">
        <v>1</v>
      </c>
      <c r="G102" s="238" t="n">
        <v>280</v>
      </c>
      <c r="H102" s="238" t="n">
        <v>285.6</v>
      </c>
      <c r="I102" s="234" t="inlineStr">
        <is>
          <t>Megametales</t>
        </is>
      </c>
      <c r="J102" s="238" t="n">
        <v>308</v>
      </c>
      <c r="K102" s="234" t="inlineStr">
        <is>
          <t>Kywi / Megakywi</t>
        </is>
      </c>
      <c r="L102" s="239">
        <f>F102*G102</f>
        <v/>
      </c>
      <c r="M102" s="240" t="inlineStr">
        <is>
          <t>COM-D50-LLA-POR-VID</t>
        </is>
      </c>
      <c r="N102" s="234" t="inlineStr">
        <is>
          <t>Comunicaciones (datos, voz, audio, llamado)</t>
        </is>
      </c>
      <c r="O102" s="234" t="inlineStr">
        <is>
          <t>Estimado DION · criterio de mercado Guayaquil 2026 (no verificado en tienda)</t>
        </is>
      </c>
      <c r="P102" s="234" t="inlineStr">
        <is>
          <t>oct-2026 (est.)</t>
        </is>
      </c>
      <c r="Q102" s="234" t="n"/>
    </row>
    <row r="103">
      <c r="A103" s="18" t="n">
        <v>83</v>
      </c>
      <c r="B103" s="19" t="inlineStr">
        <is>
          <t xml:space="preserve">        Sistema de Turnos (Dispensador + Pantalla)</t>
        </is>
      </c>
      <c r="C103" s="20" t="inlineStr">
        <is>
          <t>Comercial / Hospitalario</t>
        </is>
      </c>
      <c r="D103" s="18" t="inlineStr">
        <is>
          <t>Turnos</t>
        </is>
      </c>
      <c r="E103" s="18" t="inlineStr">
        <is>
          <t>U</t>
        </is>
      </c>
      <c r="F103" s="21" t="n">
        <v>0</v>
      </c>
      <c r="G103" s="22" t="n">
        <v>1450</v>
      </c>
      <c r="H103" s="22" t="n">
        <v>1522.5</v>
      </c>
      <c r="I103" s="18" t="inlineStr">
        <is>
          <t>Megametales</t>
        </is>
      </c>
      <c r="J103" s="22" t="n">
        <v>1580.5</v>
      </c>
      <c r="K103" s="18" t="inlineStr">
        <is>
          <t>Kywi / Megakywi</t>
        </is>
      </c>
      <c r="L103" s="8">
        <f>F103*G103</f>
        <v/>
      </c>
      <c r="M103" s="145" t="inlineStr">
        <is>
          <t>COM-D50-LLA-TUR</t>
        </is>
      </c>
      <c r="N103" s="18" t="inlineStr">
        <is>
          <t>Comunicaciones (datos, voz, audio, llamado)</t>
        </is>
      </c>
      <c r="O103" s="18" t="inlineStr">
        <is>
          <t>Estimado DION · criterio de mercado Guayaquil 2026 (no verificado en tienda)</t>
        </is>
      </c>
      <c r="P103" s="18" t="inlineStr">
        <is>
          <t>oct-2026 (est.)</t>
        </is>
      </c>
      <c r="Q103" s="18" t="n"/>
    </row>
    <row r="104">
      <c r="A104" s="10" t="n"/>
      <c r="B104" s="147" t="inlineStr">
        <is>
          <t>TOTAL BASE DE DATOS VOZ DATOS CCTV Y SEGURIDAD (ESTIMADO)</t>
        </is>
      </c>
      <c r="C104" s="148" t="n"/>
      <c r="D104" s="148" t="n"/>
      <c r="E104" s="148" t="n"/>
      <c r="F104" s="148" t="n"/>
      <c r="G104" s="148" t="n"/>
      <c r="H104" s="148" t="n"/>
      <c r="I104" s="148" t="n"/>
      <c r="J104" s="148" t="n"/>
      <c r="K104" s="148" t="n"/>
      <c r="L104" s="30">
        <f>SUM(L6:L103)</f>
        <v/>
      </c>
      <c r="M104" s="30" t="n"/>
      <c r="N104" s="30" t="n"/>
      <c r="O104" s="30" t="n"/>
      <c r="P104" s="30" t="n"/>
      <c r="Q104" s="30" t="n"/>
    </row>
  </sheetData>
  <mergeCells count="16">
    <mergeCell ref="A8:Q8"/>
    <mergeCell ref="A89:Q89"/>
    <mergeCell ref="A6:Q6"/>
    <mergeCell ref="A58:Q58"/>
    <mergeCell ref="A88:Q88"/>
    <mergeCell ref="A35:Q35"/>
    <mergeCell ref="A7:Q7"/>
    <mergeCell ref="A59:Q59"/>
    <mergeCell ref="A37:Q37"/>
    <mergeCell ref="A24:Q24"/>
    <mergeCell ref="A57:Q57"/>
    <mergeCell ref="A87:Q87"/>
    <mergeCell ref="A25:Q25"/>
    <mergeCell ref="B104:K104"/>
    <mergeCell ref="A23:Q23"/>
    <mergeCell ref="A36:Q36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8" customWidth="1" min="2" max="2"/>
    <col width="30" customWidth="1" min="3" max="3"/>
    <col width="32" customWidth="1" min="4" max="4"/>
    <col width="8" customWidth="1" min="5" max="5"/>
    <col width="10" customWidth="1" min="6" max="6"/>
    <col width="15" customWidth="1" min="7" max="7"/>
    <col width="16" customWidth="1" min="8" max="8"/>
    <col width="22" customWidth="1" min="9" max="9"/>
    <col width="16" customWidth="1" min="10" max="10"/>
    <col width="20" customWidth="1" min="11" max="11"/>
    <col width="16" customWidth="1" min="12" max="12"/>
    <col width="27" customWidth="1" min="13" max="13"/>
    <col width="30" customWidth="1" min="14" max="14"/>
    <col width="44" customWidth="1" min="15" max="15"/>
    <col width="15" customWidth="1" min="16" max="16"/>
    <col width="14" customWidth="1" min="17" max="17"/>
  </cols>
  <sheetData>
    <row r="1">
      <c r="A1" s="1" t="inlineStr">
        <is>
          <t>BASE DE DATOS COMPLETA DE CATALOGACIÓN: SISTEMA CONTRA INCENDIOS</t>
        </is>
      </c>
    </row>
    <row r="2">
      <c r="A2" s="2" t="inlineStr">
        <is>
          <t>Estructura Jerárquica Homogénea: Accesorios &gt; Tuberías &gt; Equipos &gt; Conexiones &gt; Equipos Especializados | Degradé por Niveles (Ecuador - USD)</t>
        </is>
      </c>
    </row>
    <row r="3">
      <c r="A3" s="13" t="inlineStr">
        <is>
          <t>« Volver al Índice General</t>
        </is>
      </c>
    </row>
    <row r="5" ht="30" customHeight="1">
      <c r="A5" s="4" t="inlineStr">
        <is>
          <t>Item</t>
        </is>
      </c>
      <c r="B5" s="4" t="inlineStr">
        <is>
          <t>Descripción de Accesorio / Ítem Especificado</t>
        </is>
      </c>
      <c r="C5" s="4" t="inlineStr">
        <is>
          <t>Clasificación / Ámbito de Uso
(Residencial/Comercial/Industrial)</t>
        </is>
      </c>
      <c r="D5" s="4" t="inlineStr">
        <is>
          <t>Tipo / Familia</t>
        </is>
      </c>
      <c r="E5" s="4" t="inlineStr">
        <is>
          <t>Unidad</t>
        </is>
      </c>
      <c r="F5" s="4" t="inlineStr">
        <is>
          <t>Cant.</t>
        </is>
      </c>
      <c r="G5" s="4" t="inlineStr">
        <is>
          <t>P. Ref. Est. ($)</t>
        </is>
      </c>
      <c r="H5" s="4" t="inlineStr">
        <is>
          <t>P. Unit. Local A ($)
(Megametales)</t>
        </is>
      </c>
      <c r="I5" s="4" t="inlineStr">
        <is>
          <t>Local A
Especificado</t>
        </is>
      </c>
      <c r="J5" s="4" t="inlineStr">
        <is>
          <t>P. Unit. Local B ($)
(Kywi / Megakywi)</t>
        </is>
      </c>
      <c r="K5" s="4" t="inlineStr">
        <is>
          <t>Local B
Especificado</t>
        </is>
      </c>
      <c r="L5" s="4" t="inlineStr">
        <is>
          <t>Subtotal Est. ($)</t>
        </is>
      </c>
      <c r="M5" s="4" t="inlineStr">
        <is>
          <t>Código DION</t>
        </is>
      </c>
      <c r="N5" s="4" t="inlineStr">
        <is>
          <t>Disciplina</t>
        </is>
      </c>
      <c r="O5" s="4" t="inlineStr">
        <is>
          <t>Fuente del precio</t>
        </is>
      </c>
      <c r="P5" s="4" t="inlineStr">
        <is>
          <t>Fecha precio</t>
        </is>
      </c>
      <c r="Q5" s="4" t="inlineStr">
        <is>
          <t>Rendimiento /
desperdicio %</t>
        </is>
      </c>
    </row>
    <row r="6">
      <c r="A6" s="241" t="inlineStr">
        <is>
          <t>ACCESORIOS</t>
        </is>
      </c>
      <c r="B6" s="143" t="n"/>
      <c r="C6" s="143" t="n"/>
      <c r="D6" s="143" t="n"/>
      <c r="E6" s="143" t="n"/>
      <c r="F6" s="143" t="n"/>
      <c r="G6" s="143" t="n"/>
      <c r="H6" s="143" t="n"/>
      <c r="I6" s="143" t="n"/>
      <c r="J6" s="143" t="n"/>
      <c r="K6" s="143" t="n"/>
      <c r="L6" s="143" t="n"/>
      <c r="M6" s="143" t="n"/>
      <c r="N6" s="143" t="n"/>
      <c r="O6" s="143" t="n"/>
      <c r="P6" s="143" t="n"/>
      <c r="Q6" s="144" t="n"/>
    </row>
    <row r="7">
      <c r="A7" s="242" t="inlineStr">
        <is>
          <t xml:space="preserve">  ► CATEGORÍA: EXTINTORES Y SEÑALIZACIÓN</t>
        </is>
      </c>
      <c r="B7" s="143" t="n"/>
      <c r="C7" s="143" t="n"/>
      <c r="D7" s="143" t="n"/>
      <c r="E7" s="143" t="n"/>
      <c r="F7" s="143" t="n"/>
      <c r="G7" s="143" t="n"/>
      <c r="H7" s="143" t="n"/>
      <c r="I7" s="143" t="n"/>
      <c r="J7" s="143" t="n"/>
      <c r="K7" s="143" t="n"/>
      <c r="L7" s="143" t="n"/>
      <c r="M7" s="143" t="n"/>
      <c r="N7" s="143" t="n"/>
      <c r="O7" s="143" t="n"/>
      <c r="P7" s="143" t="n"/>
      <c r="Q7" s="144" t="n"/>
    </row>
    <row r="8">
      <c r="A8" s="243" t="inlineStr">
        <is>
          <t xml:space="preserve">      • Subcategoría Especificada: Extintores por Agente y Capacidad (NFPA 10 / Reglamento Bomberos)</t>
        </is>
      </c>
      <c r="B8" s="143" t="n"/>
      <c r="C8" s="143" t="n"/>
      <c r="D8" s="143" t="n"/>
      <c r="E8" s="143" t="n"/>
      <c r="F8" s="143" t="n"/>
      <c r="G8" s="143" t="n"/>
      <c r="H8" s="143" t="n"/>
      <c r="I8" s="143" t="n"/>
      <c r="J8" s="143" t="n"/>
      <c r="K8" s="143" t="n"/>
      <c r="L8" s="143" t="n"/>
      <c r="M8" s="143" t="n"/>
      <c r="N8" s="143" t="n"/>
      <c r="O8" s="143" t="n"/>
      <c r="P8" s="143" t="n"/>
      <c r="Q8" s="144" t="n"/>
    </row>
    <row r="9">
      <c r="A9" s="18" t="n">
        <v>1</v>
      </c>
      <c r="B9" s="19" t="inlineStr">
        <is>
          <t xml:space="preserve">        Extintor PQS ABC 5 lb</t>
        </is>
      </c>
      <c r="C9" s="20" t="inlineStr">
        <is>
          <t>Residencial / Comercial / Ind</t>
        </is>
      </c>
      <c r="D9" s="18" t="inlineStr">
        <is>
          <t>Extintores PQS</t>
        </is>
      </c>
      <c r="E9" s="18" t="inlineStr">
        <is>
          <t>U</t>
        </is>
      </c>
      <c r="F9" s="21" t="n">
        <v>4</v>
      </c>
      <c r="G9" s="22" t="n">
        <v>22</v>
      </c>
      <c r="H9" s="22" t="n">
        <v>22.88</v>
      </c>
      <c r="I9" s="18" t="inlineStr">
        <is>
          <t>Megametales</t>
        </is>
      </c>
      <c r="J9" s="22" t="n">
        <v>23.98</v>
      </c>
      <c r="K9" s="18" t="inlineStr">
        <is>
          <t>Kywi / Megakywi</t>
        </is>
      </c>
      <c r="L9" s="8">
        <f>F9*G9</f>
        <v/>
      </c>
      <c r="M9" s="145" t="inlineStr">
        <is>
          <t>CI-D40-EXT-PQS-05LB</t>
        </is>
      </c>
      <c r="N9" s="18" t="inlineStr">
        <is>
          <t>Protección contra incendios (extinción)</t>
        </is>
      </c>
      <c r="O9" s="18" t="inlineStr">
        <is>
          <t>Estimado DION · criterio de mercado Guayaquil 2026 (no verificado en tienda)</t>
        </is>
      </c>
      <c r="P9" s="18" t="inlineStr">
        <is>
          <t>oct-2026 (est.)</t>
        </is>
      </c>
      <c r="Q9" s="18" t="n"/>
    </row>
    <row r="10">
      <c r="A10" s="244" t="n">
        <v>2</v>
      </c>
      <c r="B10" s="245" t="inlineStr">
        <is>
          <t xml:space="preserve">        Extintor PQS ABC 10 lb</t>
        </is>
      </c>
      <c r="C10" s="246" t="inlineStr">
        <is>
          <t>Residencial / Comercial / Ind</t>
        </is>
      </c>
      <c r="D10" s="244" t="inlineStr">
        <is>
          <t>Extintores PQS</t>
        </is>
      </c>
      <c r="E10" s="244" t="inlineStr">
        <is>
          <t>U</t>
        </is>
      </c>
      <c r="F10" s="247" t="n">
        <v>6</v>
      </c>
      <c r="G10" s="248" t="n">
        <v>32</v>
      </c>
      <c r="H10" s="248" t="n">
        <v>33.6</v>
      </c>
      <c r="I10" s="244" t="inlineStr">
        <is>
          <t>Megametales</t>
        </is>
      </c>
      <c r="J10" s="248" t="n">
        <v>35.52</v>
      </c>
      <c r="K10" s="244" t="inlineStr">
        <is>
          <t>Kywi / Megakywi</t>
        </is>
      </c>
      <c r="L10" s="249">
        <f>F10*G10</f>
        <v/>
      </c>
      <c r="M10" s="250" t="inlineStr">
        <is>
          <t>CI-D40-EXT-PQS-10LB</t>
        </is>
      </c>
      <c r="N10" s="244" t="inlineStr">
        <is>
          <t>Protección contra incendios (extinción)</t>
        </is>
      </c>
      <c r="O10" s="244" t="inlineStr">
        <is>
          <t>Estimado DION · criterio de mercado Guayaquil 2026 (no verificado en tienda)</t>
        </is>
      </c>
      <c r="P10" s="244" t="inlineStr">
        <is>
          <t>oct-2026 (est.)</t>
        </is>
      </c>
      <c r="Q10" s="244" t="n"/>
    </row>
    <row r="11">
      <c r="A11" s="18" t="n">
        <v>3</v>
      </c>
      <c r="B11" s="19" t="inlineStr">
        <is>
          <t xml:space="preserve">        Extintor PQS ABC 20 lb</t>
        </is>
      </c>
      <c r="C11" s="20" t="inlineStr">
        <is>
          <t>Residencial / Comercial / Ind</t>
        </is>
      </c>
      <c r="D11" s="18" t="inlineStr">
        <is>
          <t>Extintores PQS</t>
        </is>
      </c>
      <c r="E11" s="18" t="inlineStr">
        <is>
          <t>U</t>
        </is>
      </c>
      <c r="F11" s="21" t="n">
        <v>2</v>
      </c>
      <c r="G11" s="22" t="n">
        <v>58</v>
      </c>
      <c r="H11" s="22" t="n">
        <v>60.9</v>
      </c>
      <c r="I11" s="18" t="inlineStr">
        <is>
          <t>Megametales</t>
        </is>
      </c>
      <c r="J11" s="22" t="n">
        <v>64.38</v>
      </c>
      <c r="K11" s="18" t="inlineStr">
        <is>
          <t>Kywi / Megakywi</t>
        </is>
      </c>
      <c r="L11" s="8">
        <f>F11*G11</f>
        <v/>
      </c>
      <c r="M11" s="145" t="inlineStr">
        <is>
          <t>CI-D40-EXT-PQS-20LB</t>
        </is>
      </c>
      <c r="N11" s="18" t="inlineStr">
        <is>
          <t>Protección contra incendios (extinción)</t>
        </is>
      </c>
      <c r="O11" s="18" t="inlineStr">
        <is>
          <t>Estimado DION · criterio de mercado Guayaquil 2026 (no verificado en tienda)</t>
        </is>
      </c>
      <c r="P11" s="18" t="inlineStr">
        <is>
          <t>oct-2026 (est.)</t>
        </is>
      </c>
      <c r="Q11" s="18" t="n"/>
    </row>
    <row r="12">
      <c r="A12" s="244" t="n">
        <v>4</v>
      </c>
      <c r="B12" s="245" t="inlineStr">
        <is>
          <t xml:space="preserve">        Extintor PQS ABC 30 lb</t>
        </is>
      </c>
      <c r="C12" s="246" t="inlineStr">
        <is>
          <t>Residencial / Comercial / Ind</t>
        </is>
      </c>
      <c r="D12" s="244" t="inlineStr">
        <is>
          <t>Extintores PQS</t>
        </is>
      </c>
      <c r="E12" s="244" t="inlineStr">
        <is>
          <t>U</t>
        </is>
      </c>
      <c r="F12" s="247" t="n">
        <v>1</v>
      </c>
      <c r="G12" s="248" t="n">
        <v>78</v>
      </c>
      <c r="H12" s="248" t="n">
        <v>79.56</v>
      </c>
      <c r="I12" s="244" t="inlineStr">
        <is>
          <t>Megametales</t>
        </is>
      </c>
      <c r="J12" s="248" t="n">
        <v>85.8</v>
      </c>
      <c r="K12" s="244" t="inlineStr">
        <is>
          <t>Kywi / Megakywi</t>
        </is>
      </c>
      <c r="L12" s="249">
        <f>F12*G12</f>
        <v/>
      </c>
      <c r="M12" s="250" t="inlineStr">
        <is>
          <t>CI-D40-EXT-PQS-30LB</t>
        </is>
      </c>
      <c r="N12" s="244" t="inlineStr">
        <is>
          <t>Protección contra incendios (extinción)</t>
        </is>
      </c>
      <c r="O12" s="244" t="inlineStr">
        <is>
          <t>Estimado DION · criterio de mercado Guayaquil 2026 (no verificado en tienda)</t>
        </is>
      </c>
      <c r="P12" s="244" t="inlineStr">
        <is>
          <t>oct-2026 (est.)</t>
        </is>
      </c>
      <c r="Q12" s="244" t="n"/>
    </row>
    <row r="13">
      <c r="A13" s="18" t="n">
        <v>5</v>
      </c>
      <c r="B13" s="19" t="inlineStr">
        <is>
          <t xml:space="preserve">        Extintor PQS Rodante 150 lb</t>
        </is>
      </c>
      <c r="C13" s="20" t="inlineStr">
        <is>
          <t>Residencial / Comercial / Ind</t>
        </is>
      </c>
      <c r="D13" s="18" t="inlineStr">
        <is>
          <t>Extintores Rodantes</t>
        </is>
      </c>
      <c r="E13" s="18" t="inlineStr">
        <is>
          <t>U</t>
        </is>
      </c>
      <c r="F13" s="21" t="n">
        <v>0</v>
      </c>
      <c r="G13" s="22" t="n">
        <v>620</v>
      </c>
      <c r="H13" s="22" t="n">
        <v>632.4</v>
      </c>
      <c r="I13" s="18" t="inlineStr">
        <is>
          <t>Megametales</t>
        </is>
      </c>
      <c r="J13" s="22" t="n">
        <v>688.2</v>
      </c>
      <c r="K13" s="18" t="inlineStr">
        <is>
          <t>Kywi / Megakywi</t>
        </is>
      </c>
      <c r="L13" s="8">
        <f>F13*G13</f>
        <v/>
      </c>
      <c r="M13" s="145" t="inlineStr">
        <is>
          <t>CI-D40-EXT-PQS-150LB</t>
        </is>
      </c>
      <c r="N13" s="18" t="inlineStr">
        <is>
          <t>Protección contra incendios (extinción)</t>
        </is>
      </c>
      <c r="O13" s="18" t="inlineStr">
        <is>
          <t>Estimado DION · criterio de mercado Guayaquil 2026 (no verificado en tienda)</t>
        </is>
      </c>
      <c r="P13" s="18" t="inlineStr">
        <is>
          <t>oct-2026 (est.)</t>
        </is>
      </c>
      <c r="Q13" s="18" t="n"/>
    </row>
    <row r="14">
      <c r="A14" s="244" t="n">
        <v>6</v>
      </c>
      <c r="B14" s="245" t="inlineStr">
        <is>
          <t xml:space="preserve">        Extintor CO2 5 lb</t>
        </is>
      </c>
      <c r="C14" s="246" t="inlineStr">
        <is>
          <t>Residencial / Comercial / Ind</t>
        </is>
      </c>
      <c r="D14" s="244" t="inlineStr">
        <is>
          <t>Extintores CO2</t>
        </is>
      </c>
      <c r="E14" s="244" t="inlineStr">
        <is>
          <t>U</t>
        </is>
      </c>
      <c r="F14" s="247" t="n">
        <v>2</v>
      </c>
      <c r="G14" s="248" t="n">
        <v>85</v>
      </c>
      <c r="H14" s="248" t="n">
        <v>86.7</v>
      </c>
      <c r="I14" s="244" t="inlineStr">
        <is>
          <t>Megametales</t>
        </is>
      </c>
      <c r="J14" s="248" t="n">
        <v>91.8</v>
      </c>
      <c r="K14" s="244" t="inlineStr">
        <is>
          <t>Kywi / Megakywi</t>
        </is>
      </c>
      <c r="L14" s="249">
        <f>F14*G14</f>
        <v/>
      </c>
      <c r="M14" s="250" t="inlineStr">
        <is>
          <t>CI-D40-EXT-CO2-05LB</t>
        </is>
      </c>
      <c r="N14" s="244" t="inlineStr">
        <is>
          <t>Protección contra incendios (extinción)</t>
        </is>
      </c>
      <c r="O14" s="244" t="inlineStr">
        <is>
          <t>Estimado DION · criterio de mercado Guayaquil 2026 (no verificado en tienda)</t>
        </is>
      </c>
      <c r="P14" s="244" t="inlineStr">
        <is>
          <t>oct-2026 (est.)</t>
        </is>
      </c>
      <c r="Q14" s="244" t="n"/>
    </row>
    <row r="15">
      <c r="A15" s="18" t="n">
        <v>7</v>
      </c>
      <c r="B15" s="19" t="inlineStr">
        <is>
          <t xml:space="preserve">        Extintor CO2 10 lb</t>
        </is>
      </c>
      <c r="C15" s="20" t="inlineStr">
        <is>
          <t>Residencial / Comercial / Ind</t>
        </is>
      </c>
      <c r="D15" s="18" t="inlineStr">
        <is>
          <t>Extintores CO2</t>
        </is>
      </c>
      <c r="E15" s="18" t="inlineStr">
        <is>
          <t>U</t>
        </is>
      </c>
      <c r="F15" s="21" t="n">
        <v>2</v>
      </c>
      <c r="G15" s="22" t="n">
        <v>125</v>
      </c>
      <c r="H15" s="22" t="n">
        <v>127.5</v>
      </c>
      <c r="I15" s="18" t="inlineStr">
        <is>
          <t>Megametales</t>
        </is>
      </c>
      <c r="J15" s="22" t="n">
        <v>137.5</v>
      </c>
      <c r="K15" s="18" t="inlineStr">
        <is>
          <t>Kywi / Megakywi</t>
        </is>
      </c>
      <c r="L15" s="8">
        <f>F15*G15</f>
        <v/>
      </c>
      <c r="M15" s="145" t="inlineStr">
        <is>
          <t>CI-D40-EXT-CO2-10LB</t>
        </is>
      </c>
      <c r="N15" s="18" t="inlineStr">
        <is>
          <t>Protección contra incendios (extinción)</t>
        </is>
      </c>
      <c r="O15" s="18" t="inlineStr">
        <is>
          <t>Estimado DION · criterio de mercado Guayaquil 2026 (no verificado en tienda)</t>
        </is>
      </c>
      <c r="P15" s="18" t="inlineStr">
        <is>
          <t>oct-2026 (est.)</t>
        </is>
      </c>
      <c r="Q15" s="18" t="n"/>
    </row>
    <row r="16">
      <c r="A16" s="244" t="n">
        <v>8</v>
      </c>
      <c r="B16" s="245" t="inlineStr">
        <is>
          <t xml:space="preserve">        Extintor CO2 20 lb</t>
        </is>
      </c>
      <c r="C16" s="246" t="inlineStr">
        <is>
          <t>Residencial / Comercial / Ind</t>
        </is>
      </c>
      <c r="D16" s="244" t="inlineStr">
        <is>
          <t>Extintores CO2</t>
        </is>
      </c>
      <c r="E16" s="244" t="inlineStr">
        <is>
          <t>U</t>
        </is>
      </c>
      <c r="F16" s="247" t="n">
        <v>1</v>
      </c>
      <c r="G16" s="248" t="n">
        <v>195</v>
      </c>
      <c r="H16" s="248" t="n">
        <v>198.9</v>
      </c>
      <c r="I16" s="244" t="inlineStr">
        <is>
          <t>Megametales</t>
        </is>
      </c>
      <c r="J16" s="248" t="n">
        <v>214.5</v>
      </c>
      <c r="K16" s="244" t="inlineStr">
        <is>
          <t>Kywi / Megakywi</t>
        </is>
      </c>
      <c r="L16" s="249">
        <f>F16*G16</f>
        <v/>
      </c>
      <c r="M16" s="250" t="inlineStr">
        <is>
          <t>CI-D40-EXT-CO2-20LB</t>
        </is>
      </c>
      <c r="N16" s="244" t="inlineStr">
        <is>
          <t>Protección contra incendios (extinción)</t>
        </is>
      </c>
      <c r="O16" s="244" t="inlineStr">
        <is>
          <t>Estimado DION · criterio de mercado Guayaquil 2026 (no verificado en tienda)</t>
        </is>
      </c>
      <c r="P16" s="244" t="inlineStr">
        <is>
          <t>oct-2026 (est.)</t>
        </is>
      </c>
      <c r="Q16" s="244" t="n"/>
    </row>
    <row r="17">
      <c r="A17" s="18" t="n">
        <v>9</v>
      </c>
      <c r="B17" s="19" t="inlineStr">
        <is>
          <t xml:space="preserve">        Extintor Clase K 6 L (Cocinas)</t>
        </is>
      </c>
      <c r="C17" s="20" t="inlineStr">
        <is>
          <t>Residencial / Comercial / Ind</t>
        </is>
      </c>
      <c r="D17" s="18" t="inlineStr">
        <is>
          <t>Extintores K</t>
        </is>
      </c>
      <c r="E17" s="18" t="inlineStr">
        <is>
          <t>U</t>
        </is>
      </c>
      <c r="F17" s="21" t="n">
        <v>1</v>
      </c>
      <c r="G17" s="22" t="n">
        <v>165</v>
      </c>
      <c r="H17" s="22" t="n">
        <v>171.6</v>
      </c>
      <c r="I17" s="18" t="inlineStr">
        <is>
          <t>Megametales</t>
        </is>
      </c>
      <c r="J17" s="22" t="n">
        <v>183.15</v>
      </c>
      <c r="K17" s="18" t="inlineStr">
        <is>
          <t>Kywi / Megakywi</t>
        </is>
      </c>
      <c r="L17" s="8">
        <f>F17*G17</f>
        <v/>
      </c>
      <c r="M17" s="145" t="inlineStr">
        <is>
          <t>CI-D40-EXT-K-06L</t>
        </is>
      </c>
      <c r="N17" s="18" t="inlineStr">
        <is>
          <t>Protección contra incendios (extinción)</t>
        </is>
      </c>
      <c r="O17" s="18" t="inlineStr">
        <is>
          <t>Estimado DION · criterio de mercado Guayaquil 2026 (no verificado en tienda)</t>
        </is>
      </c>
      <c r="P17" s="18" t="inlineStr">
        <is>
          <t>oct-2026 (est.)</t>
        </is>
      </c>
      <c r="Q17" s="18" t="n"/>
    </row>
    <row r="18">
      <c r="A18" s="244" t="n">
        <v>10</v>
      </c>
      <c r="B18" s="245" t="inlineStr">
        <is>
          <t xml:space="preserve">        Extintor Agua Presurizada 2.5 gal</t>
        </is>
      </c>
      <c r="C18" s="246" t="inlineStr">
        <is>
          <t>Residencial / Comercial / Ind</t>
        </is>
      </c>
      <c r="D18" s="244" t="inlineStr">
        <is>
          <t>Extintores Agua</t>
        </is>
      </c>
      <c r="E18" s="244" t="inlineStr">
        <is>
          <t>U</t>
        </is>
      </c>
      <c r="F18" s="247" t="n">
        <v>1</v>
      </c>
      <c r="G18" s="248" t="n">
        <v>68</v>
      </c>
      <c r="H18" s="248" t="n">
        <v>70.72</v>
      </c>
      <c r="I18" s="244" t="inlineStr">
        <is>
          <t>Megametales</t>
        </is>
      </c>
      <c r="J18" s="248" t="n">
        <v>75.48</v>
      </c>
      <c r="K18" s="244" t="inlineStr">
        <is>
          <t>Kywi / Megakywi</t>
        </is>
      </c>
      <c r="L18" s="249">
        <f>F18*G18</f>
        <v/>
      </c>
      <c r="M18" s="250" t="inlineStr">
        <is>
          <t>CI-D40-EXT-AGU-25G</t>
        </is>
      </c>
      <c r="N18" s="244" t="inlineStr">
        <is>
          <t>Protección contra incendios (extinción)</t>
        </is>
      </c>
      <c r="O18" s="244" t="inlineStr">
        <is>
          <t>Estimado DION · criterio de mercado Guayaquil 2026 (no verificado en tienda)</t>
        </is>
      </c>
      <c r="P18" s="244" t="inlineStr">
        <is>
          <t>oct-2026 (est.)</t>
        </is>
      </c>
      <c r="Q18" s="244" t="n"/>
    </row>
    <row r="19">
      <c r="A19" s="18" t="n">
        <v>11</v>
      </c>
      <c r="B19" s="19" t="inlineStr">
        <is>
          <t xml:space="preserve">        Extintor Espuma AFFF 2.5 gal</t>
        </is>
      </c>
      <c r="C19" s="20" t="inlineStr">
        <is>
          <t>Residencial / Comercial / Ind</t>
        </is>
      </c>
      <c r="D19" s="18" t="inlineStr">
        <is>
          <t>Extintores Espuma</t>
        </is>
      </c>
      <c r="E19" s="18" t="inlineStr">
        <is>
          <t>U</t>
        </is>
      </c>
      <c r="F19" s="21" t="n">
        <v>1</v>
      </c>
      <c r="G19" s="22" t="n">
        <v>110</v>
      </c>
      <c r="H19" s="22" t="n">
        <v>114.4</v>
      </c>
      <c r="I19" s="18" t="inlineStr">
        <is>
          <t>Megametales</t>
        </is>
      </c>
      <c r="J19" s="22" t="n">
        <v>117.7</v>
      </c>
      <c r="K19" s="18" t="inlineStr">
        <is>
          <t>Kywi / Megakywi</t>
        </is>
      </c>
      <c r="L19" s="8">
        <f>F19*G19</f>
        <v/>
      </c>
      <c r="M19" s="145" t="inlineStr">
        <is>
          <t>CI-D40-EXT-AFF-25G</t>
        </is>
      </c>
      <c r="N19" s="18" t="inlineStr">
        <is>
          <t>Protección contra incendios (extinción)</t>
        </is>
      </c>
      <c r="O19" s="18" t="inlineStr">
        <is>
          <t>Estimado DION · criterio de mercado Guayaquil 2026 (no verificado en tienda)</t>
        </is>
      </c>
      <c r="P19" s="18" t="inlineStr">
        <is>
          <t>oct-2026 (est.)</t>
        </is>
      </c>
      <c r="Q19" s="18" t="n"/>
    </row>
    <row r="20">
      <c r="A20" s="244" t="n">
        <v>12</v>
      </c>
      <c r="B20" s="245" t="inlineStr">
        <is>
          <t xml:space="preserve">        Extintor Agente Limpio HFC-236 5 lb</t>
        </is>
      </c>
      <c r="C20" s="246" t="inlineStr">
        <is>
          <t>Residencial / Comercial / Ind</t>
        </is>
      </c>
      <c r="D20" s="244" t="inlineStr">
        <is>
          <t>Extintores Limpios</t>
        </is>
      </c>
      <c r="E20" s="244" t="inlineStr">
        <is>
          <t>U</t>
        </is>
      </c>
      <c r="F20" s="247" t="n">
        <v>1</v>
      </c>
      <c r="G20" s="248" t="n">
        <v>240</v>
      </c>
      <c r="H20" s="248" t="n">
        <v>247.2</v>
      </c>
      <c r="I20" s="244" t="inlineStr">
        <is>
          <t>Megametales</t>
        </is>
      </c>
      <c r="J20" s="248" t="n">
        <v>259.2</v>
      </c>
      <c r="K20" s="244" t="inlineStr">
        <is>
          <t>Kywi / Megakywi</t>
        </is>
      </c>
      <c r="L20" s="249">
        <f>F20*G20</f>
        <v/>
      </c>
      <c r="M20" s="250" t="inlineStr">
        <is>
          <t>CI-D40-EXT-HAL-05LB</t>
        </is>
      </c>
      <c r="N20" s="244" t="inlineStr">
        <is>
          <t>Protección contra incendios (extinción)</t>
        </is>
      </c>
      <c r="O20" s="244" t="inlineStr">
        <is>
          <t>Estimado DION · criterio de mercado Guayaquil 2026 (no verificado en tienda)</t>
        </is>
      </c>
      <c r="P20" s="244" t="inlineStr">
        <is>
          <t>oct-2026 (est.)</t>
        </is>
      </c>
      <c r="Q20" s="244" t="n"/>
    </row>
    <row r="21">
      <c r="A21" s="18" t="n">
        <v>13</v>
      </c>
      <c r="B21" s="19" t="inlineStr">
        <is>
          <t xml:space="preserve">        Gabinete para Extintor Empotrable</t>
        </is>
      </c>
      <c r="C21" s="20" t="inlineStr">
        <is>
          <t>Residencial / Comercial / Ind</t>
        </is>
      </c>
      <c r="D21" s="18" t="inlineStr">
        <is>
          <t>Gabinetes Extintor</t>
        </is>
      </c>
      <c r="E21" s="18" t="inlineStr">
        <is>
          <t>U</t>
        </is>
      </c>
      <c r="F21" s="21" t="n">
        <v>2</v>
      </c>
      <c r="G21" s="22" t="n">
        <v>45</v>
      </c>
      <c r="H21" s="22" t="n">
        <v>45.9</v>
      </c>
      <c r="I21" s="18" t="inlineStr">
        <is>
          <t>Megametales</t>
        </is>
      </c>
      <c r="J21" s="22" t="n">
        <v>48.15</v>
      </c>
      <c r="K21" s="18" t="inlineStr">
        <is>
          <t>Kywi / Megakywi</t>
        </is>
      </c>
      <c r="L21" s="8">
        <f>F21*G21</f>
        <v/>
      </c>
      <c r="M21" s="145" t="inlineStr">
        <is>
          <t>CI-D40-EXT-GAB-EXT</t>
        </is>
      </c>
      <c r="N21" s="18" t="inlineStr">
        <is>
          <t>Protección contra incendios (extinción)</t>
        </is>
      </c>
      <c r="O21" s="18" t="inlineStr">
        <is>
          <t>Estimado DION · criterio de mercado Guayaquil 2026 (no verificado en tienda)</t>
        </is>
      </c>
      <c r="P21" s="18" t="inlineStr">
        <is>
          <t>oct-2026 (est.)</t>
        </is>
      </c>
      <c r="Q21" s="18" t="n"/>
    </row>
    <row r="22">
      <c r="A22" s="244" t="n">
        <v>14</v>
      </c>
      <c r="B22" s="245" t="inlineStr">
        <is>
          <t xml:space="preserve">        Señal Fotoluminiscente Extintor 20x30 cm</t>
        </is>
      </c>
      <c r="C22" s="246" t="inlineStr">
        <is>
          <t>Residencial / Comercial / Ind</t>
        </is>
      </c>
      <c r="D22" s="244" t="inlineStr">
        <is>
          <t>Señalética</t>
        </is>
      </c>
      <c r="E22" s="244" t="inlineStr">
        <is>
          <t>U</t>
        </is>
      </c>
      <c r="F22" s="247" t="n">
        <v>6</v>
      </c>
      <c r="G22" s="248" t="n">
        <v>4.5</v>
      </c>
      <c r="H22" s="248" t="n">
        <v>4.68</v>
      </c>
      <c r="I22" s="244" t="inlineStr">
        <is>
          <t>Megametales</t>
        </is>
      </c>
      <c r="J22" s="248" t="n">
        <v>4.82</v>
      </c>
      <c r="K22" s="244" t="inlineStr">
        <is>
          <t>Kywi / Megakywi</t>
        </is>
      </c>
      <c r="L22" s="249">
        <f>F22*G22</f>
        <v/>
      </c>
      <c r="M22" s="250" t="inlineStr">
        <is>
          <t>SE-C10-SEN-EXT</t>
        </is>
      </c>
      <c r="N22" s="244" t="inlineStr">
        <is>
          <t>Señalética y orientación</t>
        </is>
      </c>
      <c r="O22" s="244" t="inlineStr">
        <is>
          <t>Estimado DION · criterio de mercado Guayaquil 2026 (no verificado en tienda)</t>
        </is>
      </c>
      <c r="P22" s="244" t="inlineStr">
        <is>
          <t>oct-2026 (est.)</t>
        </is>
      </c>
      <c r="Q22" s="244" t="n"/>
    </row>
    <row r="23">
      <c r="A23" s="18" t="n">
        <v>15</v>
      </c>
      <c r="B23" s="19" t="inlineStr">
        <is>
          <t xml:space="preserve">        Señal Fotoluminiscente Gabinete BIE</t>
        </is>
      </c>
      <c r="C23" s="20" t="inlineStr">
        <is>
          <t>Residencial / Comercial / Ind</t>
        </is>
      </c>
      <c r="D23" s="18" t="inlineStr">
        <is>
          <t>Señalética</t>
        </is>
      </c>
      <c r="E23" s="18" t="inlineStr">
        <is>
          <t>U</t>
        </is>
      </c>
      <c r="F23" s="21" t="n">
        <v>4</v>
      </c>
      <c r="G23" s="22" t="n">
        <v>4.5</v>
      </c>
      <c r="H23" s="22" t="n">
        <v>4.63</v>
      </c>
      <c r="I23" s="18" t="inlineStr">
        <is>
          <t>Megametales</t>
        </is>
      </c>
      <c r="J23" s="22" t="n">
        <v>4.82</v>
      </c>
      <c r="K23" s="18" t="inlineStr">
        <is>
          <t>Kywi / Megakywi</t>
        </is>
      </c>
      <c r="L23" s="8">
        <f>F23*G23</f>
        <v/>
      </c>
      <c r="M23" s="145" t="inlineStr">
        <is>
          <t>SE-C10-SEN-BIE</t>
        </is>
      </c>
      <c r="N23" s="18" t="inlineStr">
        <is>
          <t>Señalética y orientación</t>
        </is>
      </c>
      <c r="O23" s="18" t="inlineStr">
        <is>
          <t>Estimado DION · criterio de mercado Guayaquil 2026 (no verificado en tienda)</t>
        </is>
      </c>
      <c r="P23" s="18" t="inlineStr">
        <is>
          <t>oct-2026 (est.)</t>
        </is>
      </c>
      <c r="Q23" s="18" t="n"/>
    </row>
    <row r="24">
      <c r="A24" s="244" t="n">
        <v>16</v>
      </c>
      <c r="B24" s="245" t="inlineStr">
        <is>
          <t xml:space="preserve">        Señal Fotoluminiscente Salida de Emergencia</t>
        </is>
      </c>
      <c r="C24" s="246" t="inlineStr">
        <is>
          <t>Residencial / Comercial / Ind</t>
        </is>
      </c>
      <c r="D24" s="244" t="inlineStr">
        <is>
          <t>Señalética</t>
        </is>
      </c>
      <c r="E24" s="244" t="inlineStr">
        <is>
          <t>U</t>
        </is>
      </c>
      <c r="F24" s="247" t="n">
        <v>8</v>
      </c>
      <c r="G24" s="248" t="n">
        <v>4.5</v>
      </c>
      <c r="H24" s="248" t="n">
        <v>4.68</v>
      </c>
      <c r="I24" s="244" t="inlineStr">
        <is>
          <t>Megametales</t>
        </is>
      </c>
      <c r="J24" s="248" t="n">
        <v>4.95</v>
      </c>
      <c r="K24" s="244" t="inlineStr">
        <is>
          <t>Kywi / Megakywi</t>
        </is>
      </c>
      <c r="L24" s="249">
        <f>F24*G24</f>
        <v/>
      </c>
      <c r="M24" s="250" t="inlineStr">
        <is>
          <t>SE-C10-SEN-SAL-FOT</t>
        </is>
      </c>
      <c r="N24" s="244" t="inlineStr">
        <is>
          <t>Señalética y orientación</t>
        </is>
      </c>
      <c r="O24" s="244" t="inlineStr">
        <is>
          <t>Estimado DION · criterio de mercado Guayaquil 2026 (no verificado en tienda)</t>
        </is>
      </c>
      <c r="P24" s="244" t="inlineStr">
        <is>
          <t>oct-2026 (est.)</t>
        </is>
      </c>
      <c r="Q24" s="244" t="n"/>
    </row>
    <row r="25">
      <c r="A25" s="18" t="n">
        <v>17</v>
      </c>
      <c r="B25" s="19" t="inlineStr">
        <is>
          <t xml:space="preserve">        Señal Ruta de Evacuación Flecha</t>
        </is>
      </c>
      <c r="C25" s="20" t="inlineStr">
        <is>
          <t>Residencial / Comercial / Ind</t>
        </is>
      </c>
      <c r="D25" s="18" t="inlineStr">
        <is>
          <t>Señalética</t>
        </is>
      </c>
      <c r="E25" s="18" t="inlineStr">
        <is>
          <t>U</t>
        </is>
      </c>
      <c r="F25" s="21" t="n">
        <v>10</v>
      </c>
      <c r="G25" s="22" t="n">
        <v>3.8</v>
      </c>
      <c r="H25" s="22" t="n">
        <v>3.95</v>
      </c>
      <c r="I25" s="18" t="inlineStr">
        <is>
          <t>Megametales</t>
        </is>
      </c>
      <c r="J25" s="22" t="n">
        <v>4.1</v>
      </c>
      <c r="K25" s="18" t="inlineStr">
        <is>
          <t>Kywi / Megakywi</t>
        </is>
      </c>
      <c r="L25" s="8">
        <f>F25*G25</f>
        <v/>
      </c>
      <c r="M25" s="145" t="inlineStr">
        <is>
          <t>SE-C10-SEN-RUT-EVA</t>
        </is>
      </c>
      <c r="N25" s="18" t="inlineStr">
        <is>
          <t>Señalética y orientación</t>
        </is>
      </c>
      <c r="O25" s="18" t="inlineStr">
        <is>
          <t>Estimado DION · criterio de mercado Guayaquil 2026 (no verificado en tienda)</t>
        </is>
      </c>
      <c r="P25" s="18" t="inlineStr">
        <is>
          <t>oct-2026 (est.)</t>
        </is>
      </c>
      <c r="Q25" s="18" t="n"/>
    </row>
    <row r="26">
      <c r="A26" s="244" t="n">
        <v>18</v>
      </c>
      <c r="B26" s="245" t="inlineStr">
        <is>
          <t xml:space="preserve">        Señal Pulsador de Alarma</t>
        </is>
      </c>
      <c r="C26" s="246" t="inlineStr">
        <is>
          <t>Residencial / Comercial / Ind</t>
        </is>
      </c>
      <c r="D26" s="244" t="inlineStr">
        <is>
          <t>Señalética</t>
        </is>
      </c>
      <c r="E26" s="244" t="inlineStr">
        <is>
          <t>U</t>
        </is>
      </c>
      <c r="F26" s="247" t="n">
        <v>4</v>
      </c>
      <c r="G26" s="248" t="n">
        <v>4.5</v>
      </c>
      <c r="H26" s="248" t="n">
        <v>4.73</v>
      </c>
      <c r="I26" s="244" t="inlineStr">
        <is>
          <t>Megametales</t>
        </is>
      </c>
      <c r="J26" s="248" t="n">
        <v>5</v>
      </c>
      <c r="K26" s="244" t="inlineStr">
        <is>
          <t>Kywi / Megakywi</t>
        </is>
      </c>
      <c r="L26" s="249">
        <f>F26*G26</f>
        <v/>
      </c>
      <c r="M26" s="250" t="inlineStr">
        <is>
          <t>SE-C10-SEN-ALA</t>
        </is>
      </c>
      <c r="N26" s="244" t="inlineStr">
        <is>
          <t>Señalética y orientación</t>
        </is>
      </c>
      <c r="O26" s="244" t="inlineStr">
        <is>
          <t>Estimado DION · criterio de mercado Guayaquil 2026 (no verificado en tienda)</t>
        </is>
      </c>
      <c r="P26" s="244" t="inlineStr">
        <is>
          <t>oct-2026 (est.)</t>
        </is>
      </c>
      <c r="Q26" s="244" t="n"/>
    </row>
    <row r="27">
      <c r="A27" s="241" t="inlineStr">
        <is>
          <t>TUBERÍAS</t>
        </is>
      </c>
      <c r="B27" s="143" t="n"/>
      <c r="C27" s="143" t="n"/>
      <c r="D27" s="143" t="n"/>
      <c r="E27" s="143" t="n"/>
      <c r="F27" s="143" t="n"/>
      <c r="G27" s="143" t="n"/>
      <c r="H27" s="143" t="n"/>
      <c r="I27" s="143" t="n"/>
      <c r="J27" s="143" t="n"/>
      <c r="K27" s="143" t="n"/>
      <c r="L27" s="143" t="n"/>
      <c r="M27" s="143" t="n"/>
      <c r="N27" s="143" t="n"/>
      <c r="O27" s="143" t="n"/>
      <c r="P27" s="143" t="n"/>
      <c r="Q27" s="144" t="n"/>
    </row>
    <row r="28">
      <c r="A28" s="242" t="inlineStr">
        <is>
          <t xml:space="preserve">  ► CATEGORÍA: TUBERÍA CONTRA INCENDIOS</t>
        </is>
      </c>
      <c r="B28" s="143" t="n"/>
      <c r="C28" s="143" t="n"/>
      <c r="D28" s="143" t="n"/>
      <c r="E28" s="143" t="n"/>
      <c r="F28" s="143" t="n"/>
      <c r="G28" s="143" t="n"/>
      <c r="H28" s="143" t="n"/>
      <c r="I28" s="143" t="n"/>
      <c r="J28" s="143" t="n"/>
      <c r="K28" s="143" t="n"/>
      <c r="L28" s="143" t="n"/>
      <c r="M28" s="143" t="n"/>
      <c r="N28" s="143" t="n"/>
      <c r="O28" s="143" t="n"/>
      <c r="P28" s="143" t="n"/>
      <c r="Q28" s="144" t="n"/>
    </row>
    <row r="29">
      <c r="A29" s="243" t="inlineStr">
        <is>
          <t xml:space="preserve">      • Subcategoría Especificada: Acero Cédula 40 Ranurado/Roscado, CPVC y PEAD por Diámetro (m)</t>
        </is>
      </c>
      <c r="B29" s="143" t="n"/>
      <c r="C29" s="143" t="n"/>
      <c r="D29" s="143" t="n"/>
      <c r="E29" s="143" t="n"/>
      <c r="F29" s="143" t="n"/>
      <c r="G29" s="143" t="n"/>
      <c r="H29" s="143" t="n"/>
      <c r="I29" s="143" t="n"/>
      <c r="J29" s="143" t="n"/>
      <c r="K29" s="143" t="n"/>
      <c r="L29" s="143" t="n"/>
      <c r="M29" s="143" t="n"/>
      <c r="N29" s="143" t="n"/>
      <c r="O29" s="143" t="n"/>
      <c r="P29" s="143" t="n"/>
      <c r="Q29" s="144" t="n"/>
    </row>
    <row r="30">
      <c r="A30" s="18" t="n">
        <v>19</v>
      </c>
      <c r="B30" s="19" t="inlineStr">
        <is>
          <t xml:space="preserve">        Tubería Acero Negro Cédula 40 ASTM A53 1" Ranurada (m)</t>
        </is>
      </c>
      <c r="C30" s="20" t="inlineStr">
        <is>
          <t>Comercial / Industrial</t>
        </is>
      </c>
      <c r="D30" s="18" t="inlineStr">
        <is>
          <t>Tubería Acero CI</t>
        </is>
      </c>
      <c r="E30" s="18" t="inlineStr">
        <is>
          <t>m</t>
        </is>
      </c>
      <c r="F30" s="21" t="n">
        <v>30</v>
      </c>
      <c r="G30" s="22" t="n">
        <v>6.5</v>
      </c>
      <c r="H30" s="22" t="n">
        <v>6.83</v>
      </c>
      <c r="I30" s="18" t="inlineStr">
        <is>
          <t>Megametales</t>
        </is>
      </c>
      <c r="J30" s="22" t="n">
        <v>7.02</v>
      </c>
      <c r="K30" s="18" t="inlineStr">
        <is>
          <t>Kywi / Megakywi</t>
        </is>
      </c>
      <c r="L30" s="8">
        <f>F30*G30</f>
        <v/>
      </c>
      <c r="M30" s="145" t="inlineStr">
        <is>
          <t>CI-D40-TCI-ACE-DN25</t>
        </is>
      </c>
      <c r="N30" s="18" t="inlineStr">
        <is>
          <t>Protección contra incendios (extinción)</t>
        </is>
      </c>
      <c r="O30" s="18" t="inlineStr">
        <is>
          <t>Estimado DION · criterio de mercado Guayaquil 2026 (no verificado en tienda)</t>
        </is>
      </c>
      <c r="P30" s="18" t="inlineStr">
        <is>
          <t>oct-2026 (est.)</t>
        </is>
      </c>
      <c r="Q30" s="18" t="n">
        <v>3</v>
      </c>
    </row>
    <row r="31">
      <c r="A31" s="244" t="n">
        <v>20</v>
      </c>
      <c r="B31" s="245" t="inlineStr">
        <is>
          <t xml:space="preserve">        Tubería Acero Negro Cédula 40 ASTM A53 1¼" Ranurada (m)</t>
        </is>
      </c>
      <c r="C31" s="246" t="inlineStr">
        <is>
          <t>Comercial / Industrial</t>
        </is>
      </c>
      <c r="D31" s="244" t="inlineStr">
        <is>
          <t>Tubería Acero CI</t>
        </is>
      </c>
      <c r="E31" s="244" t="inlineStr">
        <is>
          <t>m</t>
        </is>
      </c>
      <c r="F31" s="247" t="n">
        <v>30</v>
      </c>
      <c r="G31" s="248" t="n">
        <v>8.6</v>
      </c>
      <c r="H31" s="248" t="n">
        <v>8.94</v>
      </c>
      <c r="I31" s="244" t="inlineStr">
        <is>
          <t>Megametales</t>
        </is>
      </c>
      <c r="J31" s="248" t="n">
        <v>9.550000000000001</v>
      </c>
      <c r="K31" s="244" t="inlineStr">
        <is>
          <t>Kywi / Megakywi</t>
        </is>
      </c>
      <c r="L31" s="249">
        <f>F31*G31</f>
        <v/>
      </c>
      <c r="M31" s="250" t="inlineStr">
        <is>
          <t>CI-D40-TCI-ACE-DN32</t>
        </is>
      </c>
      <c r="N31" s="244" t="inlineStr">
        <is>
          <t>Protección contra incendios (extinción)</t>
        </is>
      </c>
      <c r="O31" s="244" t="inlineStr">
        <is>
          <t>Estimado DION · criterio de mercado Guayaquil 2026 (no verificado en tienda)</t>
        </is>
      </c>
      <c r="P31" s="244" t="inlineStr">
        <is>
          <t>oct-2026 (est.)</t>
        </is>
      </c>
      <c r="Q31" s="244" t="n">
        <v>3</v>
      </c>
    </row>
    <row r="32">
      <c r="A32" s="18" t="n">
        <v>21</v>
      </c>
      <c r="B32" s="19" t="inlineStr">
        <is>
          <t xml:space="preserve">        Tubería Acero Negro Cédula 40 ASTM A53 1½" Ranurada (m)</t>
        </is>
      </c>
      <c r="C32" s="20" t="inlineStr">
        <is>
          <t>Comercial / Industrial</t>
        </is>
      </c>
      <c r="D32" s="18" t="inlineStr">
        <is>
          <t>Tubería Acero CI</t>
        </is>
      </c>
      <c r="E32" s="18" t="inlineStr">
        <is>
          <t>m</t>
        </is>
      </c>
      <c r="F32" s="21" t="n">
        <v>30</v>
      </c>
      <c r="G32" s="22" t="n">
        <v>10.2</v>
      </c>
      <c r="H32" s="22" t="n">
        <v>10.61</v>
      </c>
      <c r="I32" s="18" t="inlineStr">
        <is>
          <t>Megametales</t>
        </is>
      </c>
      <c r="J32" s="22" t="n">
        <v>11.22</v>
      </c>
      <c r="K32" s="18" t="inlineStr">
        <is>
          <t>Kywi / Megakywi</t>
        </is>
      </c>
      <c r="L32" s="8">
        <f>F32*G32</f>
        <v/>
      </c>
      <c r="M32" s="145" t="inlineStr">
        <is>
          <t>CI-D40-TCI-ACE-DN40</t>
        </is>
      </c>
      <c r="N32" s="18" t="inlineStr">
        <is>
          <t>Protección contra incendios (extinción)</t>
        </is>
      </c>
      <c r="O32" s="18" t="inlineStr">
        <is>
          <t>Estimado DION · criterio de mercado Guayaquil 2026 (no verificado en tienda)</t>
        </is>
      </c>
      <c r="P32" s="18" t="inlineStr">
        <is>
          <t>oct-2026 (est.)</t>
        </is>
      </c>
      <c r="Q32" s="18" t="n">
        <v>3</v>
      </c>
    </row>
    <row r="33">
      <c r="A33" s="244" t="n">
        <v>22</v>
      </c>
      <c r="B33" s="245" t="inlineStr">
        <is>
          <t xml:space="preserve">        Tubería Acero Negro Cédula 40 ASTM A53 2" Ranurada (m)</t>
        </is>
      </c>
      <c r="C33" s="246" t="inlineStr">
        <is>
          <t>Comercial / Industrial</t>
        </is>
      </c>
      <c r="D33" s="244" t="inlineStr">
        <is>
          <t>Tubería Acero CI</t>
        </is>
      </c>
      <c r="E33" s="244" t="inlineStr">
        <is>
          <t>m</t>
        </is>
      </c>
      <c r="F33" s="247" t="n">
        <v>30</v>
      </c>
      <c r="G33" s="248" t="n">
        <v>13.6</v>
      </c>
      <c r="H33" s="248" t="n">
        <v>14.14</v>
      </c>
      <c r="I33" s="244" t="inlineStr">
        <is>
          <t>Megametales</t>
        </is>
      </c>
      <c r="J33" s="248" t="n">
        <v>15.1</v>
      </c>
      <c r="K33" s="244" t="inlineStr">
        <is>
          <t>Kywi / Megakywi</t>
        </is>
      </c>
      <c r="L33" s="249">
        <f>F33*G33</f>
        <v/>
      </c>
      <c r="M33" s="250" t="inlineStr">
        <is>
          <t>CI-D40-TCI-ACE-DN50</t>
        </is>
      </c>
      <c r="N33" s="244" t="inlineStr">
        <is>
          <t>Protección contra incendios (extinción)</t>
        </is>
      </c>
      <c r="O33" s="244" t="inlineStr">
        <is>
          <t>Estimado DION · criterio de mercado Guayaquil 2026 (no verificado en tienda)</t>
        </is>
      </c>
      <c r="P33" s="244" t="inlineStr">
        <is>
          <t>oct-2026 (est.)</t>
        </is>
      </c>
      <c r="Q33" s="244" t="n">
        <v>3</v>
      </c>
    </row>
    <row r="34">
      <c r="A34" s="18" t="n">
        <v>23</v>
      </c>
      <c r="B34" s="19" t="inlineStr">
        <is>
          <t xml:space="preserve">        Tubería Acero Negro Cédula 40 ASTM A53 2½" Ranurada (m)</t>
        </is>
      </c>
      <c r="C34" s="20" t="inlineStr">
        <is>
          <t>Comercial / Industrial</t>
        </is>
      </c>
      <c r="D34" s="18" t="inlineStr">
        <is>
          <t>Tubería Acero CI</t>
        </is>
      </c>
      <c r="E34" s="18" t="inlineStr">
        <is>
          <t>m</t>
        </is>
      </c>
      <c r="F34" s="21" t="n">
        <v>30</v>
      </c>
      <c r="G34" s="22" t="n">
        <v>21.5</v>
      </c>
      <c r="H34" s="22" t="n">
        <v>22.14</v>
      </c>
      <c r="I34" s="18" t="inlineStr">
        <is>
          <t>Megametales</t>
        </is>
      </c>
      <c r="J34" s="22" t="n">
        <v>23.87</v>
      </c>
      <c r="K34" s="18" t="inlineStr">
        <is>
          <t>Kywi / Megakywi</t>
        </is>
      </c>
      <c r="L34" s="8">
        <f>F34*G34</f>
        <v/>
      </c>
      <c r="M34" s="145" t="inlineStr">
        <is>
          <t>CI-D40-TCI-ACE-DN65</t>
        </is>
      </c>
      <c r="N34" s="18" t="inlineStr">
        <is>
          <t>Protección contra incendios (extinción)</t>
        </is>
      </c>
      <c r="O34" s="18" t="inlineStr">
        <is>
          <t>Estimado DION · criterio de mercado Guayaquil 2026 (no verificado en tienda)</t>
        </is>
      </c>
      <c r="P34" s="18" t="inlineStr">
        <is>
          <t>oct-2026 (est.)</t>
        </is>
      </c>
      <c r="Q34" s="18" t="n">
        <v>3</v>
      </c>
    </row>
    <row r="35">
      <c r="A35" s="244" t="n">
        <v>24</v>
      </c>
      <c r="B35" s="245" t="inlineStr">
        <is>
          <t xml:space="preserve">        Tubería Acero Negro Cédula 40 ASTM A53 3" Ranurada (m)</t>
        </is>
      </c>
      <c r="C35" s="246" t="inlineStr">
        <is>
          <t>Comercial / Industrial</t>
        </is>
      </c>
      <c r="D35" s="244" t="inlineStr">
        <is>
          <t>Tubería Acero CI</t>
        </is>
      </c>
      <c r="E35" s="244" t="inlineStr">
        <is>
          <t>m</t>
        </is>
      </c>
      <c r="F35" s="247" t="n">
        <v>30</v>
      </c>
      <c r="G35" s="248" t="n">
        <v>28</v>
      </c>
      <c r="H35" s="248" t="n">
        <v>29.4</v>
      </c>
      <c r="I35" s="244" t="inlineStr">
        <is>
          <t>Megametales</t>
        </is>
      </c>
      <c r="J35" s="248" t="n">
        <v>29.96</v>
      </c>
      <c r="K35" s="244" t="inlineStr">
        <is>
          <t>Kywi / Megakywi</t>
        </is>
      </c>
      <c r="L35" s="249">
        <f>F35*G35</f>
        <v/>
      </c>
      <c r="M35" s="250" t="inlineStr">
        <is>
          <t>CI-D40-TCI-ACE-DN80</t>
        </is>
      </c>
      <c r="N35" s="244" t="inlineStr">
        <is>
          <t>Protección contra incendios (extinción)</t>
        </is>
      </c>
      <c r="O35" s="244" t="inlineStr">
        <is>
          <t>Estimado DION · criterio de mercado Guayaquil 2026 (no verificado en tienda)</t>
        </is>
      </c>
      <c r="P35" s="244" t="inlineStr">
        <is>
          <t>oct-2026 (est.)</t>
        </is>
      </c>
      <c r="Q35" s="244" t="n">
        <v>3</v>
      </c>
    </row>
    <row r="36">
      <c r="A36" s="18" t="n">
        <v>25</v>
      </c>
      <c r="B36" s="19" t="inlineStr">
        <is>
          <t xml:space="preserve">        Tubería Acero Negro Cédula 40 ASTM A53 4" Ranurada (m)</t>
        </is>
      </c>
      <c r="C36" s="20" t="inlineStr">
        <is>
          <t>Comercial / Industrial</t>
        </is>
      </c>
      <c r="D36" s="18" t="inlineStr">
        <is>
          <t>Tubería Acero CI</t>
        </is>
      </c>
      <c r="E36" s="18" t="inlineStr">
        <is>
          <t>m</t>
        </is>
      </c>
      <c r="F36" s="21" t="n">
        <v>30</v>
      </c>
      <c r="G36" s="22" t="n">
        <v>40</v>
      </c>
      <c r="H36" s="22" t="n">
        <v>42</v>
      </c>
      <c r="I36" s="18" t="inlineStr">
        <is>
          <t>Megametales</t>
        </is>
      </c>
      <c r="J36" s="22" t="n">
        <v>42.8</v>
      </c>
      <c r="K36" s="18" t="inlineStr">
        <is>
          <t>Kywi / Megakywi</t>
        </is>
      </c>
      <c r="L36" s="8">
        <f>F36*G36</f>
        <v/>
      </c>
      <c r="M36" s="145" t="inlineStr">
        <is>
          <t>CI-D40-TCI-ACE-DN100</t>
        </is>
      </c>
      <c r="N36" s="18" t="inlineStr">
        <is>
          <t>Protección contra incendios (extinción)</t>
        </is>
      </c>
      <c r="O36" s="18" t="inlineStr">
        <is>
          <t>Estimado DION · criterio de mercado Guayaquil 2026 (no verificado en tienda)</t>
        </is>
      </c>
      <c r="P36" s="18" t="inlineStr">
        <is>
          <t>oct-2026 (est.)</t>
        </is>
      </c>
      <c r="Q36" s="18" t="n">
        <v>3</v>
      </c>
    </row>
    <row r="37">
      <c r="A37" s="244" t="n">
        <v>26</v>
      </c>
      <c r="B37" s="245" t="inlineStr">
        <is>
          <t xml:space="preserve">        Tubería Acero Negro Cédula 40 ASTM A53 6" Ranurada (m)</t>
        </is>
      </c>
      <c r="C37" s="246" t="inlineStr">
        <is>
          <t>Comercial / Industrial</t>
        </is>
      </c>
      <c r="D37" s="244" t="inlineStr">
        <is>
          <t>Tubería Acero CI</t>
        </is>
      </c>
      <c r="E37" s="244" t="inlineStr">
        <is>
          <t>m</t>
        </is>
      </c>
      <c r="F37" s="247" t="n">
        <v>30</v>
      </c>
      <c r="G37" s="248" t="n">
        <v>72</v>
      </c>
      <c r="H37" s="248" t="n">
        <v>73.44</v>
      </c>
      <c r="I37" s="244" t="inlineStr">
        <is>
          <t>Megametales</t>
        </is>
      </c>
      <c r="J37" s="248" t="n">
        <v>79.2</v>
      </c>
      <c r="K37" s="244" t="inlineStr">
        <is>
          <t>Kywi / Megakywi</t>
        </is>
      </c>
      <c r="L37" s="249">
        <f>F37*G37</f>
        <v/>
      </c>
      <c r="M37" s="250" t="inlineStr">
        <is>
          <t>CI-D40-TCI-ACE-DN150</t>
        </is>
      </c>
      <c r="N37" s="244" t="inlineStr">
        <is>
          <t>Protección contra incendios (extinción)</t>
        </is>
      </c>
      <c r="O37" s="244" t="inlineStr">
        <is>
          <t>Estimado DION · criterio de mercado Guayaquil 2026 (no verificado en tienda)</t>
        </is>
      </c>
      <c r="P37" s="244" t="inlineStr">
        <is>
          <t>oct-2026 (est.)</t>
        </is>
      </c>
      <c r="Q37" s="244" t="n">
        <v>3</v>
      </c>
    </row>
    <row r="38">
      <c r="A38" s="18" t="n">
        <v>27</v>
      </c>
      <c r="B38" s="19" t="inlineStr">
        <is>
          <t xml:space="preserve">        Tubería Acero Negro Cédula 40 ASTM A53 8" Ranurada (m)</t>
        </is>
      </c>
      <c r="C38" s="20" t="inlineStr">
        <is>
          <t>Comercial / Industrial</t>
        </is>
      </c>
      <c r="D38" s="18" t="inlineStr">
        <is>
          <t>Tubería Acero CI</t>
        </is>
      </c>
      <c r="E38" s="18" t="inlineStr">
        <is>
          <t>m</t>
        </is>
      </c>
      <c r="F38" s="21" t="n">
        <v>30</v>
      </c>
      <c r="G38" s="22" t="n">
        <v>108</v>
      </c>
      <c r="H38" s="22" t="n">
        <v>110.16</v>
      </c>
      <c r="I38" s="18" t="inlineStr">
        <is>
          <t>Megametales</t>
        </is>
      </c>
      <c r="J38" s="22" t="n">
        <v>118.8</v>
      </c>
      <c r="K38" s="18" t="inlineStr">
        <is>
          <t>Kywi / Megakywi</t>
        </is>
      </c>
      <c r="L38" s="8">
        <f>F38*G38</f>
        <v/>
      </c>
      <c r="M38" s="145" t="inlineStr">
        <is>
          <t>CI-D40-TCI-ACE-DN200</t>
        </is>
      </c>
      <c r="N38" s="18" t="inlineStr">
        <is>
          <t>Protección contra incendios (extinción)</t>
        </is>
      </c>
      <c r="O38" s="18" t="inlineStr">
        <is>
          <t>Estimado DION · criterio de mercado Guayaquil 2026 (no verificado en tienda)</t>
        </is>
      </c>
      <c r="P38" s="18" t="inlineStr">
        <is>
          <t>oct-2026 (est.)</t>
        </is>
      </c>
      <c r="Q38" s="18" t="n">
        <v>3</v>
      </c>
    </row>
    <row r="39">
      <c r="A39" s="244" t="n">
        <v>28</v>
      </c>
      <c r="B39" s="245" t="inlineStr">
        <is>
          <t xml:space="preserve">        Tubería CPVC Contra Incendios BlazeMaster ¾" (m)</t>
        </is>
      </c>
      <c r="C39" s="246" t="inlineStr">
        <is>
          <t>Residencial / Comercial</t>
        </is>
      </c>
      <c r="D39" s="244" t="inlineStr">
        <is>
          <t>Tubería CPVC CI</t>
        </is>
      </c>
      <c r="E39" s="244" t="inlineStr">
        <is>
          <t>m</t>
        </is>
      </c>
      <c r="F39" s="247" t="n">
        <v>30</v>
      </c>
      <c r="G39" s="248" t="n">
        <v>3.6</v>
      </c>
      <c r="H39" s="248" t="n">
        <v>3.67</v>
      </c>
      <c r="I39" s="244" t="inlineStr">
        <is>
          <t>Megametales</t>
        </is>
      </c>
      <c r="J39" s="248" t="n">
        <v>3.92</v>
      </c>
      <c r="K39" s="244" t="inlineStr">
        <is>
          <t>Kywi / Megakywi</t>
        </is>
      </c>
      <c r="L39" s="249">
        <f>F39*G39</f>
        <v/>
      </c>
      <c r="M39" s="250" t="inlineStr">
        <is>
          <t>CI-D40-TCI-CPVC-DN20</t>
        </is>
      </c>
      <c r="N39" s="244" t="inlineStr">
        <is>
          <t>Protección contra incendios (extinción)</t>
        </is>
      </c>
      <c r="O39" s="244" t="inlineStr">
        <is>
          <t>Estimado DION · criterio de mercado Guayaquil 2026 (no verificado en tienda)</t>
        </is>
      </c>
      <c r="P39" s="244" t="inlineStr">
        <is>
          <t>oct-2026 (est.)</t>
        </is>
      </c>
      <c r="Q39" s="244" t="n">
        <v>3</v>
      </c>
    </row>
    <row r="40">
      <c r="A40" s="18" t="n">
        <v>29</v>
      </c>
      <c r="B40" s="19" t="inlineStr">
        <is>
          <t xml:space="preserve">        Tubería CPVC Contra Incendios BlazeMaster 1" (m)</t>
        </is>
      </c>
      <c r="C40" s="20" t="inlineStr">
        <is>
          <t>Residencial / Comercial</t>
        </is>
      </c>
      <c r="D40" s="18" t="inlineStr">
        <is>
          <t>Tubería CPVC CI</t>
        </is>
      </c>
      <c r="E40" s="18" t="inlineStr">
        <is>
          <t>m</t>
        </is>
      </c>
      <c r="F40" s="21" t="n">
        <v>30</v>
      </c>
      <c r="G40" s="22" t="n">
        <v>5.2</v>
      </c>
      <c r="H40" s="22" t="n">
        <v>5.41</v>
      </c>
      <c r="I40" s="18" t="inlineStr">
        <is>
          <t>Megametales</t>
        </is>
      </c>
      <c r="J40" s="22" t="n">
        <v>5.72</v>
      </c>
      <c r="K40" s="18" t="inlineStr">
        <is>
          <t>Kywi / Megakywi</t>
        </is>
      </c>
      <c r="L40" s="8">
        <f>F40*G40</f>
        <v/>
      </c>
      <c r="M40" s="145" t="inlineStr">
        <is>
          <t>CI-D40-TCI-CPVC-DN25</t>
        </is>
      </c>
      <c r="N40" s="18" t="inlineStr">
        <is>
          <t>Protección contra incendios (extinción)</t>
        </is>
      </c>
      <c r="O40" s="18" t="inlineStr">
        <is>
          <t>Estimado DION · criterio de mercado Guayaquil 2026 (no verificado en tienda)</t>
        </is>
      </c>
      <c r="P40" s="18" t="inlineStr">
        <is>
          <t>oct-2026 (est.)</t>
        </is>
      </c>
      <c r="Q40" s="18" t="n">
        <v>3</v>
      </c>
    </row>
    <row r="41">
      <c r="A41" s="244" t="n">
        <v>30</v>
      </c>
      <c r="B41" s="245" t="inlineStr">
        <is>
          <t xml:space="preserve">        Tubería CPVC Contra Incendios BlazeMaster 1¼" (m)</t>
        </is>
      </c>
      <c r="C41" s="246" t="inlineStr">
        <is>
          <t>Residencial / Comercial</t>
        </is>
      </c>
      <c r="D41" s="244" t="inlineStr">
        <is>
          <t>Tubería CPVC CI</t>
        </is>
      </c>
      <c r="E41" s="244" t="inlineStr">
        <is>
          <t>m</t>
        </is>
      </c>
      <c r="F41" s="247" t="n">
        <v>30</v>
      </c>
      <c r="G41" s="248" t="n">
        <v>7.8</v>
      </c>
      <c r="H41" s="248" t="n">
        <v>8.029999999999999</v>
      </c>
      <c r="I41" s="244" t="inlineStr">
        <is>
          <t>Megametales</t>
        </is>
      </c>
      <c r="J41" s="248" t="n">
        <v>8.5</v>
      </c>
      <c r="K41" s="244" t="inlineStr">
        <is>
          <t>Kywi / Megakywi</t>
        </is>
      </c>
      <c r="L41" s="249">
        <f>F41*G41</f>
        <v/>
      </c>
      <c r="M41" s="250" t="inlineStr">
        <is>
          <t>CI-D40-TCI-CPVC-DN32</t>
        </is>
      </c>
      <c r="N41" s="244" t="inlineStr">
        <is>
          <t>Protección contra incendios (extinción)</t>
        </is>
      </c>
      <c r="O41" s="244" t="inlineStr">
        <is>
          <t>Estimado DION · criterio de mercado Guayaquil 2026 (no verificado en tienda)</t>
        </is>
      </c>
      <c r="P41" s="244" t="inlineStr">
        <is>
          <t>oct-2026 (est.)</t>
        </is>
      </c>
      <c r="Q41" s="244" t="n">
        <v>3</v>
      </c>
    </row>
    <row r="42">
      <c r="A42" s="18" t="n">
        <v>31</v>
      </c>
      <c r="B42" s="19" t="inlineStr">
        <is>
          <t xml:space="preserve">        Tubería CPVC Contra Incendios BlazeMaster 1½" (m)</t>
        </is>
      </c>
      <c r="C42" s="20" t="inlineStr">
        <is>
          <t>Residencial / Comercial</t>
        </is>
      </c>
      <c r="D42" s="18" t="inlineStr">
        <is>
          <t>Tubería CPVC CI</t>
        </is>
      </c>
      <c r="E42" s="18" t="inlineStr">
        <is>
          <t>m</t>
        </is>
      </c>
      <c r="F42" s="21" t="n">
        <v>30</v>
      </c>
      <c r="G42" s="22" t="n">
        <v>10.5</v>
      </c>
      <c r="H42" s="22" t="n">
        <v>10.71</v>
      </c>
      <c r="I42" s="18" t="inlineStr">
        <is>
          <t>Megametales</t>
        </is>
      </c>
      <c r="J42" s="22" t="n">
        <v>11.55</v>
      </c>
      <c r="K42" s="18" t="inlineStr">
        <is>
          <t>Kywi / Megakywi</t>
        </is>
      </c>
      <c r="L42" s="8">
        <f>F42*G42</f>
        <v/>
      </c>
      <c r="M42" s="145" t="inlineStr">
        <is>
          <t>CI-D40-TCI-CPVC-DN40</t>
        </is>
      </c>
      <c r="N42" s="18" t="inlineStr">
        <is>
          <t>Protección contra incendios (extinción)</t>
        </is>
      </c>
      <c r="O42" s="18" t="inlineStr">
        <is>
          <t>Estimado DION · criterio de mercado Guayaquil 2026 (no verificado en tienda)</t>
        </is>
      </c>
      <c r="P42" s="18" t="inlineStr">
        <is>
          <t>oct-2026 (est.)</t>
        </is>
      </c>
      <c r="Q42" s="18" t="n">
        <v>3</v>
      </c>
    </row>
    <row r="43">
      <c r="A43" s="244" t="n">
        <v>32</v>
      </c>
      <c r="B43" s="245" t="inlineStr">
        <is>
          <t xml:space="preserve">        Tubería CPVC Contra Incendios BlazeMaster 2" (m)</t>
        </is>
      </c>
      <c r="C43" s="246" t="inlineStr">
        <is>
          <t>Residencial / Comercial</t>
        </is>
      </c>
      <c r="D43" s="244" t="inlineStr">
        <is>
          <t>Tubería CPVC CI</t>
        </is>
      </c>
      <c r="E43" s="244" t="inlineStr">
        <is>
          <t>m</t>
        </is>
      </c>
      <c r="F43" s="247" t="n">
        <v>30</v>
      </c>
      <c r="G43" s="248" t="n">
        <v>16.5</v>
      </c>
      <c r="H43" s="248" t="n">
        <v>16.83</v>
      </c>
      <c r="I43" s="244" t="inlineStr">
        <is>
          <t>Megametales</t>
        </is>
      </c>
      <c r="J43" s="248" t="n">
        <v>17.99</v>
      </c>
      <c r="K43" s="244" t="inlineStr">
        <is>
          <t>Kywi / Megakywi</t>
        </is>
      </c>
      <c r="L43" s="249">
        <f>F43*G43</f>
        <v/>
      </c>
      <c r="M43" s="250" t="inlineStr">
        <is>
          <t>CI-D40-TCI-CPVC-DN50</t>
        </is>
      </c>
      <c r="N43" s="244" t="inlineStr">
        <is>
          <t>Protección contra incendios (extinción)</t>
        </is>
      </c>
      <c r="O43" s="244" t="inlineStr">
        <is>
          <t>Estimado DION · criterio de mercado Guayaquil 2026 (no verificado en tienda)</t>
        </is>
      </c>
      <c r="P43" s="244" t="inlineStr">
        <is>
          <t>oct-2026 (est.)</t>
        </is>
      </c>
      <c r="Q43" s="244" t="n">
        <v>3</v>
      </c>
    </row>
    <row r="44">
      <c r="A44" s="18" t="n">
        <v>33</v>
      </c>
      <c r="B44" s="19" t="inlineStr">
        <is>
          <t xml:space="preserve">        Tubería PEAD Red Contra Incendios Enterrada Ø4" (m)</t>
        </is>
      </c>
      <c r="C44" s="20" t="inlineStr">
        <is>
          <t>Urbanización / Industrial</t>
        </is>
      </c>
      <c r="D44" s="18" t="inlineStr">
        <is>
          <t>Tubería PEAD CI</t>
        </is>
      </c>
      <c r="E44" s="18" t="inlineStr">
        <is>
          <t>m</t>
        </is>
      </c>
      <c r="F44" s="21" t="n">
        <v>30</v>
      </c>
      <c r="G44" s="22" t="n">
        <v>22</v>
      </c>
      <c r="H44" s="22" t="n">
        <v>23.1</v>
      </c>
      <c r="I44" s="18" t="inlineStr">
        <is>
          <t>Megametales</t>
        </is>
      </c>
      <c r="J44" s="22" t="n">
        <v>24.42</v>
      </c>
      <c r="K44" s="18" t="inlineStr">
        <is>
          <t>Kywi / Megakywi</t>
        </is>
      </c>
      <c r="L44" s="8">
        <f>F44*G44</f>
        <v/>
      </c>
      <c r="M44" s="145" t="inlineStr">
        <is>
          <t>CI-D40-TCI-PEAD-DN100</t>
        </is>
      </c>
      <c r="N44" s="18" t="inlineStr">
        <is>
          <t>Protección contra incendios (extinción)</t>
        </is>
      </c>
      <c r="O44" s="18" t="inlineStr">
        <is>
          <t>Estimado DION · criterio de mercado Guayaquil 2026 (no verificado en tienda)</t>
        </is>
      </c>
      <c r="P44" s="18" t="inlineStr">
        <is>
          <t>oct-2026 (est.)</t>
        </is>
      </c>
      <c r="Q44" s="18" t="n">
        <v>3</v>
      </c>
    </row>
    <row r="45">
      <c r="A45" s="244" t="n">
        <v>34</v>
      </c>
      <c r="B45" s="245" t="inlineStr">
        <is>
          <t xml:space="preserve">        Tubería PEAD Red Contra Incendios Enterrada Ø6" (m)</t>
        </is>
      </c>
      <c r="C45" s="246" t="inlineStr">
        <is>
          <t>Urbanización / Industrial</t>
        </is>
      </c>
      <c r="D45" s="244" t="inlineStr">
        <is>
          <t>Tubería PEAD CI</t>
        </is>
      </c>
      <c r="E45" s="244" t="inlineStr">
        <is>
          <t>m</t>
        </is>
      </c>
      <c r="F45" s="247" t="n">
        <v>30</v>
      </c>
      <c r="G45" s="248" t="n">
        <v>46</v>
      </c>
      <c r="H45" s="248" t="n">
        <v>46.92</v>
      </c>
      <c r="I45" s="244" t="inlineStr">
        <is>
          <t>Megametales</t>
        </is>
      </c>
      <c r="J45" s="248" t="n">
        <v>50.6</v>
      </c>
      <c r="K45" s="244" t="inlineStr">
        <is>
          <t>Kywi / Megakywi</t>
        </is>
      </c>
      <c r="L45" s="249">
        <f>F45*G45</f>
        <v/>
      </c>
      <c r="M45" s="250" t="inlineStr">
        <is>
          <t>CI-D40-TCI-PEAD-DN150</t>
        </is>
      </c>
      <c r="N45" s="244" t="inlineStr">
        <is>
          <t>Protección contra incendios (extinción)</t>
        </is>
      </c>
      <c r="O45" s="244" t="inlineStr">
        <is>
          <t>Estimado DION · criterio de mercado Guayaquil 2026 (no verificado en tienda)</t>
        </is>
      </c>
      <c r="P45" s="244" t="inlineStr">
        <is>
          <t>oct-2026 (est.)</t>
        </is>
      </c>
      <c r="Q45" s="244" t="n">
        <v>3</v>
      </c>
    </row>
    <row r="46">
      <c r="A46" s="241" t="inlineStr">
        <is>
          <t>EQUIPOS</t>
        </is>
      </c>
      <c r="B46" s="143" t="n"/>
      <c r="C46" s="143" t="n"/>
      <c r="D46" s="143" t="n"/>
      <c r="E46" s="143" t="n"/>
      <c r="F46" s="143" t="n"/>
      <c r="G46" s="143" t="n"/>
      <c r="H46" s="143" t="n"/>
      <c r="I46" s="143" t="n"/>
      <c r="J46" s="143" t="n"/>
      <c r="K46" s="143" t="n"/>
      <c r="L46" s="143" t="n"/>
      <c r="M46" s="143" t="n"/>
      <c r="N46" s="143" t="n"/>
      <c r="O46" s="143" t="n"/>
      <c r="P46" s="143" t="n"/>
      <c r="Q46" s="144" t="n"/>
    </row>
    <row r="47">
      <c r="A47" s="242" t="inlineStr">
        <is>
          <t xml:space="preserve">  ► CATEGORÍA: BOMBAS Y RESERVA CONTRA INCENDIOS</t>
        </is>
      </c>
      <c r="B47" s="143" t="n"/>
      <c r="C47" s="143" t="n"/>
      <c r="D47" s="143" t="n"/>
      <c r="E47" s="143" t="n"/>
      <c r="F47" s="143" t="n"/>
      <c r="G47" s="143" t="n"/>
      <c r="H47" s="143" t="n"/>
      <c r="I47" s="143" t="n"/>
      <c r="J47" s="143" t="n"/>
      <c r="K47" s="143" t="n"/>
      <c r="L47" s="143" t="n"/>
      <c r="M47" s="143" t="n"/>
      <c r="N47" s="143" t="n"/>
      <c r="O47" s="143" t="n"/>
      <c r="P47" s="143" t="n"/>
      <c r="Q47" s="144" t="n"/>
    </row>
    <row r="48">
      <c r="A48" s="243" t="inlineStr">
        <is>
          <t xml:space="preserve">      • Subcategoría Especificada: Bombas UL/FM por Caudal, Jockey, Controladores y Tanques</t>
        </is>
      </c>
      <c r="B48" s="143" t="n"/>
      <c r="C48" s="143" t="n"/>
      <c r="D48" s="143" t="n"/>
      <c r="E48" s="143" t="n"/>
      <c r="F48" s="143" t="n"/>
      <c r="G48" s="143" t="n"/>
      <c r="H48" s="143" t="n"/>
      <c r="I48" s="143" t="n"/>
      <c r="J48" s="143" t="n"/>
      <c r="K48" s="143" t="n"/>
      <c r="L48" s="143" t="n"/>
      <c r="M48" s="143" t="n"/>
      <c r="N48" s="143" t="n"/>
      <c r="O48" s="143" t="n"/>
      <c r="P48" s="143" t="n"/>
      <c r="Q48" s="144" t="n"/>
    </row>
    <row r="49">
      <c r="A49" s="18" t="n">
        <v>35</v>
      </c>
      <c r="B49" s="19" t="inlineStr">
        <is>
          <t xml:space="preserve">        Bomba Contra Incendios Eléctrica UL/FM 250 GPM (con Controlador)</t>
        </is>
      </c>
      <c r="C49" s="20" t="inlineStr">
        <is>
          <t>Comercial / Industrial</t>
        </is>
      </c>
      <c r="D49" s="18" t="inlineStr">
        <is>
          <t>Bombas CI</t>
        </is>
      </c>
      <c r="E49" s="18" t="inlineStr">
        <is>
          <t>U</t>
        </is>
      </c>
      <c r="F49" s="21" t="n">
        <v>0</v>
      </c>
      <c r="G49" s="22" t="n">
        <v>28500</v>
      </c>
      <c r="H49" s="22" t="n">
        <v>29925</v>
      </c>
      <c r="I49" s="18" t="inlineStr">
        <is>
          <t>Megametales</t>
        </is>
      </c>
      <c r="J49" s="22" t="n">
        <v>31065</v>
      </c>
      <c r="K49" s="18" t="inlineStr">
        <is>
          <t>Kywi / Megakywi</t>
        </is>
      </c>
      <c r="L49" s="8">
        <f>F49*G49</f>
        <v/>
      </c>
      <c r="M49" s="145" t="inlineStr">
        <is>
          <t>CI-D40-BCI-ELE-0250GPM</t>
        </is>
      </c>
      <c r="N49" s="18" t="inlineStr">
        <is>
          <t>Protección contra incendios (extinción)</t>
        </is>
      </c>
      <c r="O49" s="18" t="inlineStr">
        <is>
          <t>Estimado DION · criterio de mercado Guayaquil 2026 (no verificado en tienda)</t>
        </is>
      </c>
      <c r="P49" s="18" t="inlineStr">
        <is>
          <t>oct-2026 (est.)</t>
        </is>
      </c>
      <c r="Q49" s="18" t="n"/>
    </row>
    <row r="50">
      <c r="A50" s="244" t="n">
        <v>36</v>
      </c>
      <c r="B50" s="245" t="inlineStr">
        <is>
          <t xml:space="preserve">        Bomba Contra Incendios Diésel UL/FM 250 GPM (con Controlador)</t>
        </is>
      </c>
      <c r="C50" s="246" t="inlineStr">
        <is>
          <t>Comercial / Industrial</t>
        </is>
      </c>
      <c r="D50" s="244" t="inlineStr">
        <is>
          <t>Bombas CI</t>
        </is>
      </c>
      <c r="E50" s="244" t="inlineStr">
        <is>
          <t>U</t>
        </is>
      </c>
      <c r="F50" s="247" t="n">
        <v>0</v>
      </c>
      <c r="G50" s="248" t="n">
        <v>42000</v>
      </c>
      <c r="H50" s="248" t="n">
        <v>43260</v>
      </c>
      <c r="I50" s="244" t="inlineStr">
        <is>
          <t>Megametales</t>
        </is>
      </c>
      <c r="J50" s="248" t="n">
        <v>46200</v>
      </c>
      <c r="K50" s="244" t="inlineStr">
        <is>
          <t>Kywi / Megakywi</t>
        </is>
      </c>
      <c r="L50" s="249">
        <f>F50*G50</f>
        <v/>
      </c>
      <c r="M50" s="250" t="inlineStr">
        <is>
          <t>CI-D40-BCI-DSL-0250GPM</t>
        </is>
      </c>
      <c r="N50" s="244" t="inlineStr">
        <is>
          <t>Protección contra incendios (extinción)</t>
        </is>
      </c>
      <c r="O50" s="244" t="inlineStr">
        <is>
          <t>Estimado DION · criterio de mercado Guayaquil 2026 (no verificado en tienda)</t>
        </is>
      </c>
      <c r="P50" s="244" t="inlineStr">
        <is>
          <t>oct-2026 (est.)</t>
        </is>
      </c>
      <c r="Q50" s="244" t="n"/>
    </row>
    <row r="51">
      <c r="A51" s="18" t="n">
        <v>37</v>
      </c>
      <c r="B51" s="19" t="inlineStr">
        <is>
          <t xml:space="preserve">        Bomba Contra Incendios Eléctrica UL/FM 500 GPM (con Controlador)</t>
        </is>
      </c>
      <c r="C51" s="20" t="inlineStr">
        <is>
          <t>Comercial / Industrial</t>
        </is>
      </c>
      <c r="D51" s="18" t="inlineStr">
        <is>
          <t>Bombas CI</t>
        </is>
      </c>
      <c r="E51" s="18" t="inlineStr">
        <is>
          <t>U</t>
        </is>
      </c>
      <c r="F51" s="21" t="n">
        <v>0</v>
      </c>
      <c r="G51" s="22" t="n">
        <v>36500</v>
      </c>
      <c r="H51" s="22" t="n">
        <v>37960</v>
      </c>
      <c r="I51" s="18" t="inlineStr">
        <is>
          <t>Megametales</t>
        </is>
      </c>
      <c r="J51" s="22" t="n">
        <v>39420</v>
      </c>
      <c r="K51" s="18" t="inlineStr">
        <is>
          <t>Kywi / Megakywi</t>
        </is>
      </c>
      <c r="L51" s="8">
        <f>F51*G51</f>
        <v/>
      </c>
      <c r="M51" s="145" t="inlineStr">
        <is>
          <t>CI-D40-BCI-ELE-0500GPM</t>
        </is>
      </c>
      <c r="N51" s="18" t="inlineStr">
        <is>
          <t>Protección contra incendios (extinción)</t>
        </is>
      </c>
      <c r="O51" s="18" t="inlineStr">
        <is>
          <t>Estimado DION · criterio de mercado Guayaquil 2026 (no verificado en tienda)</t>
        </is>
      </c>
      <c r="P51" s="18" t="inlineStr">
        <is>
          <t>oct-2026 (est.)</t>
        </is>
      </c>
      <c r="Q51" s="18" t="n"/>
    </row>
    <row r="52">
      <c r="A52" s="244" t="n">
        <v>38</v>
      </c>
      <c r="B52" s="245" t="inlineStr">
        <is>
          <t xml:space="preserve">        Bomba Contra Incendios Diésel UL/FM 500 GPM (con Controlador)</t>
        </is>
      </c>
      <c r="C52" s="246" t="inlineStr">
        <is>
          <t>Comercial / Industrial</t>
        </is>
      </c>
      <c r="D52" s="244" t="inlineStr">
        <is>
          <t>Bombas CI</t>
        </is>
      </c>
      <c r="E52" s="244" t="inlineStr">
        <is>
          <t>U</t>
        </is>
      </c>
      <c r="F52" s="247" t="n">
        <v>0</v>
      </c>
      <c r="G52" s="248" t="n">
        <v>52000</v>
      </c>
      <c r="H52" s="248" t="n">
        <v>53560</v>
      </c>
      <c r="I52" s="244" t="inlineStr">
        <is>
          <t>Megametales</t>
        </is>
      </c>
      <c r="J52" s="248" t="n">
        <v>57200</v>
      </c>
      <c r="K52" s="244" t="inlineStr">
        <is>
          <t>Kywi / Megakywi</t>
        </is>
      </c>
      <c r="L52" s="249">
        <f>F52*G52</f>
        <v/>
      </c>
      <c r="M52" s="250" t="inlineStr">
        <is>
          <t>CI-D40-BCI-DSL-0500GPM</t>
        </is>
      </c>
      <c r="N52" s="244" t="inlineStr">
        <is>
          <t>Protección contra incendios (extinción)</t>
        </is>
      </c>
      <c r="O52" s="244" t="inlineStr">
        <is>
          <t>Estimado DION · criterio de mercado Guayaquil 2026 (no verificado en tienda)</t>
        </is>
      </c>
      <c r="P52" s="244" t="inlineStr">
        <is>
          <t>oct-2026 (est.)</t>
        </is>
      </c>
      <c r="Q52" s="244" t="n"/>
    </row>
    <row r="53">
      <c r="A53" s="18" t="n">
        <v>39</v>
      </c>
      <c r="B53" s="19" t="inlineStr">
        <is>
          <t xml:space="preserve">        Bomba Contra Incendios Eléctrica UL/FM 750 GPM (con Controlador)</t>
        </is>
      </c>
      <c r="C53" s="20" t="inlineStr">
        <is>
          <t>Comercial / Industrial</t>
        </is>
      </c>
      <c r="D53" s="18" t="inlineStr">
        <is>
          <t>Bombas CI</t>
        </is>
      </c>
      <c r="E53" s="18" t="inlineStr">
        <is>
          <t>U</t>
        </is>
      </c>
      <c r="F53" s="21" t="n">
        <v>0</v>
      </c>
      <c r="G53" s="22" t="n">
        <v>46000</v>
      </c>
      <c r="H53" s="22" t="n">
        <v>46920</v>
      </c>
      <c r="I53" s="18" t="inlineStr">
        <is>
          <t>Megametales</t>
        </is>
      </c>
      <c r="J53" s="22" t="n">
        <v>49220</v>
      </c>
      <c r="K53" s="18" t="inlineStr">
        <is>
          <t>Kywi / Megakywi</t>
        </is>
      </c>
      <c r="L53" s="8">
        <f>F53*G53</f>
        <v/>
      </c>
      <c r="M53" s="145" t="inlineStr">
        <is>
          <t>CI-D40-BCI-ELE-0750GPM</t>
        </is>
      </c>
      <c r="N53" s="18" t="inlineStr">
        <is>
          <t>Protección contra incendios (extinción)</t>
        </is>
      </c>
      <c r="O53" s="18" t="inlineStr">
        <is>
          <t>Estimado DION · criterio de mercado Guayaquil 2026 (no verificado en tienda)</t>
        </is>
      </c>
      <c r="P53" s="18" t="inlineStr">
        <is>
          <t>oct-2026 (est.)</t>
        </is>
      </c>
      <c r="Q53" s="18" t="n"/>
    </row>
    <row r="54">
      <c r="A54" s="244" t="n">
        <v>40</v>
      </c>
      <c r="B54" s="245" t="inlineStr">
        <is>
          <t xml:space="preserve">        Bomba Contra Incendios Eléctrica UL/FM 1000 GPM (con Controlador)</t>
        </is>
      </c>
      <c r="C54" s="246" t="inlineStr">
        <is>
          <t>Comercial / Industrial</t>
        </is>
      </c>
      <c r="D54" s="244" t="inlineStr">
        <is>
          <t>Bombas CI</t>
        </is>
      </c>
      <c r="E54" s="244" t="inlineStr">
        <is>
          <t>U</t>
        </is>
      </c>
      <c r="F54" s="247" t="n">
        <v>0</v>
      </c>
      <c r="G54" s="248" t="n">
        <v>58000</v>
      </c>
      <c r="H54" s="248" t="n">
        <v>59160</v>
      </c>
      <c r="I54" s="244" t="inlineStr">
        <is>
          <t>Megametales</t>
        </is>
      </c>
      <c r="J54" s="248" t="n">
        <v>63800</v>
      </c>
      <c r="K54" s="244" t="inlineStr">
        <is>
          <t>Kywi / Megakywi</t>
        </is>
      </c>
      <c r="L54" s="249">
        <f>F54*G54</f>
        <v/>
      </c>
      <c r="M54" s="250" t="inlineStr">
        <is>
          <t>CI-D40-BCI-ELE-1000GPM</t>
        </is>
      </c>
      <c r="N54" s="244" t="inlineStr">
        <is>
          <t>Protección contra incendios (extinción)</t>
        </is>
      </c>
      <c r="O54" s="244" t="inlineStr">
        <is>
          <t>Estimado DION · criterio de mercado Guayaquil 2026 (no verificado en tienda)</t>
        </is>
      </c>
      <c r="P54" s="244" t="inlineStr">
        <is>
          <t>oct-2026 (est.)</t>
        </is>
      </c>
      <c r="Q54" s="244" t="n"/>
    </row>
    <row r="55">
      <c r="A55" s="18" t="n">
        <v>41</v>
      </c>
      <c r="B55" s="19" t="inlineStr">
        <is>
          <t xml:space="preserve">        Bomba Jockey 1 HP</t>
        </is>
      </c>
      <c r="C55" s="20" t="inlineStr">
        <is>
          <t>Comercial / Industrial</t>
        </is>
      </c>
      <c r="D55" s="18" t="inlineStr">
        <is>
          <t>Bombas Jockey</t>
        </is>
      </c>
      <c r="E55" s="18" t="inlineStr">
        <is>
          <t>U</t>
        </is>
      </c>
      <c r="F55" s="21" t="n">
        <v>0</v>
      </c>
      <c r="G55" s="22" t="n">
        <v>1250</v>
      </c>
      <c r="H55" s="22" t="n">
        <v>1312.5</v>
      </c>
      <c r="I55" s="18" t="inlineStr">
        <is>
          <t>Megametales</t>
        </is>
      </c>
      <c r="J55" s="22" t="n">
        <v>1375</v>
      </c>
      <c r="K55" s="18" t="inlineStr">
        <is>
          <t>Kywi / Megakywi</t>
        </is>
      </c>
      <c r="L55" s="8">
        <f>F55*G55</f>
        <v/>
      </c>
      <c r="M55" s="145" t="inlineStr">
        <is>
          <t>CI-D40-BCI-JOC-1HP</t>
        </is>
      </c>
      <c r="N55" s="18" t="inlineStr">
        <is>
          <t>Protección contra incendios (extinción)</t>
        </is>
      </c>
      <c r="O55" s="18" t="inlineStr">
        <is>
          <t>Estimado DION · criterio de mercado Guayaquil 2026 (no verificado en tienda)</t>
        </is>
      </c>
      <c r="P55" s="18" t="inlineStr">
        <is>
          <t>oct-2026 (est.)</t>
        </is>
      </c>
      <c r="Q55" s="18" t="n"/>
    </row>
    <row r="56">
      <c r="A56" s="244" t="n">
        <v>42</v>
      </c>
      <c r="B56" s="245" t="inlineStr">
        <is>
          <t xml:space="preserve">        Bomba Jockey 2 HP</t>
        </is>
      </c>
      <c r="C56" s="246" t="inlineStr">
        <is>
          <t>Comercial / Industrial</t>
        </is>
      </c>
      <c r="D56" s="244" t="inlineStr">
        <is>
          <t>Bombas Jockey</t>
        </is>
      </c>
      <c r="E56" s="244" t="inlineStr">
        <is>
          <t>U</t>
        </is>
      </c>
      <c r="F56" s="247" t="n">
        <v>0</v>
      </c>
      <c r="G56" s="248" t="n">
        <v>1650</v>
      </c>
      <c r="H56" s="248" t="n">
        <v>1732.5</v>
      </c>
      <c r="I56" s="244" t="inlineStr">
        <is>
          <t>Megametales</t>
        </is>
      </c>
      <c r="J56" s="248" t="n">
        <v>1798.5</v>
      </c>
      <c r="K56" s="244" t="inlineStr">
        <is>
          <t>Kywi / Megakywi</t>
        </is>
      </c>
      <c r="L56" s="249">
        <f>F56*G56</f>
        <v/>
      </c>
      <c r="M56" s="250" t="inlineStr">
        <is>
          <t>CI-D40-BCI-JOC-2HP</t>
        </is>
      </c>
      <c r="N56" s="244" t="inlineStr">
        <is>
          <t>Protección contra incendios (extinción)</t>
        </is>
      </c>
      <c r="O56" s="244" t="inlineStr">
        <is>
          <t>Estimado DION · criterio de mercado Guayaquil 2026 (no verificado en tienda)</t>
        </is>
      </c>
      <c r="P56" s="244" t="inlineStr">
        <is>
          <t>oct-2026 (est.)</t>
        </is>
      </c>
      <c r="Q56" s="244" t="n"/>
    </row>
    <row r="57">
      <c r="A57" s="18" t="n">
        <v>43</v>
      </c>
      <c r="B57" s="19" t="inlineStr">
        <is>
          <t xml:space="preserve">        Bomba Jockey 3 HP</t>
        </is>
      </c>
      <c r="C57" s="20" t="inlineStr">
        <is>
          <t>Comercial / Industrial</t>
        </is>
      </c>
      <c r="D57" s="18" t="inlineStr">
        <is>
          <t>Bombas Jockey</t>
        </is>
      </c>
      <c r="E57" s="18" t="inlineStr">
        <is>
          <t>U</t>
        </is>
      </c>
      <c r="F57" s="21" t="n">
        <v>0</v>
      </c>
      <c r="G57" s="22" t="n">
        <v>2100</v>
      </c>
      <c r="H57" s="22" t="n">
        <v>2142</v>
      </c>
      <c r="I57" s="18" t="inlineStr">
        <is>
          <t>Megametales</t>
        </is>
      </c>
      <c r="J57" s="22" t="n">
        <v>2268</v>
      </c>
      <c r="K57" s="18" t="inlineStr">
        <is>
          <t>Kywi / Megakywi</t>
        </is>
      </c>
      <c r="L57" s="8">
        <f>F57*G57</f>
        <v/>
      </c>
      <c r="M57" s="145" t="inlineStr">
        <is>
          <t>CI-D40-BCI-JOC-3HP</t>
        </is>
      </c>
      <c r="N57" s="18" t="inlineStr">
        <is>
          <t>Protección contra incendios (extinción)</t>
        </is>
      </c>
      <c r="O57" s="18" t="inlineStr">
        <is>
          <t>Estimado DION · criterio de mercado Guayaquil 2026 (no verificado en tienda)</t>
        </is>
      </c>
      <c r="P57" s="18" t="inlineStr">
        <is>
          <t>oct-2026 (est.)</t>
        </is>
      </c>
      <c r="Q57" s="18" t="n"/>
    </row>
    <row r="58">
      <c r="A58" s="244" t="n">
        <v>44</v>
      </c>
      <c r="B58" s="245" t="inlineStr">
        <is>
          <t xml:space="preserve">        Tanque / Reserva Contra Incendios 20 m³ (Referencial)</t>
        </is>
      </c>
      <c r="C58" s="246" t="inlineStr">
        <is>
          <t>Comercial / Industrial</t>
        </is>
      </c>
      <c r="D58" s="244" t="inlineStr">
        <is>
          <t>Reservas CI</t>
        </is>
      </c>
      <c r="E58" s="244" t="inlineStr">
        <is>
          <t>U</t>
        </is>
      </c>
      <c r="F58" s="247" t="n">
        <v>0</v>
      </c>
      <c r="G58" s="248" t="n">
        <v>8500</v>
      </c>
      <c r="H58" s="248" t="n">
        <v>8755</v>
      </c>
      <c r="I58" s="244" t="inlineStr">
        <is>
          <t>Megametales</t>
        </is>
      </c>
      <c r="J58" s="248" t="n">
        <v>9350</v>
      </c>
      <c r="K58" s="244" t="inlineStr">
        <is>
          <t>Kywi / Megakywi</t>
        </is>
      </c>
      <c r="L58" s="249">
        <f>F58*G58</f>
        <v/>
      </c>
      <c r="M58" s="250" t="inlineStr">
        <is>
          <t>CI-D40-BCI-TAN-020M3</t>
        </is>
      </c>
      <c r="N58" s="244" t="inlineStr">
        <is>
          <t>Protección contra incendios (extinción)</t>
        </is>
      </c>
      <c r="O58" s="244" t="inlineStr">
        <is>
          <t>Estimado DION · criterio de mercado Guayaquil 2026 (no verificado en tienda)</t>
        </is>
      </c>
      <c r="P58" s="244" t="inlineStr">
        <is>
          <t>oct-2026 (est.)</t>
        </is>
      </c>
      <c r="Q58" s="244" t="n"/>
    </row>
    <row r="59">
      <c r="A59" s="18" t="n">
        <v>45</v>
      </c>
      <c r="B59" s="19" t="inlineStr">
        <is>
          <t xml:space="preserve">        Tanque / Reserva Contra Incendios 50 m³ (Referencial)</t>
        </is>
      </c>
      <c r="C59" s="20" t="inlineStr">
        <is>
          <t>Comercial / Industrial</t>
        </is>
      </c>
      <c r="D59" s="18" t="inlineStr">
        <is>
          <t>Reservas CI</t>
        </is>
      </c>
      <c r="E59" s="18" t="inlineStr">
        <is>
          <t>U</t>
        </is>
      </c>
      <c r="F59" s="21" t="n">
        <v>0</v>
      </c>
      <c r="G59" s="22" t="n">
        <v>16500</v>
      </c>
      <c r="H59" s="22" t="n">
        <v>17160</v>
      </c>
      <c r="I59" s="18" t="inlineStr">
        <is>
          <t>Megametales</t>
        </is>
      </c>
      <c r="J59" s="22" t="n">
        <v>17985</v>
      </c>
      <c r="K59" s="18" t="inlineStr">
        <is>
          <t>Kywi / Megakywi</t>
        </is>
      </c>
      <c r="L59" s="8">
        <f>F59*G59</f>
        <v/>
      </c>
      <c r="M59" s="145" t="inlineStr">
        <is>
          <t>CI-D40-BCI-TAN-050M3</t>
        </is>
      </c>
      <c r="N59" s="18" t="inlineStr">
        <is>
          <t>Protección contra incendios (extinción)</t>
        </is>
      </c>
      <c r="O59" s="18" t="inlineStr">
        <is>
          <t>Estimado DION · criterio de mercado Guayaquil 2026 (no verificado en tienda)</t>
        </is>
      </c>
      <c r="P59" s="18" t="inlineStr">
        <is>
          <t>oct-2026 (est.)</t>
        </is>
      </c>
      <c r="Q59" s="18" t="n"/>
    </row>
    <row r="60">
      <c r="A60" s="244" t="n">
        <v>46</v>
      </c>
      <c r="B60" s="245" t="inlineStr">
        <is>
          <t xml:space="preserve">        Tanque / Reserva Contra Incendios 100 m³ (Referencial)</t>
        </is>
      </c>
      <c r="C60" s="246" t="inlineStr">
        <is>
          <t>Comercial / Industrial</t>
        </is>
      </c>
      <c r="D60" s="244" t="inlineStr">
        <is>
          <t>Reservas CI</t>
        </is>
      </c>
      <c r="E60" s="244" t="inlineStr">
        <is>
          <t>U</t>
        </is>
      </c>
      <c r="F60" s="247" t="n">
        <v>0</v>
      </c>
      <c r="G60" s="248" t="n">
        <v>29500</v>
      </c>
      <c r="H60" s="248" t="n">
        <v>30385</v>
      </c>
      <c r="I60" s="244" t="inlineStr">
        <is>
          <t>Megametales</t>
        </is>
      </c>
      <c r="J60" s="248" t="n">
        <v>32155</v>
      </c>
      <c r="K60" s="244" t="inlineStr">
        <is>
          <t>Kywi / Megakywi</t>
        </is>
      </c>
      <c r="L60" s="249">
        <f>F60*G60</f>
        <v/>
      </c>
      <c r="M60" s="250" t="inlineStr">
        <is>
          <t>CI-D40-BCI-TAN-100M3</t>
        </is>
      </c>
      <c r="N60" s="244" t="inlineStr">
        <is>
          <t>Protección contra incendios (extinción)</t>
        </is>
      </c>
      <c r="O60" s="244" t="inlineStr">
        <is>
          <t>Estimado DION · criterio de mercado Guayaquil 2026 (no verificado en tienda)</t>
        </is>
      </c>
      <c r="P60" s="244" t="inlineStr">
        <is>
          <t>oct-2026 (est.)</t>
        </is>
      </c>
      <c r="Q60" s="244" t="n"/>
    </row>
    <row r="61">
      <c r="A61" s="241" t="inlineStr">
        <is>
          <t>CONEXIONES</t>
        </is>
      </c>
      <c r="B61" s="143" t="n"/>
      <c r="C61" s="143" t="n"/>
      <c r="D61" s="143" t="n"/>
      <c r="E61" s="143" t="n"/>
      <c r="F61" s="143" t="n"/>
      <c r="G61" s="143" t="n"/>
      <c r="H61" s="143" t="n"/>
      <c r="I61" s="143" t="n"/>
      <c r="J61" s="143" t="n"/>
      <c r="K61" s="143" t="n"/>
      <c r="L61" s="143" t="n"/>
      <c r="M61" s="143" t="n"/>
      <c r="N61" s="143" t="n"/>
      <c r="O61" s="143" t="n"/>
      <c r="P61" s="143" t="n"/>
      <c r="Q61" s="144" t="n"/>
    </row>
    <row r="62">
      <c r="A62" s="242" t="inlineStr">
        <is>
          <t xml:space="preserve">  ► CATEGORÍA: ACCESORIOS, VÁLVULAS Y GABINETES</t>
        </is>
      </c>
      <c r="B62" s="143" t="n"/>
      <c r="C62" s="143" t="n"/>
      <c r="D62" s="143" t="n"/>
      <c r="E62" s="143" t="n"/>
      <c r="F62" s="143" t="n"/>
      <c r="G62" s="143" t="n"/>
      <c r="H62" s="143" t="n"/>
      <c r="I62" s="143" t="n"/>
      <c r="J62" s="143" t="n"/>
      <c r="K62" s="143" t="n"/>
      <c r="L62" s="143" t="n"/>
      <c r="M62" s="143" t="n"/>
      <c r="N62" s="143" t="n"/>
      <c r="O62" s="143" t="n"/>
      <c r="P62" s="143" t="n"/>
      <c r="Q62" s="144" t="n"/>
    </row>
    <row r="63">
      <c r="A63" s="243" t="inlineStr">
        <is>
          <t xml:space="preserve">      • Subcategoría Especificada: Acoples Ranurados, Válvulas Listadas, Siamesas, Hidrantes y BIE</t>
        </is>
      </c>
      <c r="B63" s="143" t="n"/>
      <c r="C63" s="143" t="n"/>
      <c r="D63" s="143" t="n"/>
      <c r="E63" s="143" t="n"/>
      <c r="F63" s="143" t="n"/>
      <c r="G63" s="143" t="n"/>
      <c r="H63" s="143" t="n"/>
      <c r="I63" s="143" t="n"/>
      <c r="J63" s="143" t="n"/>
      <c r="K63" s="143" t="n"/>
      <c r="L63" s="143" t="n"/>
      <c r="M63" s="143" t="n"/>
      <c r="N63" s="143" t="n"/>
      <c r="O63" s="143" t="n"/>
      <c r="P63" s="143" t="n"/>
      <c r="Q63" s="144" t="n"/>
    </row>
    <row r="64">
      <c r="A64" s="18" t="n">
        <v>47</v>
      </c>
      <c r="B64" s="19" t="inlineStr">
        <is>
          <t xml:space="preserve">        Acople Rígido Ranurado 1"</t>
        </is>
      </c>
      <c r="C64" s="20" t="inlineStr">
        <is>
          <t>Comercial / Industrial</t>
        </is>
      </c>
      <c r="D64" s="18" t="inlineStr">
        <is>
          <t>Acople Rígido Ranurados</t>
        </is>
      </c>
      <c r="E64" s="18" t="inlineStr">
        <is>
          <t>U</t>
        </is>
      </c>
      <c r="F64" s="21" t="n">
        <v>6</v>
      </c>
      <c r="G64" s="22" t="n">
        <v>4.5</v>
      </c>
      <c r="H64" s="22" t="n">
        <v>4.68</v>
      </c>
      <c r="I64" s="18" t="inlineStr">
        <is>
          <t>Megametales</t>
        </is>
      </c>
      <c r="J64" s="22" t="n">
        <v>4.86</v>
      </c>
      <c r="K64" s="18" t="inlineStr">
        <is>
          <t>Kywi / Megakywi</t>
        </is>
      </c>
      <c r="L64" s="8">
        <f>F64*G64</f>
        <v/>
      </c>
      <c r="M64" s="145" t="inlineStr">
        <is>
          <t>CI-D40-ACI-ACR-DN25</t>
        </is>
      </c>
      <c r="N64" s="18" t="inlineStr">
        <is>
          <t>Protección contra incendios (extinción)</t>
        </is>
      </c>
      <c r="O64" s="18" t="inlineStr">
        <is>
          <t>Estimado DION · criterio de mercado Guayaquil 2026 (no verificado en tienda)</t>
        </is>
      </c>
      <c r="P64" s="18" t="inlineStr">
        <is>
          <t>oct-2026 (est.)</t>
        </is>
      </c>
      <c r="Q64" s="18" t="n"/>
    </row>
    <row r="65">
      <c r="A65" s="244" t="n">
        <v>48</v>
      </c>
      <c r="B65" s="245" t="inlineStr">
        <is>
          <t xml:space="preserve">        Codo 90° Ranurado 1"</t>
        </is>
      </c>
      <c r="C65" s="246" t="inlineStr">
        <is>
          <t>Comercial / Industrial</t>
        </is>
      </c>
      <c r="D65" s="244" t="inlineStr">
        <is>
          <t>Codo 90° Ranurados</t>
        </is>
      </c>
      <c r="E65" s="244" t="inlineStr">
        <is>
          <t>U</t>
        </is>
      </c>
      <c r="F65" s="247" t="n">
        <v>4</v>
      </c>
      <c r="G65" s="248" t="n">
        <v>5.62</v>
      </c>
      <c r="H65" s="248" t="n">
        <v>5.73</v>
      </c>
      <c r="I65" s="244" t="inlineStr">
        <is>
          <t>Megametales</t>
        </is>
      </c>
      <c r="J65" s="248" t="n">
        <v>6.13</v>
      </c>
      <c r="K65" s="244" t="inlineStr">
        <is>
          <t>Kywi / Megakywi</t>
        </is>
      </c>
      <c r="L65" s="249">
        <f>F65*G65</f>
        <v/>
      </c>
      <c r="M65" s="250" t="inlineStr">
        <is>
          <t>CI-D40-ACI-C90-DN25</t>
        </is>
      </c>
      <c r="N65" s="244" t="inlineStr">
        <is>
          <t>Protección contra incendios (extinción)</t>
        </is>
      </c>
      <c r="O65" s="244" t="inlineStr">
        <is>
          <t>Estimado DION · criterio de mercado Guayaquil 2026 (no verificado en tienda)</t>
        </is>
      </c>
      <c r="P65" s="244" t="inlineStr">
        <is>
          <t>oct-2026 (est.)</t>
        </is>
      </c>
      <c r="Q65" s="244" t="n"/>
    </row>
    <row r="66">
      <c r="A66" s="18" t="n">
        <v>49</v>
      </c>
      <c r="B66" s="19" t="inlineStr">
        <is>
          <t xml:space="preserve">        Tee Ranurado 1"</t>
        </is>
      </c>
      <c r="C66" s="20" t="inlineStr">
        <is>
          <t>Comercial / Industrial</t>
        </is>
      </c>
      <c r="D66" s="18" t="inlineStr">
        <is>
          <t>Tee Ranurados</t>
        </is>
      </c>
      <c r="E66" s="18" t="inlineStr">
        <is>
          <t>U</t>
        </is>
      </c>
      <c r="F66" s="21" t="n">
        <v>2</v>
      </c>
      <c r="G66" s="22" t="n">
        <v>7.65</v>
      </c>
      <c r="H66" s="22" t="n">
        <v>7.8</v>
      </c>
      <c r="I66" s="18" t="inlineStr">
        <is>
          <t>Megametales</t>
        </is>
      </c>
      <c r="J66" s="22" t="n">
        <v>8.49</v>
      </c>
      <c r="K66" s="18" t="inlineStr">
        <is>
          <t>Kywi / Megakywi</t>
        </is>
      </c>
      <c r="L66" s="8">
        <f>F66*G66</f>
        <v/>
      </c>
      <c r="M66" s="145" t="inlineStr">
        <is>
          <t>CI-D40-ACI-TEE-DN25</t>
        </is>
      </c>
      <c r="N66" s="18" t="inlineStr">
        <is>
          <t>Protección contra incendios (extinción)</t>
        </is>
      </c>
      <c r="O66" s="18" t="inlineStr">
        <is>
          <t>Estimado DION · criterio de mercado Guayaquil 2026 (no verificado en tienda)</t>
        </is>
      </c>
      <c r="P66" s="18" t="inlineStr">
        <is>
          <t>oct-2026 (est.)</t>
        </is>
      </c>
      <c r="Q66" s="18" t="n"/>
    </row>
    <row r="67">
      <c r="A67" s="244" t="n">
        <v>50</v>
      </c>
      <c r="B67" s="245" t="inlineStr">
        <is>
          <t xml:space="preserve">        Tee Mecánica Ranurado 1"</t>
        </is>
      </c>
      <c r="C67" s="246" t="inlineStr">
        <is>
          <t>Comercial / Industrial</t>
        </is>
      </c>
      <c r="D67" s="244" t="inlineStr">
        <is>
          <t>Tee Mecánica Ranurados</t>
        </is>
      </c>
      <c r="E67" s="244" t="inlineStr">
        <is>
          <t>U</t>
        </is>
      </c>
      <c r="F67" s="247" t="n">
        <v>2</v>
      </c>
      <c r="G67" s="248" t="n">
        <v>9.449999999999999</v>
      </c>
      <c r="H67" s="248" t="n">
        <v>9.92</v>
      </c>
      <c r="I67" s="244" t="inlineStr">
        <is>
          <t>Megametales</t>
        </is>
      </c>
      <c r="J67" s="248" t="n">
        <v>10.21</v>
      </c>
      <c r="K67" s="244" t="inlineStr">
        <is>
          <t>Kywi / Megakywi</t>
        </is>
      </c>
      <c r="L67" s="249">
        <f>F67*G67</f>
        <v/>
      </c>
      <c r="M67" s="250" t="inlineStr">
        <is>
          <t>CI-D40-ACI-TME-DN25</t>
        </is>
      </c>
      <c r="N67" s="244" t="inlineStr">
        <is>
          <t>Protección contra incendios (extinción)</t>
        </is>
      </c>
      <c r="O67" s="244" t="inlineStr">
        <is>
          <t>Estimado DION · criterio de mercado Guayaquil 2026 (no verificado en tienda)</t>
        </is>
      </c>
      <c r="P67" s="244" t="inlineStr">
        <is>
          <t>oct-2026 (est.)</t>
        </is>
      </c>
      <c r="Q67" s="244" t="n"/>
    </row>
    <row r="68">
      <c r="A68" s="18" t="n">
        <v>51</v>
      </c>
      <c r="B68" s="19" t="inlineStr">
        <is>
          <t xml:space="preserve">        Acople Rígido Ranurado 2"</t>
        </is>
      </c>
      <c r="C68" s="20" t="inlineStr">
        <is>
          <t>Comercial / Industrial</t>
        </is>
      </c>
      <c r="D68" s="18" t="inlineStr">
        <is>
          <t>Acople Rígido Ranurados</t>
        </is>
      </c>
      <c r="E68" s="18" t="inlineStr">
        <is>
          <t>U</t>
        </is>
      </c>
      <c r="F68" s="21" t="n">
        <v>6</v>
      </c>
      <c r="G68" s="22" t="n">
        <v>7.5</v>
      </c>
      <c r="H68" s="22" t="n">
        <v>7.8</v>
      </c>
      <c r="I68" s="18" t="inlineStr">
        <is>
          <t>Megametales</t>
        </is>
      </c>
      <c r="J68" s="22" t="n">
        <v>8.25</v>
      </c>
      <c r="K68" s="18" t="inlineStr">
        <is>
          <t>Kywi / Megakywi</t>
        </is>
      </c>
      <c r="L68" s="8">
        <f>F68*G68</f>
        <v/>
      </c>
      <c r="M68" s="145" t="inlineStr">
        <is>
          <t>CI-D40-ACI-ACR-DN50</t>
        </is>
      </c>
      <c r="N68" s="18" t="inlineStr">
        <is>
          <t>Protección contra incendios (extinción)</t>
        </is>
      </c>
      <c r="O68" s="18" t="inlineStr">
        <is>
          <t>Estimado DION · criterio de mercado Guayaquil 2026 (no verificado en tienda)</t>
        </is>
      </c>
      <c r="P68" s="18" t="inlineStr">
        <is>
          <t>oct-2026 (est.)</t>
        </is>
      </c>
      <c r="Q68" s="18" t="n"/>
    </row>
    <row r="69">
      <c r="A69" s="244" t="n">
        <v>52</v>
      </c>
      <c r="B69" s="245" t="inlineStr">
        <is>
          <t xml:space="preserve">        Codo 90° Ranurado 2"</t>
        </is>
      </c>
      <c r="C69" s="246" t="inlineStr">
        <is>
          <t>Comercial / Industrial</t>
        </is>
      </c>
      <c r="D69" s="244" t="inlineStr">
        <is>
          <t>Codo 90° Ranurados</t>
        </is>
      </c>
      <c r="E69" s="244" t="inlineStr">
        <is>
          <t>U</t>
        </is>
      </c>
      <c r="F69" s="247" t="n">
        <v>4</v>
      </c>
      <c r="G69" s="248" t="n">
        <v>9.380000000000001</v>
      </c>
      <c r="H69" s="248" t="n">
        <v>9.66</v>
      </c>
      <c r="I69" s="244" t="inlineStr">
        <is>
          <t>Megametales</t>
        </is>
      </c>
      <c r="J69" s="248" t="n">
        <v>10.13</v>
      </c>
      <c r="K69" s="244" t="inlineStr">
        <is>
          <t>Kywi / Megakywi</t>
        </is>
      </c>
      <c r="L69" s="249">
        <f>F69*G69</f>
        <v/>
      </c>
      <c r="M69" s="250" t="inlineStr">
        <is>
          <t>CI-D40-ACI-C90-DN50</t>
        </is>
      </c>
      <c r="N69" s="244" t="inlineStr">
        <is>
          <t>Protección contra incendios (extinción)</t>
        </is>
      </c>
      <c r="O69" s="244" t="inlineStr">
        <is>
          <t>Estimado DION · criterio de mercado Guayaquil 2026 (no verificado en tienda)</t>
        </is>
      </c>
      <c r="P69" s="244" t="inlineStr">
        <is>
          <t>oct-2026 (est.)</t>
        </is>
      </c>
      <c r="Q69" s="244" t="n"/>
    </row>
    <row r="70">
      <c r="A70" s="18" t="n">
        <v>53</v>
      </c>
      <c r="B70" s="19" t="inlineStr">
        <is>
          <t xml:space="preserve">        Tee Ranurado 2"</t>
        </is>
      </c>
      <c r="C70" s="20" t="inlineStr">
        <is>
          <t>Comercial / Industrial</t>
        </is>
      </c>
      <c r="D70" s="18" t="inlineStr">
        <is>
          <t>Tee Ranurados</t>
        </is>
      </c>
      <c r="E70" s="18" t="inlineStr">
        <is>
          <t>U</t>
        </is>
      </c>
      <c r="F70" s="21" t="n">
        <v>2</v>
      </c>
      <c r="G70" s="22" t="n">
        <v>12.75</v>
      </c>
      <c r="H70" s="22" t="n">
        <v>13.26</v>
      </c>
      <c r="I70" s="18" t="inlineStr">
        <is>
          <t>Megametales</t>
        </is>
      </c>
      <c r="J70" s="22" t="n">
        <v>13.77</v>
      </c>
      <c r="K70" s="18" t="inlineStr">
        <is>
          <t>Kywi / Megakywi</t>
        </is>
      </c>
      <c r="L70" s="8">
        <f>F70*G70</f>
        <v/>
      </c>
      <c r="M70" s="145" t="inlineStr">
        <is>
          <t>CI-D40-ACI-TEE-DN50</t>
        </is>
      </c>
      <c r="N70" s="18" t="inlineStr">
        <is>
          <t>Protección contra incendios (extinción)</t>
        </is>
      </c>
      <c r="O70" s="18" t="inlineStr">
        <is>
          <t>Estimado DION · criterio de mercado Guayaquil 2026 (no verificado en tienda)</t>
        </is>
      </c>
      <c r="P70" s="18" t="inlineStr">
        <is>
          <t>oct-2026 (est.)</t>
        </is>
      </c>
      <c r="Q70" s="18" t="n"/>
    </row>
    <row r="71">
      <c r="A71" s="244" t="n">
        <v>54</v>
      </c>
      <c r="B71" s="245" t="inlineStr">
        <is>
          <t xml:space="preserve">        Tee Mecánica Ranurado 2"</t>
        </is>
      </c>
      <c r="C71" s="246" t="inlineStr">
        <is>
          <t>Comercial / Industrial</t>
        </is>
      </c>
      <c r="D71" s="244" t="inlineStr">
        <is>
          <t>Tee Mecánica Ranurados</t>
        </is>
      </c>
      <c r="E71" s="244" t="inlineStr">
        <is>
          <t>U</t>
        </is>
      </c>
      <c r="F71" s="247" t="n">
        <v>2</v>
      </c>
      <c r="G71" s="248" t="n">
        <v>15.75</v>
      </c>
      <c r="H71" s="248" t="n">
        <v>16.54</v>
      </c>
      <c r="I71" s="244" t="inlineStr">
        <is>
          <t>Megametales</t>
        </is>
      </c>
      <c r="J71" s="248" t="n">
        <v>17.33</v>
      </c>
      <c r="K71" s="244" t="inlineStr">
        <is>
          <t>Kywi / Megakywi</t>
        </is>
      </c>
      <c r="L71" s="249">
        <f>F71*G71</f>
        <v/>
      </c>
      <c r="M71" s="250" t="inlineStr">
        <is>
          <t>CI-D40-ACI-TME-DN50</t>
        </is>
      </c>
      <c r="N71" s="244" t="inlineStr">
        <is>
          <t>Protección contra incendios (extinción)</t>
        </is>
      </c>
      <c r="O71" s="244" t="inlineStr">
        <is>
          <t>Estimado DION · criterio de mercado Guayaquil 2026 (no verificado en tienda)</t>
        </is>
      </c>
      <c r="P71" s="244" t="inlineStr">
        <is>
          <t>oct-2026 (est.)</t>
        </is>
      </c>
      <c r="Q71" s="244" t="n"/>
    </row>
    <row r="72">
      <c r="A72" s="18" t="n">
        <v>55</v>
      </c>
      <c r="B72" s="19" t="inlineStr">
        <is>
          <t xml:space="preserve">        Acople Rígido Ranurado 2½"</t>
        </is>
      </c>
      <c r="C72" s="20" t="inlineStr">
        <is>
          <t>Comercial / Industrial</t>
        </is>
      </c>
      <c r="D72" s="18" t="inlineStr">
        <is>
          <t>Acople Rígido Ranurados</t>
        </is>
      </c>
      <c r="E72" s="18" t="inlineStr">
        <is>
          <t>U</t>
        </is>
      </c>
      <c r="F72" s="21" t="n">
        <v>6</v>
      </c>
      <c r="G72" s="22" t="n">
        <v>9.800000000000001</v>
      </c>
      <c r="H72" s="22" t="n">
        <v>10.29</v>
      </c>
      <c r="I72" s="18" t="inlineStr">
        <is>
          <t>Megametales</t>
        </is>
      </c>
      <c r="J72" s="22" t="n">
        <v>10.88</v>
      </c>
      <c r="K72" s="18" t="inlineStr">
        <is>
          <t>Kywi / Megakywi</t>
        </is>
      </c>
      <c r="L72" s="8">
        <f>F72*G72</f>
        <v/>
      </c>
      <c r="M72" s="145" t="inlineStr">
        <is>
          <t>CI-D40-ACI-ACR-DN65</t>
        </is>
      </c>
      <c r="N72" s="18" t="inlineStr">
        <is>
          <t>Protección contra incendios (extinción)</t>
        </is>
      </c>
      <c r="O72" s="18" t="inlineStr">
        <is>
          <t>Estimado DION · criterio de mercado Guayaquil 2026 (no verificado en tienda)</t>
        </is>
      </c>
      <c r="P72" s="18" t="inlineStr">
        <is>
          <t>oct-2026 (est.)</t>
        </is>
      </c>
      <c r="Q72" s="18" t="n"/>
    </row>
    <row r="73">
      <c r="A73" s="244" t="n">
        <v>56</v>
      </c>
      <c r="B73" s="245" t="inlineStr">
        <is>
          <t xml:space="preserve">        Codo 90° Ranurado 2½"</t>
        </is>
      </c>
      <c r="C73" s="246" t="inlineStr">
        <is>
          <t>Comercial / Industrial</t>
        </is>
      </c>
      <c r="D73" s="244" t="inlineStr">
        <is>
          <t>Codo 90° Ranurados</t>
        </is>
      </c>
      <c r="E73" s="244" t="inlineStr">
        <is>
          <t>U</t>
        </is>
      </c>
      <c r="F73" s="247" t="n">
        <v>4</v>
      </c>
      <c r="G73" s="248" t="n">
        <v>12.25</v>
      </c>
      <c r="H73" s="248" t="n">
        <v>12.74</v>
      </c>
      <c r="I73" s="244" t="inlineStr">
        <is>
          <t>Megametales</t>
        </is>
      </c>
      <c r="J73" s="248" t="n">
        <v>13.35</v>
      </c>
      <c r="K73" s="244" t="inlineStr">
        <is>
          <t>Kywi / Megakywi</t>
        </is>
      </c>
      <c r="L73" s="249">
        <f>F73*G73</f>
        <v/>
      </c>
      <c r="M73" s="250" t="inlineStr">
        <is>
          <t>CI-D40-ACI-C90-DN65</t>
        </is>
      </c>
      <c r="N73" s="244" t="inlineStr">
        <is>
          <t>Protección contra incendios (extinción)</t>
        </is>
      </c>
      <c r="O73" s="244" t="inlineStr">
        <is>
          <t>Estimado DION · criterio de mercado Guayaquil 2026 (no verificado en tienda)</t>
        </is>
      </c>
      <c r="P73" s="244" t="inlineStr">
        <is>
          <t>oct-2026 (est.)</t>
        </is>
      </c>
      <c r="Q73" s="244" t="n"/>
    </row>
    <row r="74">
      <c r="A74" s="18" t="n">
        <v>57</v>
      </c>
      <c r="B74" s="19" t="inlineStr">
        <is>
          <t xml:space="preserve">        Tee Ranurado 2½"</t>
        </is>
      </c>
      <c r="C74" s="20" t="inlineStr">
        <is>
          <t>Comercial / Industrial</t>
        </is>
      </c>
      <c r="D74" s="18" t="inlineStr">
        <is>
          <t>Tee Ranurados</t>
        </is>
      </c>
      <c r="E74" s="18" t="inlineStr">
        <is>
          <t>U</t>
        </is>
      </c>
      <c r="F74" s="21" t="n">
        <v>2</v>
      </c>
      <c r="G74" s="22" t="n">
        <v>16.66</v>
      </c>
      <c r="H74" s="22" t="n">
        <v>17.49</v>
      </c>
      <c r="I74" s="18" t="inlineStr">
        <is>
          <t>Megametales</t>
        </is>
      </c>
      <c r="J74" s="22" t="n">
        <v>18.16</v>
      </c>
      <c r="K74" s="18" t="inlineStr">
        <is>
          <t>Kywi / Megakywi</t>
        </is>
      </c>
      <c r="L74" s="8">
        <f>F74*G74</f>
        <v/>
      </c>
      <c r="M74" s="145" t="inlineStr">
        <is>
          <t>CI-D40-ACI-TEE-DN65</t>
        </is>
      </c>
      <c r="N74" s="18" t="inlineStr">
        <is>
          <t>Protección contra incendios (extinción)</t>
        </is>
      </c>
      <c r="O74" s="18" t="inlineStr">
        <is>
          <t>Estimado DION · criterio de mercado Guayaquil 2026 (no verificado en tienda)</t>
        </is>
      </c>
      <c r="P74" s="18" t="inlineStr">
        <is>
          <t>oct-2026 (est.)</t>
        </is>
      </c>
      <c r="Q74" s="18" t="n"/>
    </row>
    <row r="75">
      <c r="A75" s="244" t="n">
        <v>58</v>
      </c>
      <c r="B75" s="245" t="inlineStr">
        <is>
          <t xml:space="preserve">        Tee Mecánica Ranurado 2½"</t>
        </is>
      </c>
      <c r="C75" s="246" t="inlineStr">
        <is>
          <t>Comercial / Industrial</t>
        </is>
      </c>
      <c r="D75" s="244" t="inlineStr">
        <is>
          <t>Tee Mecánica Ranurados</t>
        </is>
      </c>
      <c r="E75" s="244" t="inlineStr">
        <is>
          <t>U</t>
        </is>
      </c>
      <c r="F75" s="247" t="n">
        <v>2</v>
      </c>
      <c r="G75" s="248" t="n">
        <v>20.58</v>
      </c>
      <c r="H75" s="248" t="n">
        <v>21.2</v>
      </c>
      <c r="I75" s="244" t="inlineStr">
        <is>
          <t>Megametales</t>
        </is>
      </c>
      <c r="J75" s="248" t="n">
        <v>22.64</v>
      </c>
      <c r="K75" s="244" t="inlineStr">
        <is>
          <t>Kywi / Megakywi</t>
        </is>
      </c>
      <c r="L75" s="249">
        <f>F75*G75</f>
        <v/>
      </c>
      <c r="M75" s="250" t="inlineStr">
        <is>
          <t>CI-D40-ACI-TME-DN65</t>
        </is>
      </c>
      <c r="N75" s="244" t="inlineStr">
        <is>
          <t>Protección contra incendios (extinción)</t>
        </is>
      </c>
      <c r="O75" s="244" t="inlineStr">
        <is>
          <t>Estimado DION · criterio de mercado Guayaquil 2026 (no verificado en tienda)</t>
        </is>
      </c>
      <c r="P75" s="244" t="inlineStr">
        <is>
          <t>oct-2026 (est.)</t>
        </is>
      </c>
      <c r="Q75" s="244" t="n"/>
    </row>
    <row r="76">
      <c r="A76" s="18" t="n">
        <v>59</v>
      </c>
      <c r="B76" s="19" t="inlineStr">
        <is>
          <t xml:space="preserve">        Acople Rígido Ranurado 4"</t>
        </is>
      </c>
      <c r="C76" s="20" t="inlineStr">
        <is>
          <t>Comercial / Industrial</t>
        </is>
      </c>
      <c r="D76" s="18" t="inlineStr">
        <is>
          <t>Acople Rígido Ranurados</t>
        </is>
      </c>
      <c r="E76" s="18" t="inlineStr">
        <is>
          <t>U</t>
        </is>
      </c>
      <c r="F76" s="21" t="n">
        <v>6</v>
      </c>
      <c r="G76" s="22" t="n">
        <v>16.5</v>
      </c>
      <c r="H76" s="22" t="n">
        <v>16.83</v>
      </c>
      <c r="I76" s="18" t="inlineStr">
        <is>
          <t>Megametales</t>
        </is>
      </c>
      <c r="J76" s="22" t="n">
        <v>18.15</v>
      </c>
      <c r="K76" s="18" t="inlineStr">
        <is>
          <t>Kywi / Megakywi</t>
        </is>
      </c>
      <c r="L76" s="8">
        <f>F76*G76</f>
        <v/>
      </c>
      <c r="M76" s="145" t="inlineStr">
        <is>
          <t>CI-D40-ACI-ACR-DN100</t>
        </is>
      </c>
      <c r="N76" s="18" t="inlineStr">
        <is>
          <t>Protección contra incendios (extinción)</t>
        </is>
      </c>
      <c r="O76" s="18" t="inlineStr">
        <is>
          <t>Estimado DION · criterio de mercado Guayaquil 2026 (no verificado en tienda)</t>
        </is>
      </c>
      <c r="P76" s="18" t="inlineStr">
        <is>
          <t>oct-2026 (est.)</t>
        </is>
      </c>
      <c r="Q76" s="18" t="n"/>
    </row>
    <row r="77">
      <c r="A77" s="244" t="n">
        <v>60</v>
      </c>
      <c r="B77" s="245" t="inlineStr">
        <is>
          <t xml:space="preserve">        Codo 90° Ranurado 4"</t>
        </is>
      </c>
      <c r="C77" s="246" t="inlineStr">
        <is>
          <t>Comercial / Industrial</t>
        </is>
      </c>
      <c r="D77" s="244" t="inlineStr">
        <is>
          <t>Codo 90° Ranurados</t>
        </is>
      </c>
      <c r="E77" s="244" t="inlineStr">
        <is>
          <t>U</t>
        </is>
      </c>
      <c r="F77" s="247" t="n">
        <v>4</v>
      </c>
      <c r="G77" s="248" t="n">
        <v>20.62</v>
      </c>
      <c r="H77" s="248" t="n">
        <v>21.44</v>
      </c>
      <c r="I77" s="244" t="inlineStr">
        <is>
          <t>Megametales</t>
        </is>
      </c>
      <c r="J77" s="248" t="n">
        <v>22.06</v>
      </c>
      <c r="K77" s="244" t="inlineStr">
        <is>
          <t>Kywi / Megakywi</t>
        </is>
      </c>
      <c r="L77" s="249">
        <f>F77*G77</f>
        <v/>
      </c>
      <c r="M77" s="250" t="inlineStr">
        <is>
          <t>CI-D40-ACI-C90-DN100</t>
        </is>
      </c>
      <c r="N77" s="244" t="inlineStr">
        <is>
          <t>Protección contra incendios (extinción)</t>
        </is>
      </c>
      <c r="O77" s="244" t="inlineStr">
        <is>
          <t>Estimado DION · criterio de mercado Guayaquil 2026 (no verificado en tienda)</t>
        </is>
      </c>
      <c r="P77" s="244" t="inlineStr">
        <is>
          <t>oct-2026 (est.)</t>
        </is>
      </c>
      <c r="Q77" s="244" t="n"/>
    </row>
    <row r="78">
      <c r="A78" s="18" t="n">
        <v>61</v>
      </c>
      <c r="B78" s="19" t="inlineStr">
        <is>
          <t xml:space="preserve">        Tee Ranurado 4"</t>
        </is>
      </c>
      <c r="C78" s="20" t="inlineStr">
        <is>
          <t>Comercial / Industrial</t>
        </is>
      </c>
      <c r="D78" s="18" t="inlineStr">
        <is>
          <t>Tee Ranurados</t>
        </is>
      </c>
      <c r="E78" s="18" t="inlineStr">
        <is>
          <t>U</t>
        </is>
      </c>
      <c r="F78" s="21" t="n">
        <v>2</v>
      </c>
      <c r="G78" s="22" t="n">
        <v>28.05</v>
      </c>
      <c r="H78" s="22" t="n">
        <v>28.61</v>
      </c>
      <c r="I78" s="18" t="inlineStr">
        <is>
          <t>Megametales</t>
        </is>
      </c>
      <c r="J78" s="22" t="n">
        <v>31.14</v>
      </c>
      <c r="K78" s="18" t="inlineStr">
        <is>
          <t>Kywi / Megakywi</t>
        </is>
      </c>
      <c r="L78" s="8">
        <f>F78*G78</f>
        <v/>
      </c>
      <c r="M78" s="145" t="inlineStr">
        <is>
          <t>CI-D40-ACI-TEE-DN100</t>
        </is>
      </c>
      <c r="N78" s="18" t="inlineStr">
        <is>
          <t>Protección contra incendios (extinción)</t>
        </is>
      </c>
      <c r="O78" s="18" t="inlineStr">
        <is>
          <t>Estimado DION · criterio de mercado Guayaquil 2026 (no verificado en tienda)</t>
        </is>
      </c>
      <c r="P78" s="18" t="inlineStr">
        <is>
          <t>oct-2026 (est.)</t>
        </is>
      </c>
      <c r="Q78" s="18" t="n"/>
    </row>
    <row r="79">
      <c r="A79" s="244" t="n">
        <v>62</v>
      </c>
      <c r="B79" s="245" t="inlineStr">
        <is>
          <t xml:space="preserve">        Tee Mecánica Ranurado 4"</t>
        </is>
      </c>
      <c r="C79" s="246" t="inlineStr">
        <is>
          <t>Comercial / Industrial</t>
        </is>
      </c>
      <c r="D79" s="244" t="inlineStr">
        <is>
          <t>Tee Mecánica Ranurados</t>
        </is>
      </c>
      <c r="E79" s="244" t="inlineStr">
        <is>
          <t>U</t>
        </is>
      </c>
      <c r="F79" s="247" t="n">
        <v>2</v>
      </c>
      <c r="G79" s="248" t="n">
        <v>34.65</v>
      </c>
      <c r="H79" s="248" t="n">
        <v>36.04</v>
      </c>
      <c r="I79" s="244" t="inlineStr">
        <is>
          <t>Megametales</t>
        </is>
      </c>
      <c r="J79" s="248" t="n">
        <v>37.08</v>
      </c>
      <c r="K79" s="244" t="inlineStr">
        <is>
          <t>Kywi / Megakywi</t>
        </is>
      </c>
      <c r="L79" s="249">
        <f>F79*G79</f>
        <v/>
      </c>
      <c r="M79" s="250" t="inlineStr">
        <is>
          <t>CI-D40-ACI-TME-DN100</t>
        </is>
      </c>
      <c r="N79" s="244" t="inlineStr">
        <is>
          <t>Protección contra incendios (extinción)</t>
        </is>
      </c>
      <c r="O79" s="244" t="inlineStr">
        <is>
          <t>Estimado DION · criterio de mercado Guayaquil 2026 (no verificado en tienda)</t>
        </is>
      </c>
      <c r="P79" s="244" t="inlineStr">
        <is>
          <t>oct-2026 (est.)</t>
        </is>
      </c>
      <c r="Q79" s="244" t="n"/>
    </row>
    <row r="80">
      <c r="A80" s="18" t="n">
        <v>63</v>
      </c>
      <c r="B80" s="19" t="inlineStr">
        <is>
          <t xml:space="preserve">        Acople Rígido Ranurado 6"</t>
        </is>
      </c>
      <c r="C80" s="20" t="inlineStr">
        <is>
          <t>Comercial / Industrial</t>
        </is>
      </c>
      <c r="D80" s="18" t="inlineStr">
        <is>
          <t>Acople Rígido Ranurados</t>
        </is>
      </c>
      <c r="E80" s="18" t="inlineStr">
        <is>
          <t>U</t>
        </is>
      </c>
      <c r="F80" s="21" t="n">
        <v>6</v>
      </c>
      <c r="G80" s="22" t="n">
        <v>32</v>
      </c>
      <c r="H80" s="22" t="n">
        <v>33.6</v>
      </c>
      <c r="I80" s="18" t="inlineStr">
        <is>
          <t>Megametales</t>
        </is>
      </c>
      <c r="J80" s="22" t="n">
        <v>34.24</v>
      </c>
      <c r="K80" s="18" t="inlineStr">
        <is>
          <t>Kywi / Megakywi</t>
        </is>
      </c>
      <c r="L80" s="8">
        <f>F80*G80</f>
        <v/>
      </c>
      <c r="M80" s="145" t="inlineStr">
        <is>
          <t>CI-D40-ACI-ACR-DN150</t>
        </is>
      </c>
      <c r="N80" s="18" t="inlineStr">
        <is>
          <t>Protección contra incendios (extinción)</t>
        </is>
      </c>
      <c r="O80" s="18" t="inlineStr">
        <is>
          <t>Estimado DION · criterio de mercado Guayaquil 2026 (no verificado en tienda)</t>
        </is>
      </c>
      <c r="P80" s="18" t="inlineStr">
        <is>
          <t>oct-2026 (est.)</t>
        </is>
      </c>
      <c r="Q80" s="18" t="n"/>
    </row>
    <row r="81">
      <c r="A81" s="244" t="n">
        <v>64</v>
      </c>
      <c r="B81" s="245" t="inlineStr">
        <is>
          <t xml:space="preserve">        Codo 90° Ranurado 6"</t>
        </is>
      </c>
      <c r="C81" s="246" t="inlineStr">
        <is>
          <t>Comercial / Industrial</t>
        </is>
      </c>
      <c r="D81" s="244" t="inlineStr">
        <is>
          <t>Codo 90° Ranurados</t>
        </is>
      </c>
      <c r="E81" s="244" t="inlineStr">
        <is>
          <t>U</t>
        </is>
      </c>
      <c r="F81" s="247" t="n">
        <v>4</v>
      </c>
      <c r="G81" s="248" t="n">
        <v>40</v>
      </c>
      <c r="H81" s="248" t="n">
        <v>42</v>
      </c>
      <c r="I81" s="244" t="inlineStr">
        <is>
          <t>Megametales</t>
        </is>
      </c>
      <c r="J81" s="248" t="n">
        <v>43.2</v>
      </c>
      <c r="K81" s="244" t="inlineStr">
        <is>
          <t>Kywi / Megakywi</t>
        </is>
      </c>
      <c r="L81" s="249">
        <f>F81*G81</f>
        <v/>
      </c>
      <c r="M81" s="250" t="inlineStr">
        <is>
          <t>CI-D40-ACI-C90-DN150</t>
        </is>
      </c>
      <c r="N81" s="244" t="inlineStr">
        <is>
          <t>Protección contra incendios (extinción)</t>
        </is>
      </c>
      <c r="O81" s="244" t="inlineStr">
        <is>
          <t>Estimado DION · criterio de mercado Guayaquil 2026 (no verificado en tienda)</t>
        </is>
      </c>
      <c r="P81" s="244" t="inlineStr">
        <is>
          <t>oct-2026 (est.)</t>
        </is>
      </c>
      <c r="Q81" s="244" t="n"/>
    </row>
    <row r="82">
      <c r="A82" s="18" t="n">
        <v>65</v>
      </c>
      <c r="B82" s="19" t="inlineStr">
        <is>
          <t xml:space="preserve">        Tee Ranurado 6"</t>
        </is>
      </c>
      <c r="C82" s="20" t="inlineStr">
        <is>
          <t>Comercial / Industrial</t>
        </is>
      </c>
      <c r="D82" s="18" t="inlineStr">
        <is>
          <t>Tee Ranurados</t>
        </is>
      </c>
      <c r="E82" s="18" t="inlineStr">
        <is>
          <t>U</t>
        </is>
      </c>
      <c r="F82" s="21" t="n">
        <v>2</v>
      </c>
      <c r="G82" s="22" t="n">
        <v>54.4</v>
      </c>
      <c r="H82" s="22" t="n">
        <v>56.58</v>
      </c>
      <c r="I82" s="18" t="inlineStr">
        <is>
          <t>Megametales</t>
        </is>
      </c>
      <c r="J82" s="22" t="n">
        <v>58.75</v>
      </c>
      <c r="K82" s="18" t="inlineStr">
        <is>
          <t>Kywi / Megakywi</t>
        </is>
      </c>
      <c r="L82" s="8">
        <f>F82*G82</f>
        <v/>
      </c>
      <c r="M82" s="145" t="inlineStr">
        <is>
          <t>CI-D40-ACI-TEE-DN150</t>
        </is>
      </c>
      <c r="N82" s="18" t="inlineStr">
        <is>
          <t>Protección contra incendios (extinción)</t>
        </is>
      </c>
      <c r="O82" s="18" t="inlineStr">
        <is>
          <t>Estimado DION · criterio de mercado Guayaquil 2026 (no verificado en tienda)</t>
        </is>
      </c>
      <c r="P82" s="18" t="inlineStr">
        <is>
          <t>oct-2026 (est.)</t>
        </is>
      </c>
      <c r="Q82" s="18" t="n"/>
    </row>
    <row r="83">
      <c r="A83" s="244" t="n">
        <v>66</v>
      </c>
      <c r="B83" s="245" t="inlineStr">
        <is>
          <t xml:space="preserve">        Tee Mecánica Ranurado 6"</t>
        </is>
      </c>
      <c r="C83" s="246" t="inlineStr">
        <is>
          <t>Comercial / Industrial</t>
        </is>
      </c>
      <c r="D83" s="244" t="inlineStr">
        <is>
          <t>Tee Mecánica Ranurados</t>
        </is>
      </c>
      <c r="E83" s="244" t="inlineStr">
        <is>
          <t>U</t>
        </is>
      </c>
      <c r="F83" s="247" t="n">
        <v>2</v>
      </c>
      <c r="G83" s="248" t="n">
        <v>67.2</v>
      </c>
      <c r="H83" s="248" t="n">
        <v>68.54000000000001</v>
      </c>
      <c r="I83" s="244" t="inlineStr">
        <is>
          <t>Megametales</t>
        </is>
      </c>
      <c r="J83" s="248" t="n">
        <v>72.58</v>
      </c>
      <c r="K83" s="244" t="inlineStr">
        <is>
          <t>Kywi / Megakywi</t>
        </is>
      </c>
      <c r="L83" s="249">
        <f>F83*G83</f>
        <v/>
      </c>
      <c r="M83" s="250" t="inlineStr">
        <is>
          <t>CI-D40-ACI-TME-DN150</t>
        </is>
      </c>
      <c r="N83" s="244" t="inlineStr">
        <is>
          <t>Protección contra incendios (extinción)</t>
        </is>
      </c>
      <c r="O83" s="244" t="inlineStr">
        <is>
          <t>Estimado DION · criterio de mercado Guayaquil 2026 (no verificado en tienda)</t>
        </is>
      </c>
      <c r="P83" s="244" t="inlineStr">
        <is>
          <t>oct-2026 (est.)</t>
        </is>
      </c>
      <c r="Q83" s="244" t="n"/>
    </row>
    <row r="84">
      <c r="A84" s="18" t="n">
        <v>67</v>
      </c>
      <c r="B84" s="19" t="inlineStr">
        <is>
          <t xml:space="preserve">        Válvula OS&amp;Y 4" UL/FM</t>
        </is>
      </c>
      <c r="C84" s="20" t="inlineStr">
        <is>
          <t>Comercial / Industrial</t>
        </is>
      </c>
      <c r="D84" s="18" t="inlineStr">
        <is>
          <t>Válvulas CI</t>
        </is>
      </c>
      <c r="E84" s="18" t="inlineStr">
        <is>
          <t>U</t>
        </is>
      </c>
      <c r="F84" s="21" t="n">
        <v>0</v>
      </c>
      <c r="G84" s="22" t="n">
        <v>680</v>
      </c>
      <c r="H84" s="22" t="n">
        <v>707.2</v>
      </c>
      <c r="I84" s="18" t="inlineStr">
        <is>
          <t>Megametales</t>
        </is>
      </c>
      <c r="J84" s="22" t="n">
        <v>754.8</v>
      </c>
      <c r="K84" s="18" t="inlineStr">
        <is>
          <t>Kywi / Megakywi</t>
        </is>
      </c>
      <c r="L84" s="8">
        <f>F84*G84</f>
        <v/>
      </c>
      <c r="M84" s="145" t="inlineStr">
        <is>
          <t>CI-D40-VCI-OSY-DN100</t>
        </is>
      </c>
      <c r="N84" s="18" t="inlineStr">
        <is>
          <t>Protección contra incendios (extinción)</t>
        </is>
      </c>
      <c r="O84" s="18" t="inlineStr">
        <is>
          <t>Estimado DION · criterio de mercado Guayaquil 2026 (no verificado en tienda)</t>
        </is>
      </c>
      <c r="P84" s="18" t="inlineStr">
        <is>
          <t>oct-2026 (est.)</t>
        </is>
      </c>
      <c r="Q84" s="18" t="n"/>
    </row>
    <row r="85">
      <c r="A85" s="244" t="n">
        <v>68</v>
      </c>
      <c r="B85" s="245" t="inlineStr">
        <is>
          <t xml:space="preserve">        Válvula Mariposa con Supervisor 4"</t>
        </is>
      </c>
      <c r="C85" s="246" t="inlineStr">
        <is>
          <t>Comercial / Industrial</t>
        </is>
      </c>
      <c r="D85" s="244" t="inlineStr">
        <is>
          <t>Válvulas CI</t>
        </is>
      </c>
      <c r="E85" s="244" t="inlineStr">
        <is>
          <t>U</t>
        </is>
      </c>
      <c r="F85" s="247" t="n">
        <v>1</v>
      </c>
      <c r="G85" s="248" t="n">
        <v>420</v>
      </c>
      <c r="H85" s="248" t="n">
        <v>428.4</v>
      </c>
      <c r="I85" s="244" t="inlineStr">
        <is>
          <t>Megametales</t>
        </is>
      </c>
      <c r="J85" s="248" t="n">
        <v>466.2</v>
      </c>
      <c r="K85" s="244" t="inlineStr">
        <is>
          <t>Kywi / Megakywi</t>
        </is>
      </c>
      <c r="L85" s="249">
        <f>F85*G85</f>
        <v/>
      </c>
      <c r="M85" s="250" t="inlineStr">
        <is>
          <t>CI-D40-VCI-MAR-DN100</t>
        </is>
      </c>
      <c r="N85" s="244" t="inlineStr">
        <is>
          <t>Protección contra incendios (extinción)</t>
        </is>
      </c>
      <c r="O85" s="244" t="inlineStr">
        <is>
          <t>Estimado DION · criterio de mercado Guayaquil 2026 (no verificado en tienda)</t>
        </is>
      </c>
      <c r="P85" s="244" t="inlineStr">
        <is>
          <t>oct-2026 (est.)</t>
        </is>
      </c>
      <c r="Q85" s="244" t="n"/>
    </row>
    <row r="86">
      <c r="A86" s="18" t="n">
        <v>69</v>
      </c>
      <c r="B86" s="19" t="inlineStr">
        <is>
          <t xml:space="preserve">        Válvula Check Ranurada 4"</t>
        </is>
      </c>
      <c r="C86" s="20" t="inlineStr">
        <is>
          <t>Comercial / Industrial</t>
        </is>
      </c>
      <c r="D86" s="18" t="inlineStr">
        <is>
          <t>Válvulas CI</t>
        </is>
      </c>
      <c r="E86" s="18" t="inlineStr">
        <is>
          <t>U</t>
        </is>
      </c>
      <c r="F86" s="21" t="n">
        <v>1</v>
      </c>
      <c r="G86" s="22" t="n">
        <v>310</v>
      </c>
      <c r="H86" s="22" t="n">
        <v>316.2</v>
      </c>
      <c r="I86" s="18" t="inlineStr">
        <is>
          <t>Megametales</t>
        </is>
      </c>
      <c r="J86" s="22" t="n">
        <v>341</v>
      </c>
      <c r="K86" s="18" t="inlineStr">
        <is>
          <t>Kywi / Megakywi</t>
        </is>
      </c>
      <c r="L86" s="8">
        <f>F86*G86</f>
        <v/>
      </c>
      <c r="M86" s="145" t="inlineStr">
        <is>
          <t>CI-D40-VCI-CHK-DN100</t>
        </is>
      </c>
      <c r="N86" s="18" t="inlineStr">
        <is>
          <t>Protección contra incendios (extinción)</t>
        </is>
      </c>
      <c r="O86" s="18" t="inlineStr">
        <is>
          <t>Estimado DION · criterio de mercado Guayaquil 2026 (no verificado en tienda)</t>
        </is>
      </c>
      <c r="P86" s="18" t="inlineStr">
        <is>
          <t>oct-2026 (est.)</t>
        </is>
      </c>
      <c r="Q86" s="18" t="n"/>
    </row>
    <row r="87">
      <c r="A87" s="244" t="n">
        <v>70</v>
      </c>
      <c r="B87" s="245" t="inlineStr">
        <is>
          <t xml:space="preserve">        Válvula de Alarma (Húmeda) 4" con Trim</t>
        </is>
      </c>
      <c r="C87" s="246" t="inlineStr">
        <is>
          <t>Comercial / Industrial</t>
        </is>
      </c>
      <c r="D87" s="244" t="inlineStr">
        <is>
          <t>Válvulas Alarma</t>
        </is>
      </c>
      <c r="E87" s="244" t="inlineStr">
        <is>
          <t>U</t>
        </is>
      </c>
      <c r="F87" s="247" t="n">
        <v>0</v>
      </c>
      <c r="G87" s="248" t="n">
        <v>1650</v>
      </c>
      <c r="H87" s="248" t="n">
        <v>1699.5</v>
      </c>
      <c r="I87" s="244" t="inlineStr">
        <is>
          <t>Megametales</t>
        </is>
      </c>
      <c r="J87" s="248" t="n">
        <v>1782</v>
      </c>
      <c r="K87" s="244" t="inlineStr">
        <is>
          <t>Kywi / Megakywi</t>
        </is>
      </c>
      <c r="L87" s="249">
        <f>F87*G87</f>
        <v/>
      </c>
      <c r="M87" s="250" t="inlineStr">
        <is>
          <t>CI-D40-VCI-ALA-DN100</t>
        </is>
      </c>
      <c r="N87" s="244" t="inlineStr">
        <is>
          <t>Protección contra incendios (extinción)</t>
        </is>
      </c>
      <c r="O87" s="244" t="inlineStr">
        <is>
          <t>Estimado DION · criterio de mercado Guayaquil 2026 (no verificado en tienda)</t>
        </is>
      </c>
      <c r="P87" s="244" t="inlineStr">
        <is>
          <t>oct-2026 (est.)</t>
        </is>
      </c>
      <c r="Q87" s="244" t="n"/>
    </row>
    <row r="88">
      <c r="A88" s="18" t="n">
        <v>71</v>
      </c>
      <c r="B88" s="19" t="inlineStr">
        <is>
          <t xml:space="preserve">        Detector de Flujo (Flow Switch)</t>
        </is>
      </c>
      <c r="C88" s="20" t="inlineStr">
        <is>
          <t>Comercial / Industrial</t>
        </is>
      </c>
      <c r="D88" s="18" t="inlineStr">
        <is>
          <t>Supervisión</t>
        </is>
      </c>
      <c r="E88" s="18" t="inlineStr">
        <is>
          <t>U</t>
        </is>
      </c>
      <c r="F88" s="21" t="n">
        <v>1</v>
      </c>
      <c r="G88" s="22" t="n">
        <v>165</v>
      </c>
      <c r="H88" s="22" t="n">
        <v>171.6</v>
      </c>
      <c r="I88" s="18" t="inlineStr">
        <is>
          <t>Megametales</t>
        </is>
      </c>
      <c r="J88" s="22" t="n">
        <v>178.2</v>
      </c>
      <c r="K88" s="18" t="inlineStr">
        <is>
          <t>Kywi / Megakywi</t>
        </is>
      </c>
      <c r="L88" s="8">
        <f>F88*G88</f>
        <v/>
      </c>
      <c r="M88" s="145" t="inlineStr">
        <is>
          <t>CI-D40-VCI-FLU-SWI</t>
        </is>
      </c>
      <c r="N88" s="18" t="inlineStr">
        <is>
          <t>Protección contra incendios (extinción)</t>
        </is>
      </c>
      <c r="O88" s="18" t="inlineStr">
        <is>
          <t>Estimado DION · criterio de mercado Guayaquil 2026 (no verificado en tienda)</t>
        </is>
      </c>
      <c r="P88" s="18" t="inlineStr">
        <is>
          <t>oct-2026 (est.)</t>
        </is>
      </c>
      <c r="Q88" s="18" t="n"/>
    </row>
    <row r="89">
      <c r="A89" s="244" t="n">
        <v>72</v>
      </c>
      <c r="B89" s="245" t="inlineStr">
        <is>
          <t xml:space="preserve">        Interruptor Supervisor de Válvula (Tamper)</t>
        </is>
      </c>
      <c r="C89" s="246" t="inlineStr">
        <is>
          <t>Comercial / Industrial</t>
        </is>
      </c>
      <c r="D89" s="244" t="inlineStr">
        <is>
          <t>Supervisión</t>
        </is>
      </c>
      <c r="E89" s="244" t="inlineStr">
        <is>
          <t>U</t>
        </is>
      </c>
      <c r="F89" s="247" t="n">
        <v>1</v>
      </c>
      <c r="G89" s="248" t="n">
        <v>95</v>
      </c>
      <c r="H89" s="248" t="n">
        <v>96.90000000000001</v>
      </c>
      <c r="I89" s="244" t="inlineStr">
        <is>
          <t>Megametales</t>
        </is>
      </c>
      <c r="J89" s="248" t="n">
        <v>101.65</v>
      </c>
      <c r="K89" s="244" t="inlineStr">
        <is>
          <t>Kywi / Megakywi</t>
        </is>
      </c>
      <c r="L89" s="249">
        <f>F89*G89</f>
        <v/>
      </c>
      <c r="M89" s="250" t="inlineStr">
        <is>
          <t>CI-D40-VCI-TAM-SWI</t>
        </is>
      </c>
      <c r="N89" s="244" t="inlineStr">
        <is>
          <t>Protección contra incendios (extinción)</t>
        </is>
      </c>
      <c r="O89" s="244" t="inlineStr">
        <is>
          <t>Estimado DION · criterio de mercado Guayaquil 2026 (no verificado en tienda)</t>
        </is>
      </c>
      <c r="P89" s="244" t="inlineStr">
        <is>
          <t>oct-2026 (est.)</t>
        </is>
      </c>
      <c r="Q89" s="244" t="n"/>
    </row>
    <row r="90">
      <c r="A90" s="18" t="n">
        <v>73</v>
      </c>
      <c r="B90" s="19" t="inlineStr">
        <is>
          <t xml:space="preserve">        Estación de Drenaje y Prueba 1"</t>
        </is>
      </c>
      <c r="C90" s="20" t="inlineStr">
        <is>
          <t>Comercial / Industrial</t>
        </is>
      </c>
      <c r="D90" s="18" t="inlineStr">
        <is>
          <t>Estaciones</t>
        </is>
      </c>
      <c r="E90" s="18" t="inlineStr">
        <is>
          <t>U</t>
        </is>
      </c>
      <c r="F90" s="21" t="n">
        <v>1</v>
      </c>
      <c r="G90" s="22" t="n">
        <v>145</v>
      </c>
      <c r="H90" s="22" t="n">
        <v>149.35</v>
      </c>
      <c r="I90" s="18" t="inlineStr">
        <is>
          <t>Megametales</t>
        </is>
      </c>
      <c r="J90" s="22" t="n">
        <v>156.6</v>
      </c>
      <c r="K90" s="18" t="inlineStr">
        <is>
          <t>Kywi / Megakywi</t>
        </is>
      </c>
      <c r="L90" s="8">
        <f>F90*G90</f>
        <v/>
      </c>
      <c r="M90" s="145" t="inlineStr">
        <is>
          <t>CI-D40-VCI-DRE-PRU</t>
        </is>
      </c>
      <c r="N90" s="18" t="inlineStr">
        <is>
          <t>Protección contra incendios (extinción)</t>
        </is>
      </c>
      <c r="O90" s="18" t="inlineStr">
        <is>
          <t>Estimado DION · criterio de mercado Guayaquil 2026 (no verificado en tienda)</t>
        </is>
      </c>
      <c r="P90" s="18" t="inlineStr">
        <is>
          <t>oct-2026 (est.)</t>
        </is>
      </c>
      <c r="Q90" s="18" t="n"/>
    </row>
    <row r="91">
      <c r="A91" s="244" t="n">
        <v>74</v>
      </c>
      <c r="B91" s="245" t="inlineStr">
        <is>
          <t xml:space="preserve">        Estación de Control de Piso 2"</t>
        </is>
      </c>
      <c r="C91" s="246" t="inlineStr">
        <is>
          <t>Comercial / Industrial</t>
        </is>
      </c>
      <c r="D91" s="244" t="inlineStr">
        <is>
          <t>Estaciones</t>
        </is>
      </c>
      <c r="E91" s="244" t="inlineStr">
        <is>
          <t>U</t>
        </is>
      </c>
      <c r="F91" s="247" t="n">
        <v>0</v>
      </c>
      <c r="G91" s="248" t="n">
        <v>620</v>
      </c>
      <c r="H91" s="248" t="n">
        <v>644.8</v>
      </c>
      <c r="I91" s="244" t="inlineStr">
        <is>
          <t>Megametales</t>
        </is>
      </c>
      <c r="J91" s="248" t="n">
        <v>663.4</v>
      </c>
      <c r="K91" s="244" t="inlineStr">
        <is>
          <t>Kywi / Megakywi</t>
        </is>
      </c>
      <c r="L91" s="249">
        <f>F91*G91</f>
        <v/>
      </c>
      <c r="M91" s="250" t="inlineStr">
        <is>
          <t>CI-D40-VCI-ECP-2</t>
        </is>
      </c>
      <c r="N91" s="244" t="inlineStr">
        <is>
          <t>Protección contra incendios (extinción)</t>
        </is>
      </c>
      <c r="O91" s="244" t="inlineStr">
        <is>
          <t>Estimado DION · criterio de mercado Guayaquil 2026 (no verificado en tienda)</t>
        </is>
      </c>
      <c r="P91" s="244" t="inlineStr">
        <is>
          <t>oct-2026 (est.)</t>
        </is>
      </c>
      <c r="Q91" s="244" t="n"/>
    </row>
    <row r="92">
      <c r="A92" s="18" t="n">
        <v>75</v>
      </c>
      <c r="B92" s="19" t="inlineStr">
        <is>
          <t xml:space="preserve">        Válvula Reductora de Presión de Manguera 1½"</t>
        </is>
      </c>
      <c r="C92" s="20" t="inlineStr">
        <is>
          <t>Comercial / Industrial</t>
        </is>
      </c>
      <c r="D92" s="18" t="inlineStr">
        <is>
          <t>Válvulas CI</t>
        </is>
      </c>
      <c r="E92" s="18" t="inlineStr">
        <is>
          <t>U</t>
        </is>
      </c>
      <c r="F92" s="21" t="n">
        <v>1</v>
      </c>
      <c r="G92" s="22" t="n">
        <v>185</v>
      </c>
      <c r="H92" s="22" t="n">
        <v>194.25</v>
      </c>
      <c r="I92" s="18" t="inlineStr">
        <is>
          <t>Megametales</t>
        </is>
      </c>
      <c r="J92" s="22" t="n">
        <v>205.35</v>
      </c>
      <c r="K92" s="18" t="inlineStr">
        <is>
          <t>Kywi / Megakywi</t>
        </is>
      </c>
      <c r="L92" s="8">
        <f>F92*G92</f>
        <v/>
      </c>
      <c r="M92" s="145" t="inlineStr">
        <is>
          <t>CI-D40-VCI-PRV-2-12</t>
        </is>
      </c>
      <c r="N92" s="18" t="inlineStr">
        <is>
          <t>Protección contra incendios (extinción)</t>
        </is>
      </c>
      <c r="O92" s="18" t="inlineStr">
        <is>
          <t>Estimado DION · criterio de mercado Guayaquil 2026 (no verificado en tienda)</t>
        </is>
      </c>
      <c r="P92" s="18" t="inlineStr">
        <is>
          <t>oct-2026 (est.)</t>
        </is>
      </c>
      <c r="Q92" s="18" t="n"/>
    </row>
    <row r="93">
      <c r="A93" s="244" t="n">
        <v>76</v>
      </c>
      <c r="B93" s="245" t="inlineStr">
        <is>
          <t xml:space="preserve">        Manómetro CI 300 PSI</t>
        </is>
      </c>
      <c r="C93" s="246" t="inlineStr">
        <is>
          <t>Comercial / Industrial</t>
        </is>
      </c>
      <c r="D93" s="244" t="inlineStr">
        <is>
          <t>Supervisión</t>
        </is>
      </c>
      <c r="E93" s="244" t="inlineStr">
        <is>
          <t>U</t>
        </is>
      </c>
      <c r="F93" s="247" t="n">
        <v>1</v>
      </c>
      <c r="G93" s="248" t="n">
        <v>28</v>
      </c>
      <c r="H93" s="248" t="n">
        <v>29.12</v>
      </c>
      <c r="I93" s="244" t="inlineStr">
        <is>
          <t>Megametales</t>
        </is>
      </c>
      <c r="J93" s="248" t="n">
        <v>30.52</v>
      </c>
      <c r="K93" s="244" t="inlineStr">
        <is>
          <t>Kywi / Megakywi</t>
        </is>
      </c>
      <c r="L93" s="249">
        <f>F93*G93</f>
        <v/>
      </c>
      <c r="M93" s="250" t="inlineStr">
        <is>
          <t>CI-D40-VCI-MAN</t>
        </is>
      </c>
      <c r="N93" s="244" t="inlineStr">
        <is>
          <t>Protección contra incendios (extinción)</t>
        </is>
      </c>
      <c r="O93" s="244" t="inlineStr">
        <is>
          <t>Estimado DION · criterio de mercado Guayaquil 2026 (no verificado en tienda)</t>
        </is>
      </c>
      <c r="P93" s="244" t="inlineStr">
        <is>
          <t>oct-2026 (est.)</t>
        </is>
      </c>
      <c r="Q93" s="244" t="n"/>
    </row>
    <row r="94">
      <c r="A94" s="18" t="n">
        <v>77</v>
      </c>
      <c r="B94" s="19" t="inlineStr">
        <is>
          <t xml:space="preserve">        Gabinete BIE Clase II con Manguera 1½" 30 m</t>
        </is>
      </c>
      <c r="C94" s="20" t="inlineStr">
        <is>
          <t>Comercial / Industrial</t>
        </is>
      </c>
      <c r="D94" s="18" t="inlineStr">
        <is>
          <t>Gabinetes CI</t>
        </is>
      </c>
      <c r="E94" s="18" t="inlineStr">
        <is>
          <t>U</t>
        </is>
      </c>
      <c r="F94" s="21" t="n">
        <v>1</v>
      </c>
      <c r="G94" s="22" t="n">
        <v>380</v>
      </c>
      <c r="H94" s="22" t="n">
        <v>399</v>
      </c>
      <c r="I94" s="18" t="inlineStr">
        <is>
          <t>Megametales</t>
        </is>
      </c>
      <c r="J94" s="22" t="n">
        <v>421.8</v>
      </c>
      <c r="K94" s="18" t="inlineStr">
        <is>
          <t>Kywi / Megakywi</t>
        </is>
      </c>
      <c r="L94" s="8">
        <f>F94*G94</f>
        <v/>
      </c>
      <c r="M94" s="145" t="inlineStr">
        <is>
          <t>CI-D40-GAB-CL2-112-30M</t>
        </is>
      </c>
      <c r="N94" s="18" t="inlineStr">
        <is>
          <t>Protección contra incendios (extinción)</t>
        </is>
      </c>
      <c r="O94" s="18" t="inlineStr">
        <is>
          <t>Estimado DION · criterio de mercado Guayaquil 2026 (no verificado en tienda)</t>
        </is>
      </c>
      <c r="P94" s="18" t="inlineStr">
        <is>
          <t>oct-2026 (est.)</t>
        </is>
      </c>
      <c r="Q94" s="18" t="n"/>
    </row>
    <row r="95">
      <c r="A95" s="244" t="n">
        <v>78</v>
      </c>
      <c r="B95" s="245" t="inlineStr">
        <is>
          <t xml:space="preserve">        Gabinete Clase III (1½" + 2½") Completo</t>
        </is>
      </c>
      <c r="C95" s="246" t="inlineStr">
        <is>
          <t>Comercial / Industrial</t>
        </is>
      </c>
      <c r="D95" s="244" t="inlineStr">
        <is>
          <t>Gabinetes CI</t>
        </is>
      </c>
      <c r="E95" s="244" t="inlineStr">
        <is>
          <t>U</t>
        </is>
      </c>
      <c r="F95" s="247" t="n">
        <v>0</v>
      </c>
      <c r="G95" s="248" t="n">
        <v>620</v>
      </c>
      <c r="H95" s="248" t="n">
        <v>638.6</v>
      </c>
      <c r="I95" s="244" t="inlineStr">
        <is>
          <t>Megametales</t>
        </is>
      </c>
      <c r="J95" s="248" t="n">
        <v>688.2</v>
      </c>
      <c r="K95" s="244" t="inlineStr">
        <is>
          <t>Kywi / Megakywi</t>
        </is>
      </c>
      <c r="L95" s="249">
        <f>F95*G95</f>
        <v/>
      </c>
      <c r="M95" s="250" t="inlineStr">
        <is>
          <t>CI-D40-GAB-CL3-112-212</t>
        </is>
      </c>
      <c r="N95" s="244" t="inlineStr">
        <is>
          <t>Protección contra incendios (extinción)</t>
        </is>
      </c>
      <c r="O95" s="244" t="inlineStr">
        <is>
          <t>Estimado DION · criterio de mercado Guayaquil 2026 (no verificado en tienda)</t>
        </is>
      </c>
      <c r="P95" s="244" t="inlineStr">
        <is>
          <t>oct-2026 (est.)</t>
        </is>
      </c>
      <c r="Q95" s="244" t="n"/>
    </row>
    <row r="96">
      <c r="A96" s="18" t="n">
        <v>79</v>
      </c>
      <c r="B96" s="19" t="inlineStr">
        <is>
          <t xml:space="preserve">        Siamesa de Fachada 2x2½" x 4"</t>
        </is>
      </c>
      <c r="C96" s="20" t="inlineStr">
        <is>
          <t>Comercial / Industrial</t>
        </is>
      </c>
      <c r="D96" s="18" t="inlineStr">
        <is>
          <t>Siamesas</t>
        </is>
      </c>
      <c r="E96" s="18" t="inlineStr">
        <is>
          <t>U</t>
        </is>
      </c>
      <c r="F96" s="21" t="n">
        <v>1</v>
      </c>
      <c r="G96" s="22" t="n">
        <v>420</v>
      </c>
      <c r="H96" s="22" t="n">
        <v>428.4</v>
      </c>
      <c r="I96" s="18" t="inlineStr">
        <is>
          <t>Megametales</t>
        </is>
      </c>
      <c r="J96" s="22" t="n">
        <v>457.8</v>
      </c>
      <c r="K96" s="18" t="inlineStr">
        <is>
          <t>Kywi / Megakywi</t>
        </is>
      </c>
      <c r="L96" s="8">
        <f>F96*G96</f>
        <v/>
      </c>
      <c r="M96" s="145" t="inlineStr">
        <is>
          <t>CI-D40-SIA-2X212-4</t>
        </is>
      </c>
      <c r="N96" s="18" t="inlineStr">
        <is>
          <t>Protección contra incendios (extinción)</t>
        </is>
      </c>
      <c r="O96" s="18" t="inlineStr">
        <is>
          <t>Estimado DION · criterio de mercado Guayaquil 2026 (no verificado en tienda)</t>
        </is>
      </c>
      <c r="P96" s="18" t="inlineStr">
        <is>
          <t>oct-2026 (est.)</t>
        </is>
      </c>
      <c r="Q96" s="18" t="n"/>
    </row>
    <row r="97">
      <c r="A97" s="244" t="n">
        <v>80</v>
      </c>
      <c r="B97" s="245" t="inlineStr">
        <is>
          <t xml:space="preserve">        Hidrante de Columna 4" (2 Salidas 2½")</t>
        </is>
      </c>
      <c r="C97" s="246" t="inlineStr">
        <is>
          <t>Comercial / Industrial</t>
        </is>
      </c>
      <c r="D97" s="244" t="inlineStr">
        <is>
          <t>Hidrantes</t>
        </is>
      </c>
      <c r="E97" s="244" t="inlineStr">
        <is>
          <t>U</t>
        </is>
      </c>
      <c r="F97" s="247" t="n">
        <v>0</v>
      </c>
      <c r="G97" s="248" t="n">
        <v>1850</v>
      </c>
      <c r="H97" s="248" t="n">
        <v>1924</v>
      </c>
      <c r="I97" s="244" t="inlineStr">
        <is>
          <t>Megametales</t>
        </is>
      </c>
      <c r="J97" s="248" t="n">
        <v>2035</v>
      </c>
      <c r="K97" s="244" t="inlineStr">
        <is>
          <t>Kywi / Megakywi</t>
        </is>
      </c>
      <c r="L97" s="249">
        <f>F97*G97</f>
        <v/>
      </c>
      <c r="M97" s="250" t="inlineStr">
        <is>
          <t>CI-D40-HYD-COL-DN100</t>
        </is>
      </c>
      <c r="N97" s="244" t="inlineStr">
        <is>
          <t>Protección contra incendios (extinción)</t>
        </is>
      </c>
      <c r="O97" s="244" t="inlineStr">
        <is>
          <t>Estimado DION · criterio de mercado Guayaquil 2026 (no verificado en tienda)</t>
        </is>
      </c>
      <c r="P97" s="244" t="inlineStr">
        <is>
          <t>oct-2026 (est.)</t>
        </is>
      </c>
      <c r="Q97" s="244" t="n"/>
    </row>
    <row r="98">
      <c r="A98" s="241" t="inlineStr">
        <is>
          <t>EQUIPOS ESPECIALIZADOS</t>
        </is>
      </c>
      <c r="B98" s="143" t="n"/>
      <c r="C98" s="143" t="n"/>
      <c r="D98" s="143" t="n"/>
      <c r="E98" s="143" t="n"/>
      <c r="F98" s="143" t="n"/>
      <c r="G98" s="143" t="n"/>
      <c r="H98" s="143" t="n"/>
      <c r="I98" s="143" t="n"/>
      <c r="J98" s="143" t="n"/>
      <c r="K98" s="143" t="n"/>
      <c r="L98" s="143" t="n"/>
      <c r="M98" s="143" t="n"/>
      <c r="N98" s="143" t="n"/>
      <c r="O98" s="143" t="n"/>
      <c r="P98" s="143" t="n"/>
      <c r="Q98" s="144" t="n"/>
    </row>
    <row r="99">
      <c r="A99" s="242" t="inlineStr">
        <is>
          <t xml:space="preserve">  ► CATEGORÍA: ROCIADORES, AGENTES LIMPIOS Y DETECCIÓN/ALARMA</t>
        </is>
      </c>
      <c r="B99" s="143" t="n"/>
      <c r="C99" s="143" t="n"/>
      <c r="D99" s="143" t="n"/>
      <c r="E99" s="143" t="n"/>
      <c r="F99" s="143" t="n"/>
      <c r="G99" s="143" t="n"/>
      <c r="H99" s="143" t="n"/>
      <c r="I99" s="143" t="n"/>
      <c r="J99" s="143" t="n"/>
      <c r="K99" s="143" t="n"/>
      <c r="L99" s="143" t="n"/>
      <c r="M99" s="143" t="n"/>
      <c r="N99" s="143" t="n"/>
      <c r="O99" s="143" t="n"/>
      <c r="P99" s="143" t="n"/>
      <c r="Q99" s="144" t="n"/>
    </row>
    <row r="100">
      <c r="A100" s="243" t="inlineStr">
        <is>
          <t xml:space="preserve">      • Subcategoría Especificada: Rociadores por K y Tipo, Supresión Especial, Detectores y Paneles</t>
        </is>
      </c>
      <c r="B100" s="143" t="n"/>
      <c r="C100" s="143" t="n"/>
      <c r="D100" s="143" t="n"/>
      <c r="E100" s="143" t="n"/>
      <c r="F100" s="143" t="n"/>
      <c r="G100" s="143" t="n"/>
      <c r="H100" s="143" t="n"/>
      <c r="I100" s="143" t="n"/>
      <c r="J100" s="143" t="n"/>
      <c r="K100" s="143" t="n"/>
      <c r="L100" s="143" t="n"/>
      <c r="M100" s="143" t="n"/>
      <c r="N100" s="143" t="n"/>
      <c r="O100" s="143" t="n"/>
      <c r="P100" s="143" t="n"/>
      <c r="Q100" s="144" t="n"/>
    </row>
    <row r="101">
      <c r="A101" s="18" t="n">
        <v>81</v>
      </c>
      <c r="B101" s="19" t="inlineStr">
        <is>
          <t xml:space="preserve">        Rociador Colgante K5.6 68°C Respuesta Rápida</t>
        </is>
      </c>
      <c r="C101" s="20" t="inlineStr">
        <is>
          <t>Comercial / Industrial</t>
        </is>
      </c>
      <c r="D101" s="18" t="inlineStr">
        <is>
          <t>Rociadores</t>
        </is>
      </c>
      <c r="E101" s="18" t="inlineStr">
        <is>
          <t>U</t>
        </is>
      </c>
      <c r="F101" s="21" t="n">
        <v>40</v>
      </c>
      <c r="G101" s="22" t="n">
        <v>6.5</v>
      </c>
      <c r="H101" s="22" t="n">
        <v>6.7</v>
      </c>
      <c r="I101" s="18" t="inlineStr">
        <is>
          <t>Megametales</t>
        </is>
      </c>
      <c r="J101" s="22" t="n">
        <v>7.02</v>
      </c>
      <c r="K101" s="18" t="inlineStr">
        <is>
          <t>Kywi / Megakywi</t>
        </is>
      </c>
      <c r="L101" s="8">
        <f>F101*G101</f>
        <v/>
      </c>
      <c r="M101" s="145" t="inlineStr">
        <is>
          <t>CI-D40-ROC-COL-K56-68</t>
        </is>
      </c>
      <c r="N101" s="18" t="inlineStr">
        <is>
          <t>Protección contra incendios (extinción)</t>
        </is>
      </c>
      <c r="O101" s="18" t="inlineStr">
        <is>
          <t>Estimado DION · criterio de mercado Guayaquil 2026 (no verificado en tienda)</t>
        </is>
      </c>
      <c r="P101" s="18" t="inlineStr">
        <is>
          <t>oct-2026 (est.)</t>
        </is>
      </c>
      <c r="Q101" s="18" t="n"/>
    </row>
    <row r="102">
      <c r="A102" s="244" t="n">
        <v>82</v>
      </c>
      <c r="B102" s="245" t="inlineStr">
        <is>
          <t xml:space="preserve">        Rociador Colgante K5.6 79°C</t>
        </is>
      </c>
      <c r="C102" s="246" t="inlineStr">
        <is>
          <t>Comercial / Industrial</t>
        </is>
      </c>
      <c r="D102" s="244" t="inlineStr">
        <is>
          <t>Rociadores</t>
        </is>
      </c>
      <c r="E102" s="244" t="inlineStr">
        <is>
          <t>U</t>
        </is>
      </c>
      <c r="F102" s="247" t="n">
        <v>20</v>
      </c>
      <c r="G102" s="248" t="n">
        <v>6.5</v>
      </c>
      <c r="H102" s="248" t="n">
        <v>6.63</v>
      </c>
      <c r="I102" s="244" t="inlineStr">
        <is>
          <t>Megametales</t>
        </is>
      </c>
      <c r="J102" s="248" t="n">
        <v>7.09</v>
      </c>
      <c r="K102" s="244" t="inlineStr">
        <is>
          <t>Kywi / Megakywi</t>
        </is>
      </c>
      <c r="L102" s="249">
        <f>F102*G102</f>
        <v/>
      </c>
      <c r="M102" s="250" t="inlineStr">
        <is>
          <t>CI-D40-ROC-COL-K56-79</t>
        </is>
      </c>
      <c r="N102" s="244" t="inlineStr">
        <is>
          <t>Protección contra incendios (extinción)</t>
        </is>
      </c>
      <c r="O102" s="244" t="inlineStr">
        <is>
          <t>Estimado DION · criterio de mercado Guayaquil 2026 (no verificado en tienda)</t>
        </is>
      </c>
      <c r="P102" s="244" t="inlineStr">
        <is>
          <t>oct-2026 (est.)</t>
        </is>
      </c>
      <c r="Q102" s="244" t="n"/>
    </row>
    <row r="103">
      <c r="A103" s="18" t="n">
        <v>83</v>
      </c>
      <c r="B103" s="19" t="inlineStr">
        <is>
          <t xml:space="preserve">        Rociador Montante K5.6 68°C</t>
        </is>
      </c>
      <c r="C103" s="20" t="inlineStr">
        <is>
          <t>Comercial / Industrial</t>
        </is>
      </c>
      <c r="D103" s="18" t="inlineStr">
        <is>
          <t>Rociadores</t>
        </is>
      </c>
      <c r="E103" s="18" t="inlineStr">
        <is>
          <t>U</t>
        </is>
      </c>
      <c r="F103" s="21" t="n">
        <v>20</v>
      </c>
      <c r="G103" s="22" t="n">
        <v>6.5</v>
      </c>
      <c r="H103" s="22" t="n">
        <v>6.83</v>
      </c>
      <c r="I103" s="18" t="inlineStr">
        <is>
          <t>Megametales</t>
        </is>
      </c>
      <c r="J103" s="22" t="n">
        <v>7.15</v>
      </c>
      <c r="K103" s="18" t="inlineStr">
        <is>
          <t>Kywi / Megakywi</t>
        </is>
      </c>
      <c r="L103" s="8">
        <f>F103*G103</f>
        <v/>
      </c>
      <c r="M103" s="145" t="inlineStr">
        <is>
          <t>CI-D40-ROC-MON-K56-68</t>
        </is>
      </c>
      <c r="N103" s="18" t="inlineStr">
        <is>
          <t>Protección contra incendios (extinción)</t>
        </is>
      </c>
      <c r="O103" s="18" t="inlineStr">
        <is>
          <t>Estimado DION · criterio de mercado Guayaquil 2026 (no verificado en tienda)</t>
        </is>
      </c>
      <c r="P103" s="18" t="inlineStr">
        <is>
          <t>oct-2026 (est.)</t>
        </is>
      </c>
      <c r="Q103" s="18" t="n"/>
    </row>
    <row r="104">
      <c r="A104" s="244" t="n">
        <v>84</v>
      </c>
      <c r="B104" s="245" t="inlineStr">
        <is>
          <t xml:space="preserve">        Rociador Lateral (Sidewall) K5.6</t>
        </is>
      </c>
      <c r="C104" s="246" t="inlineStr">
        <is>
          <t>Comercial / Industrial</t>
        </is>
      </c>
      <c r="D104" s="244" t="inlineStr">
        <is>
          <t>Rociadores</t>
        </is>
      </c>
      <c r="E104" s="244" t="inlineStr">
        <is>
          <t>U</t>
        </is>
      </c>
      <c r="F104" s="247" t="n">
        <v>10</v>
      </c>
      <c r="G104" s="248" t="n">
        <v>8.5</v>
      </c>
      <c r="H104" s="248" t="n">
        <v>8.93</v>
      </c>
      <c r="I104" s="244" t="inlineStr">
        <is>
          <t>Megametales</t>
        </is>
      </c>
      <c r="J104" s="248" t="n">
        <v>9.27</v>
      </c>
      <c r="K104" s="244" t="inlineStr">
        <is>
          <t>Kywi / Megakywi</t>
        </is>
      </c>
      <c r="L104" s="249">
        <f>F104*G104</f>
        <v/>
      </c>
      <c r="M104" s="250" t="inlineStr">
        <is>
          <t>CI-D40-ROC-LAT-K56-68</t>
        </is>
      </c>
      <c r="N104" s="244" t="inlineStr">
        <is>
          <t>Protección contra incendios (extinción)</t>
        </is>
      </c>
      <c r="O104" s="244" t="inlineStr">
        <is>
          <t>Estimado DION · criterio de mercado Guayaquil 2026 (no verificado en tienda)</t>
        </is>
      </c>
      <c r="P104" s="244" t="inlineStr">
        <is>
          <t>oct-2026 (est.)</t>
        </is>
      </c>
      <c r="Q104" s="244" t="n"/>
    </row>
    <row r="105">
      <c r="A105" s="18" t="n">
        <v>85</v>
      </c>
      <c r="B105" s="19" t="inlineStr">
        <is>
          <t xml:space="preserve">        Rociador Oculto con Tapa K5.6</t>
        </is>
      </c>
      <c r="C105" s="20" t="inlineStr">
        <is>
          <t>Comercial / Industrial</t>
        </is>
      </c>
      <c r="D105" s="18" t="inlineStr">
        <is>
          <t>Rociadores</t>
        </is>
      </c>
      <c r="E105" s="18" t="inlineStr">
        <is>
          <t>U</t>
        </is>
      </c>
      <c r="F105" s="21" t="n">
        <v>20</v>
      </c>
      <c r="G105" s="22" t="n">
        <v>18</v>
      </c>
      <c r="H105" s="22" t="n">
        <v>18.72</v>
      </c>
      <c r="I105" s="18" t="inlineStr">
        <is>
          <t>Megametales</t>
        </is>
      </c>
      <c r="J105" s="22" t="n">
        <v>19.62</v>
      </c>
      <c r="K105" s="18" t="inlineStr">
        <is>
          <t>Kywi / Megakywi</t>
        </is>
      </c>
      <c r="L105" s="8">
        <f>F105*G105</f>
        <v/>
      </c>
      <c r="M105" s="145" t="inlineStr">
        <is>
          <t>CI-D40-ROC-OCU-K56-68</t>
        </is>
      </c>
      <c r="N105" s="18" t="inlineStr">
        <is>
          <t>Protección contra incendios (extinción)</t>
        </is>
      </c>
      <c r="O105" s="18" t="inlineStr">
        <is>
          <t>Estimado DION · criterio de mercado Guayaquil 2026 (no verificado en tienda)</t>
        </is>
      </c>
      <c r="P105" s="18" t="inlineStr">
        <is>
          <t>oct-2026 (est.)</t>
        </is>
      </c>
      <c r="Q105" s="18" t="n"/>
    </row>
    <row r="106">
      <c r="A106" s="244" t="n">
        <v>86</v>
      </c>
      <c r="B106" s="245" t="inlineStr">
        <is>
          <t xml:space="preserve">        Rociador K8.0 Riesgo Ordinario II</t>
        </is>
      </c>
      <c r="C106" s="246" t="inlineStr">
        <is>
          <t>Comercial / Industrial</t>
        </is>
      </c>
      <c r="D106" s="244" t="inlineStr">
        <is>
          <t>Rociadores</t>
        </is>
      </c>
      <c r="E106" s="244" t="inlineStr">
        <is>
          <t>U</t>
        </is>
      </c>
      <c r="F106" s="247" t="n">
        <v>10</v>
      </c>
      <c r="G106" s="248" t="n">
        <v>9.5</v>
      </c>
      <c r="H106" s="248" t="n">
        <v>9.880000000000001</v>
      </c>
      <c r="I106" s="244" t="inlineStr">
        <is>
          <t>Megametales</t>
        </is>
      </c>
      <c r="J106" s="248" t="n">
        <v>10.26</v>
      </c>
      <c r="K106" s="244" t="inlineStr">
        <is>
          <t>Kywi / Megakywi</t>
        </is>
      </c>
      <c r="L106" s="249">
        <f>F106*G106</f>
        <v/>
      </c>
      <c r="M106" s="250" t="inlineStr">
        <is>
          <t>CI-D40-ROC-COL-K80-68</t>
        </is>
      </c>
      <c r="N106" s="244" t="inlineStr">
        <is>
          <t>Protección contra incendios (extinción)</t>
        </is>
      </c>
      <c r="O106" s="244" t="inlineStr">
        <is>
          <t>Estimado DION · criterio de mercado Guayaquil 2026 (no verificado en tienda)</t>
        </is>
      </c>
      <c r="P106" s="244" t="inlineStr">
        <is>
          <t>oct-2026 (est.)</t>
        </is>
      </c>
      <c r="Q106" s="244" t="n"/>
    </row>
    <row r="107">
      <c r="A107" s="18" t="n">
        <v>87</v>
      </c>
      <c r="B107" s="19" t="inlineStr">
        <is>
          <t xml:space="preserve">        Rociador ESFR K16.8 Almacenes</t>
        </is>
      </c>
      <c r="C107" s="20" t="inlineStr">
        <is>
          <t>Comercial / Industrial</t>
        </is>
      </c>
      <c r="D107" s="18" t="inlineStr">
        <is>
          <t>Rociadores</t>
        </is>
      </c>
      <c r="E107" s="18" t="inlineStr">
        <is>
          <t>U</t>
        </is>
      </c>
      <c r="F107" s="21" t="n">
        <v>10</v>
      </c>
      <c r="G107" s="22" t="n">
        <v>32</v>
      </c>
      <c r="H107" s="22" t="n">
        <v>32.64</v>
      </c>
      <c r="I107" s="18" t="inlineStr">
        <is>
          <t>Megametales</t>
        </is>
      </c>
      <c r="J107" s="22" t="n">
        <v>35.2</v>
      </c>
      <c r="K107" s="18" t="inlineStr">
        <is>
          <t>Kywi / Megakywi</t>
        </is>
      </c>
      <c r="L107" s="8">
        <f>F107*G107</f>
        <v/>
      </c>
      <c r="M107" s="145" t="inlineStr">
        <is>
          <t>CI-D40-ROC-ESF-K168</t>
        </is>
      </c>
      <c r="N107" s="18" t="inlineStr">
        <is>
          <t>Protección contra incendios (extinción)</t>
        </is>
      </c>
      <c r="O107" s="18" t="inlineStr">
        <is>
          <t>Estimado DION · criterio de mercado Guayaquil 2026 (no verificado en tienda)</t>
        </is>
      </c>
      <c r="P107" s="18" t="inlineStr">
        <is>
          <t>oct-2026 (est.)</t>
        </is>
      </c>
      <c r="Q107" s="18" t="n"/>
    </row>
    <row r="108">
      <c r="A108" s="244" t="n">
        <v>88</v>
      </c>
      <c r="B108" s="245" t="inlineStr">
        <is>
          <t xml:space="preserve">        Rociador Colgante Seco K5.6</t>
        </is>
      </c>
      <c r="C108" s="246" t="inlineStr">
        <is>
          <t>Comercial / Industrial</t>
        </is>
      </c>
      <c r="D108" s="244" t="inlineStr">
        <is>
          <t>Rociadores</t>
        </is>
      </c>
      <c r="E108" s="244" t="inlineStr">
        <is>
          <t>U</t>
        </is>
      </c>
      <c r="F108" s="247" t="n">
        <v>4</v>
      </c>
      <c r="G108" s="248" t="n">
        <v>85</v>
      </c>
      <c r="H108" s="248" t="n">
        <v>89.25</v>
      </c>
      <c r="I108" s="244" t="inlineStr">
        <is>
          <t>Megametales</t>
        </is>
      </c>
      <c r="J108" s="248" t="n">
        <v>93.5</v>
      </c>
      <c r="K108" s="244" t="inlineStr">
        <is>
          <t>Kywi / Megakywi</t>
        </is>
      </c>
      <c r="L108" s="249">
        <f>F108*G108</f>
        <v/>
      </c>
      <c r="M108" s="250" t="inlineStr">
        <is>
          <t>CI-D40-ROC-SEC-COL-K56</t>
        </is>
      </c>
      <c r="N108" s="244" t="inlineStr">
        <is>
          <t>Protección contra incendios (extinción)</t>
        </is>
      </c>
      <c r="O108" s="244" t="inlineStr">
        <is>
          <t>Estimado DION · criterio de mercado Guayaquil 2026 (no verificado en tienda)</t>
        </is>
      </c>
      <c r="P108" s="244" t="inlineStr">
        <is>
          <t>oct-2026 (est.)</t>
        </is>
      </c>
      <c r="Q108" s="244" t="n"/>
    </row>
    <row r="109">
      <c r="A109" s="18" t="n">
        <v>89</v>
      </c>
      <c r="B109" s="19" t="inlineStr">
        <is>
          <t xml:space="preserve">        Escudo / Embellecedor de Rociador</t>
        </is>
      </c>
      <c r="C109" s="20" t="inlineStr">
        <is>
          <t>Comercial / Industrial</t>
        </is>
      </c>
      <c r="D109" s="18" t="inlineStr">
        <is>
          <t>Rociadores</t>
        </is>
      </c>
      <c r="E109" s="18" t="inlineStr">
        <is>
          <t>U</t>
        </is>
      </c>
      <c r="F109" s="21" t="n">
        <v>40</v>
      </c>
      <c r="G109" s="22" t="n">
        <v>0.9</v>
      </c>
      <c r="H109" s="22" t="n">
        <v>0.92</v>
      </c>
      <c r="I109" s="18" t="inlineStr">
        <is>
          <t>Megametales</t>
        </is>
      </c>
      <c r="J109" s="22" t="n">
        <v>0.97</v>
      </c>
      <c r="K109" s="18" t="inlineStr">
        <is>
          <t>Kywi / Megakywi</t>
        </is>
      </c>
      <c r="L109" s="8">
        <f>F109*G109</f>
        <v/>
      </c>
      <c r="M109" s="145" t="inlineStr">
        <is>
          <t>CI-D40-ROC-ESC-ROC</t>
        </is>
      </c>
      <c r="N109" s="18" t="inlineStr">
        <is>
          <t>Protección contra incendios (extinción)</t>
        </is>
      </c>
      <c r="O109" s="18" t="inlineStr">
        <is>
          <t>Estimado DION · criterio de mercado Guayaquil 2026 (no verificado en tienda)</t>
        </is>
      </c>
      <c r="P109" s="18" t="inlineStr">
        <is>
          <t>oct-2026 (est.)</t>
        </is>
      </c>
      <c r="Q109" s="18" t="n"/>
    </row>
    <row r="110">
      <c r="A110" s="244" t="n">
        <v>90</v>
      </c>
      <c r="B110" s="245" t="inlineStr">
        <is>
          <t xml:space="preserve">        Gabinete de Rociadores de Repuesto (6u + Llave)</t>
        </is>
      </c>
      <c r="C110" s="246" t="inlineStr">
        <is>
          <t>Comercial / Industrial</t>
        </is>
      </c>
      <c r="D110" s="244" t="inlineStr">
        <is>
          <t>Rociadores</t>
        </is>
      </c>
      <c r="E110" s="244" t="inlineStr">
        <is>
          <t>U</t>
        </is>
      </c>
      <c r="F110" s="247" t="n">
        <v>1</v>
      </c>
      <c r="G110" s="248" t="n">
        <v>65</v>
      </c>
      <c r="H110" s="248" t="n">
        <v>66.3</v>
      </c>
      <c r="I110" s="244" t="inlineStr">
        <is>
          <t>Megametales</t>
        </is>
      </c>
      <c r="J110" s="248" t="n">
        <v>70.2</v>
      </c>
      <c r="K110" s="244" t="inlineStr">
        <is>
          <t>Kywi / Megakywi</t>
        </is>
      </c>
      <c r="L110" s="249">
        <f>F110*G110</f>
        <v/>
      </c>
      <c r="M110" s="250" t="inlineStr">
        <is>
          <t>CI-D40-ROC-ROC-ABI</t>
        </is>
      </c>
      <c r="N110" s="244" t="inlineStr">
        <is>
          <t>Protección contra incendios (extinción)</t>
        </is>
      </c>
      <c r="O110" s="244" t="inlineStr">
        <is>
          <t>Estimado DION · criterio de mercado Guayaquil 2026 (no verificado en tienda)</t>
        </is>
      </c>
      <c r="P110" s="244" t="inlineStr">
        <is>
          <t>oct-2026 (est.)</t>
        </is>
      </c>
      <c r="Q110" s="244" t="n"/>
    </row>
    <row r="111">
      <c r="A111" s="18" t="n">
        <v>91</v>
      </c>
      <c r="B111" s="19" t="inlineStr">
        <is>
          <t xml:space="preserve">        Sistema FM-200 / Agente Limpio (por kg agente, incl. cilindro)</t>
        </is>
      </c>
      <c r="C111" s="20" t="inlineStr">
        <is>
          <t>Comercial / Industrial</t>
        </is>
      </c>
      <c r="D111" s="18" t="inlineStr">
        <is>
          <t>Agentes Limpios</t>
        </is>
      </c>
      <c r="E111" s="18" t="inlineStr">
        <is>
          <t>U</t>
        </is>
      </c>
      <c r="F111" s="21" t="n">
        <v>1</v>
      </c>
      <c r="G111" s="22" t="n">
        <v>58</v>
      </c>
      <c r="H111" s="22" t="n">
        <v>59.16</v>
      </c>
      <c r="I111" s="18" t="inlineStr">
        <is>
          <t>Megametales</t>
        </is>
      </c>
      <c r="J111" s="22" t="n">
        <v>62.64</v>
      </c>
      <c r="K111" s="18" t="inlineStr">
        <is>
          <t>Kywi / Megakywi</t>
        </is>
      </c>
      <c r="L111" s="8">
        <f>F111*G111</f>
        <v/>
      </c>
      <c r="M111" s="145" t="inlineStr">
        <is>
          <t>CI-D40-AGL-FM200-CIL</t>
        </is>
      </c>
      <c r="N111" s="18" t="inlineStr">
        <is>
          <t>Protección contra incendios (extinción)</t>
        </is>
      </c>
      <c r="O111" s="18" t="inlineStr">
        <is>
          <t>Estimado DION · criterio de mercado Guayaquil 2026 (no verificado en tienda)</t>
        </is>
      </c>
      <c r="P111" s="18" t="inlineStr">
        <is>
          <t>oct-2026 (est.)</t>
        </is>
      </c>
      <c r="Q111" s="18" t="n"/>
    </row>
    <row r="112">
      <c r="A112" s="244" t="n">
        <v>92</v>
      </c>
      <c r="B112" s="245" t="inlineStr">
        <is>
          <t xml:space="preserve">        Sistema Novec 1230 (por kg agente)</t>
        </is>
      </c>
      <c r="C112" s="246" t="inlineStr">
        <is>
          <t>Comercial / Industrial</t>
        </is>
      </c>
      <c r="D112" s="244" t="inlineStr">
        <is>
          <t>Agentes Limpios</t>
        </is>
      </c>
      <c r="E112" s="244" t="inlineStr">
        <is>
          <t>U</t>
        </is>
      </c>
      <c r="F112" s="247" t="n">
        <v>1</v>
      </c>
      <c r="G112" s="248" t="n">
        <v>72</v>
      </c>
      <c r="H112" s="248" t="n">
        <v>74.88</v>
      </c>
      <c r="I112" s="244" t="inlineStr">
        <is>
          <t>Megametales</t>
        </is>
      </c>
      <c r="J112" s="248" t="n">
        <v>77.04000000000001</v>
      </c>
      <c r="K112" s="244" t="inlineStr">
        <is>
          <t>Kywi / Megakywi</t>
        </is>
      </c>
      <c r="L112" s="249">
        <f>F112*G112</f>
        <v/>
      </c>
      <c r="M112" s="250" t="inlineStr">
        <is>
          <t>CI-D40-AGL-NOV-CIL</t>
        </is>
      </c>
      <c r="N112" s="244" t="inlineStr">
        <is>
          <t>Protección contra incendios (extinción)</t>
        </is>
      </c>
      <c r="O112" s="244" t="inlineStr">
        <is>
          <t>Estimado DION · criterio de mercado Guayaquil 2026 (no verificado en tienda)</t>
        </is>
      </c>
      <c r="P112" s="244" t="inlineStr">
        <is>
          <t>oct-2026 (est.)</t>
        </is>
      </c>
      <c r="Q112" s="244" t="n"/>
    </row>
    <row r="113">
      <c r="A113" s="18" t="n">
        <v>93</v>
      </c>
      <c r="B113" s="19" t="inlineStr">
        <is>
          <t xml:space="preserve">        Sistema de Supresión Química Húmeda para Campana de Cocina</t>
        </is>
      </c>
      <c r="C113" s="20" t="inlineStr">
        <is>
          <t>Comercial / Industrial</t>
        </is>
      </c>
      <c r="D113" s="18" t="inlineStr">
        <is>
          <t>Agentes Limpios</t>
        </is>
      </c>
      <c r="E113" s="18" t="inlineStr">
        <is>
          <t>U</t>
        </is>
      </c>
      <c r="F113" s="21" t="n">
        <v>0</v>
      </c>
      <c r="G113" s="22" t="n">
        <v>3800</v>
      </c>
      <c r="H113" s="22" t="n">
        <v>3876</v>
      </c>
      <c r="I113" s="18" t="inlineStr">
        <is>
          <t>Megametales</t>
        </is>
      </c>
      <c r="J113" s="22" t="n">
        <v>4142</v>
      </c>
      <c r="K113" s="18" t="inlineStr">
        <is>
          <t>Kywi / Megakywi</t>
        </is>
      </c>
      <c r="L113" s="8">
        <f>F113*G113</f>
        <v/>
      </c>
      <c r="M113" s="145" t="inlineStr">
        <is>
          <t>CI-D40-AGL-SUP-COC</t>
        </is>
      </c>
      <c r="N113" s="18" t="inlineStr">
        <is>
          <t>Protección contra incendios (extinción)</t>
        </is>
      </c>
      <c r="O113" s="18" t="inlineStr">
        <is>
          <t>Estimado DION · criterio de mercado Guayaquil 2026 (no verificado en tienda)</t>
        </is>
      </c>
      <c r="P113" s="18" t="inlineStr">
        <is>
          <t>oct-2026 (est.)</t>
        </is>
      </c>
      <c r="Q113" s="18" t="n"/>
    </row>
    <row r="114">
      <c r="A114" s="244" t="n">
        <v>94</v>
      </c>
      <c r="B114" s="245" t="inlineStr">
        <is>
          <t xml:space="preserve">        Detector de Humo Fotoeléctrico Direccionable</t>
        </is>
      </c>
      <c r="C114" s="246" t="inlineStr">
        <is>
          <t>Residencial / Comercial / Ind</t>
        </is>
      </c>
      <c r="D114" s="244" t="inlineStr">
        <is>
          <t>Detectores</t>
        </is>
      </c>
      <c r="E114" s="244" t="inlineStr">
        <is>
          <t>U</t>
        </is>
      </c>
      <c r="F114" s="247" t="n">
        <v>20</v>
      </c>
      <c r="G114" s="248" t="n">
        <v>48</v>
      </c>
      <c r="H114" s="248" t="n">
        <v>48.96</v>
      </c>
      <c r="I114" s="244" t="inlineStr">
        <is>
          <t>Megametales</t>
        </is>
      </c>
      <c r="J114" s="248" t="n">
        <v>51.36</v>
      </c>
      <c r="K114" s="244" t="inlineStr">
        <is>
          <t>Kywi / Megakywi</t>
        </is>
      </c>
      <c r="L114" s="249">
        <f>F114*G114</f>
        <v/>
      </c>
      <c r="M114" s="250" t="inlineStr">
        <is>
          <t>DI-D50-DET-HUM-FOT-DIR</t>
        </is>
      </c>
      <c r="N114" s="244" t="inlineStr">
        <is>
          <t>Detección y alarma de incendios</t>
        </is>
      </c>
      <c r="O114" s="244" t="inlineStr">
        <is>
          <t>Estimado DION · criterio de mercado Guayaquil 2026 (no verificado en tienda)</t>
        </is>
      </c>
      <c r="P114" s="244" t="inlineStr">
        <is>
          <t>oct-2026 (est.)</t>
        </is>
      </c>
      <c r="Q114" s="244" t="n"/>
    </row>
    <row r="115">
      <c r="A115" s="18" t="n">
        <v>95</v>
      </c>
      <c r="B115" s="19" t="inlineStr">
        <is>
          <t xml:space="preserve">        Detector de Humo Convencional</t>
        </is>
      </c>
      <c r="C115" s="20" t="inlineStr">
        <is>
          <t>Residencial / Comercial / Ind</t>
        </is>
      </c>
      <c r="D115" s="18" t="inlineStr">
        <is>
          <t>Detectores</t>
        </is>
      </c>
      <c r="E115" s="18" t="inlineStr">
        <is>
          <t>U</t>
        </is>
      </c>
      <c r="F115" s="21" t="n">
        <v>20</v>
      </c>
      <c r="G115" s="22" t="n">
        <v>18</v>
      </c>
      <c r="H115" s="22" t="n">
        <v>18.36</v>
      </c>
      <c r="I115" s="18" t="inlineStr">
        <is>
          <t>Megametales</t>
        </is>
      </c>
      <c r="J115" s="22" t="n">
        <v>19.44</v>
      </c>
      <c r="K115" s="18" t="inlineStr">
        <is>
          <t>Kywi / Megakywi</t>
        </is>
      </c>
      <c r="L115" s="8">
        <f>F115*G115</f>
        <v/>
      </c>
      <c r="M115" s="145" t="inlineStr">
        <is>
          <t>DI-D50-DET-HUM-FOT-CON</t>
        </is>
      </c>
      <c r="N115" s="18" t="inlineStr">
        <is>
          <t>Detección y alarma de incendios</t>
        </is>
      </c>
      <c r="O115" s="18" t="inlineStr">
        <is>
          <t>Estimado DION · criterio de mercado Guayaquil 2026 (no verificado en tienda)</t>
        </is>
      </c>
      <c r="P115" s="18" t="inlineStr">
        <is>
          <t>oct-2026 (est.)</t>
        </is>
      </c>
      <c r="Q115" s="18" t="n"/>
    </row>
    <row r="116">
      <c r="A116" s="244" t="n">
        <v>96</v>
      </c>
      <c r="B116" s="245" t="inlineStr">
        <is>
          <t xml:space="preserve">        Detector Térmico Temperatura Fija</t>
        </is>
      </c>
      <c r="C116" s="246" t="inlineStr">
        <is>
          <t>Residencial / Comercial / Ind</t>
        </is>
      </c>
      <c r="D116" s="244" t="inlineStr">
        <is>
          <t>Detectores</t>
        </is>
      </c>
      <c r="E116" s="244" t="inlineStr">
        <is>
          <t>U</t>
        </is>
      </c>
      <c r="F116" s="247" t="n">
        <v>6</v>
      </c>
      <c r="G116" s="248" t="n">
        <v>16</v>
      </c>
      <c r="H116" s="248" t="n">
        <v>16.32</v>
      </c>
      <c r="I116" s="244" t="inlineStr">
        <is>
          <t>Megametales</t>
        </is>
      </c>
      <c r="J116" s="248" t="n">
        <v>17.12</v>
      </c>
      <c r="K116" s="244" t="inlineStr">
        <is>
          <t>Kywi / Megakywi</t>
        </is>
      </c>
      <c r="L116" s="249">
        <f>F116*G116</f>
        <v/>
      </c>
      <c r="M116" s="250" t="inlineStr">
        <is>
          <t>DI-D50-DET-TER-FIJ</t>
        </is>
      </c>
      <c r="N116" s="244" t="inlineStr">
        <is>
          <t>Detección y alarma de incendios</t>
        </is>
      </c>
      <c r="O116" s="244" t="inlineStr">
        <is>
          <t>Estimado DION · criterio de mercado Guayaquil 2026 (no verificado en tienda)</t>
        </is>
      </c>
      <c r="P116" s="244" t="inlineStr">
        <is>
          <t>oct-2026 (est.)</t>
        </is>
      </c>
      <c r="Q116" s="244" t="n"/>
    </row>
    <row r="117">
      <c r="A117" s="18" t="n">
        <v>97</v>
      </c>
      <c r="B117" s="19" t="inlineStr">
        <is>
          <t xml:space="preserve">        Detector Termovelocimétrico</t>
        </is>
      </c>
      <c r="C117" s="20" t="inlineStr">
        <is>
          <t>Residencial / Comercial / Ind</t>
        </is>
      </c>
      <c r="D117" s="18" t="inlineStr">
        <is>
          <t>Detectores</t>
        </is>
      </c>
      <c r="E117" s="18" t="inlineStr">
        <is>
          <t>U</t>
        </is>
      </c>
      <c r="F117" s="21" t="n">
        <v>6</v>
      </c>
      <c r="G117" s="22" t="n">
        <v>18</v>
      </c>
      <c r="H117" s="22" t="n">
        <v>18.72</v>
      </c>
      <c r="I117" s="18" t="inlineStr">
        <is>
          <t>Megametales</t>
        </is>
      </c>
      <c r="J117" s="22" t="n">
        <v>19.26</v>
      </c>
      <c r="K117" s="18" t="inlineStr">
        <is>
          <t>Kywi / Megakywi</t>
        </is>
      </c>
      <c r="L117" s="8">
        <f>F117*G117</f>
        <v/>
      </c>
      <c r="M117" s="145" t="inlineStr">
        <is>
          <t>DI-D50-DET-TER-ROR</t>
        </is>
      </c>
      <c r="N117" s="18" t="inlineStr">
        <is>
          <t>Detección y alarma de incendios</t>
        </is>
      </c>
      <c r="O117" s="18" t="inlineStr">
        <is>
          <t>Estimado DION · criterio de mercado Guayaquil 2026 (no verificado en tienda)</t>
        </is>
      </c>
      <c r="P117" s="18" t="inlineStr">
        <is>
          <t>oct-2026 (est.)</t>
        </is>
      </c>
      <c r="Q117" s="18" t="n"/>
    </row>
    <row r="118">
      <c r="A118" s="244" t="n">
        <v>98</v>
      </c>
      <c r="B118" s="245" t="inlineStr">
        <is>
          <t xml:space="preserve">        Detector de Haz Lineal 100 m</t>
        </is>
      </c>
      <c r="C118" s="246" t="inlineStr">
        <is>
          <t>Residencial / Comercial / Ind</t>
        </is>
      </c>
      <c r="D118" s="244" t="inlineStr">
        <is>
          <t>Detectores</t>
        </is>
      </c>
      <c r="E118" s="244" t="inlineStr">
        <is>
          <t>U</t>
        </is>
      </c>
      <c r="F118" s="247" t="n">
        <v>0</v>
      </c>
      <c r="G118" s="248" t="n">
        <v>850</v>
      </c>
      <c r="H118" s="248" t="n">
        <v>884</v>
      </c>
      <c r="I118" s="244" t="inlineStr">
        <is>
          <t>Megametales</t>
        </is>
      </c>
      <c r="J118" s="248" t="n">
        <v>909.5</v>
      </c>
      <c r="K118" s="244" t="inlineStr">
        <is>
          <t>Kywi / Megakywi</t>
        </is>
      </c>
      <c r="L118" s="249">
        <f>F118*G118</f>
        <v/>
      </c>
      <c r="M118" s="250" t="inlineStr">
        <is>
          <t>DI-D50-DET-HAZ-100M</t>
        </is>
      </c>
      <c r="N118" s="244" t="inlineStr">
        <is>
          <t>Detección y alarma de incendios</t>
        </is>
      </c>
      <c r="O118" s="244" t="inlineStr">
        <is>
          <t>Estimado DION · criterio de mercado Guayaquil 2026 (no verificado en tienda)</t>
        </is>
      </c>
      <c r="P118" s="244" t="inlineStr">
        <is>
          <t>oct-2026 (est.)</t>
        </is>
      </c>
      <c r="Q118" s="244" t="n"/>
    </row>
    <row r="119">
      <c r="A119" s="18" t="n">
        <v>99</v>
      </c>
      <c r="B119" s="19" t="inlineStr">
        <is>
          <t xml:space="preserve">        Detector de Humo de Ducto</t>
        </is>
      </c>
      <c r="C119" s="20" t="inlineStr">
        <is>
          <t>Residencial / Comercial / Ind</t>
        </is>
      </c>
      <c r="D119" s="18" t="inlineStr">
        <is>
          <t>Detectores</t>
        </is>
      </c>
      <c r="E119" s="18" t="inlineStr">
        <is>
          <t>U</t>
        </is>
      </c>
      <c r="F119" s="21" t="n">
        <v>2</v>
      </c>
      <c r="G119" s="22" t="n">
        <v>185</v>
      </c>
      <c r="H119" s="22" t="n">
        <v>192.4</v>
      </c>
      <c r="I119" s="18" t="inlineStr">
        <is>
          <t>Megametales</t>
        </is>
      </c>
      <c r="J119" s="22" t="n">
        <v>203.5</v>
      </c>
      <c r="K119" s="18" t="inlineStr">
        <is>
          <t>Kywi / Megakywi</t>
        </is>
      </c>
      <c r="L119" s="8">
        <f>F119*G119</f>
        <v/>
      </c>
      <c r="M119" s="145" t="inlineStr">
        <is>
          <t>DI-D50-DET-DUC</t>
        </is>
      </c>
      <c r="N119" s="18" t="inlineStr">
        <is>
          <t>Detección y alarma de incendios</t>
        </is>
      </c>
      <c r="O119" s="18" t="inlineStr">
        <is>
          <t>Estimado DION · criterio de mercado Guayaquil 2026 (no verificado en tienda)</t>
        </is>
      </c>
      <c r="P119" s="18" t="inlineStr">
        <is>
          <t>oct-2026 (est.)</t>
        </is>
      </c>
      <c r="Q119" s="18" t="n"/>
    </row>
    <row r="120">
      <c r="A120" s="244" t="n">
        <v>100</v>
      </c>
      <c r="B120" s="245" t="inlineStr">
        <is>
          <t xml:space="preserve">        Base de Detector con Relé</t>
        </is>
      </c>
      <c r="C120" s="246" t="inlineStr">
        <is>
          <t>Residencial / Comercial / Ind</t>
        </is>
      </c>
      <c r="D120" s="244" t="inlineStr">
        <is>
          <t>Bases</t>
        </is>
      </c>
      <c r="E120" s="244" t="inlineStr">
        <is>
          <t>U</t>
        </is>
      </c>
      <c r="F120" s="247" t="n">
        <v>4</v>
      </c>
      <c r="G120" s="248" t="n">
        <v>22</v>
      </c>
      <c r="H120" s="248" t="n">
        <v>22.88</v>
      </c>
      <c r="I120" s="244" t="inlineStr">
        <is>
          <t>Megametales</t>
        </is>
      </c>
      <c r="J120" s="248" t="n">
        <v>24.2</v>
      </c>
      <c r="K120" s="244" t="inlineStr">
        <is>
          <t>Kywi / Megakywi</t>
        </is>
      </c>
      <c r="L120" s="249">
        <f>F120*G120</f>
        <v/>
      </c>
      <c r="M120" s="250" t="inlineStr">
        <is>
          <t>DI-D50-DET-BAS-REL</t>
        </is>
      </c>
      <c r="N120" s="244" t="inlineStr">
        <is>
          <t>Detección y alarma de incendios</t>
        </is>
      </c>
      <c r="O120" s="244" t="inlineStr">
        <is>
          <t>Estimado DION · criterio de mercado Guayaquil 2026 (no verificado en tienda)</t>
        </is>
      </c>
      <c r="P120" s="244" t="inlineStr">
        <is>
          <t>oct-2026 (est.)</t>
        </is>
      </c>
      <c r="Q120" s="244" t="n"/>
    </row>
    <row r="121">
      <c r="A121" s="18" t="n">
        <v>101</v>
      </c>
      <c r="B121" s="19" t="inlineStr">
        <is>
          <t xml:space="preserve">        Estación Manual Doble Acción Direccionable</t>
        </is>
      </c>
      <c r="C121" s="20" t="inlineStr">
        <is>
          <t>Residencial / Comercial / Ind</t>
        </is>
      </c>
      <c r="D121" s="18" t="inlineStr">
        <is>
          <t>Estaciones Manuales</t>
        </is>
      </c>
      <c r="E121" s="18" t="inlineStr">
        <is>
          <t>U</t>
        </is>
      </c>
      <c r="F121" s="21" t="n">
        <v>4</v>
      </c>
      <c r="G121" s="22" t="n">
        <v>58</v>
      </c>
      <c r="H121" s="22" t="n">
        <v>60.32</v>
      </c>
      <c r="I121" s="18" t="inlineStr">
        <is>
          <t>Megametales</t>
        </is>
      </c>
      <c r="J121" s="22" t="n">
        <v>62.06</v>
      </c>
      <c r="K121" s="18" t="inlineStr">
        <is>
          <t>Kywi / Megakywi</t>
        </is>
      </c>
      <c r="L121" s="8">
        <f>F121*G121</f>
        <v/>
      </c>
      <c r="M121" s="145" t="inlineStr">
        <is>
          <t>DI-D50-NOT-EST-MAN-DA</t>
        </is>
      </c>
      <c r="N121" s="18" t="inlineStr">
        <is>
          <t>Detección y alarma de incendios</t>
        </is>
      </c>
      <c r="O121" s="18" t="inlineStr">
        <is>
          <t>Estimado DION · criterio de mercado Guayaquil 2026 (no verificado en tienda)</t>
        </is>
      </c>
      <c r="P121" s="18" t="inlineStr">
        <is>
          <t>oct-2026 (est.)</t>
        </is>
      </c>
      <c r="Q121" s="18" t="n"/>
    </row>
    <row r="122">
      <c r="A122" s="244" t="n">
        <v>102</v>
      </c>
      <c r="B122" s="245" t="inlineStr">
        <is>
          <t xml:space="preserve">        Sirena con Luz Estroboscópica de Pared</t>
        </is>
      </c>
      <c r="C122" s="246" t="inlineStr">
        <is>
          <t>Residencial / Comercial / Ind</t>
        </is>
      </c>
      <c r="D122" s="244" t="inlineStr">
        <is>
          <t>Notificación</t>
        </is>
      </c>
      <c r="E122" s="244" t="inlineStr">
        <is>
          <t>U</t>
        </is>
      </c>
      <c r="F122" s="247" t="n">
        <v>8</v>
      </c>
      <c r="G122" s="248" t="n">
        <v>38</v>
      </c>
      <c r="H122" s="248" t="n">
        <v>38.76</v>
      </c>
      <c r="I122" s="244" t="inlineStr">
        <is>
          <t>Megametales</t>
        </is>
      </c>
      <c r="J122" s="248" t="n">
        <v>40.66</v>
      </c>
      <c r="K122" s="244" t="inlineStr">
        <is>
          <t>Kywi / Megakywi</t>
        </is>
      </c>
      <c r="L122" s="249">
        <f>F122*G122</f>
        <v/>
      </c>
      <c r="M122" s="250" t="inlineStr">
        <is>
          <t>DI-D50-NOT-SIR-EST-PAR</t>
        </is>
      </c>
      <c r="N122" s="244" t="inlineStr">
        <is>
          <t>Detección y alarma de incendios</t>
        </is>
      </c>
      <c r="O122" s="244" t="inlineStr">
        <is>
          <t>Estimado DION · criterio de mercado Guayaquil 2026 (no verificado en tienda)</t>
        </is>
      </c>
      <c r="P122" s="244" t="inlineStr">
        <is>
          <t>oct-2026 (est.)</t>
        </is>
      </c>
      <c r="Q122" s="244" t="n"/>
    </row>
    <row r="123">
      <c r="A123" s="18" t="n">
        <v>103</v>
      </c>
      <c r="B123" s="19" t="inlineStr">
        <is>
          <t xml:space="preserve">        Sirena Estroboscópica de Techo</t>
        </is>
      </c>
      <c r="C123" s="20" t="inlineStr">
        <is>
          <t>Residencial / Comercial / Ind</t>
        </is>
      </c>
      <c r="D123" s="18" t="inlineStr">
        <is>
          <t>Notificación</t>
        </is>
      </c>
      <c r="E123" s="18" t="inlineStr">
        <is>
          <t>U</t>
        </is>
      </c>
      <c r="F123" s="21" t="n">
        <v>4</v>
      </c>
      <c r="G123" s="22" t="n">
        <v>42</v>
      </c>
      <c r="H123" s="22" t="n">
        <v>43.26</v>
      </c>
      <c r="I123" s="18" t="inlineStr">
        <is>
          <t>Megametales</t>
        </is>
      </c>
      <c r="J123" s="22" t="n">
        <v>45.36</v>
      </c>
      <c r="K123" s="18" t="inlineStr">
        <is>
          <t>Kywi / Megakywi</t>
        </is>
      </c>
      <c r="L123" s="8">
        <f>F123*G123</f>
        <v/>
      </c>
      <c r="M123" s="145" t="inlineStr">
        <is>
          <t>DI-D50-NOT-SIR-EST-TEC</t>
        </is>
      </c>
      <c r="N123" s="18" t="inlineStr">
        <is>
          <t>Detección y alarma de incendios</t>
        </is>
      </c>
      <c r="O123" s="18" t="inlineStr">
        <is>
          <t>Estimado DION · criterio de mercado Guayaquil 2026 (no verificado en tienda)</t>
        </is>
      </c>
      <c r="P123" s="18" t="inlineStr">
        <is>
          <t>oct-2026 (est.)</t>
        </is>
      </c>
      <c r="Q123" s="18" t="n"/>
    </row>
    <row r="124">
      <c r="A124" s="244" t="n">
        <v>104</v>
      </c>
      <c r="B124" s="245" t="inlineStr">
        <is>
          <t xml:space="preserve">        Parlante de Evacuación por Voz</t>
        </is>
      </c>
      <c r="C124" s="246" t="inlineStr">
        <is>
          <t>Residencial / Comercial / Ind</t>
        </is>
      </c>
      <c r="D124" s="244" t="inlineStr">
        <is>
          <t>Notificación</t>
        </is>
      </c>
      <c r="E124" s="244" t="inlineStr">
        <is>
          <t>U</t>
        </is>
      </c>
      <c r="F124" s="247" t="n">
        <v>6</v>
      </c>
      <c r="G124" s="248" t="n">
        <v>48</v>
      </c>
      <c r="H124" s="248" t="n">
        <v>48.96</v>
      </c>
      <c r="I124" s="244" t="inlineStr">
        <is>
          <t>Megametales</t>
        </is>
      </c>
      <c r="J124" s="248" t="n">
        <v>53.28</v>
      </c>
      <c r="K124" s="244" t="inlineStr">
        <is>
          <t>Kywi / Megakywi</t>
        </is>
      </c>
      <c r="L124" s="249">
        <f>F124*G124</f>
        <v/>
      </c>
      <c r="M124" s="250" t="inlineStr">
        <is>
          <t>DI-D50-NOT-PAR-VOZ</t>
        </is>
      </c>
      <c r="N124" s="244" t="inlineStr">
        <is>
          <t>Detección y alarma de incendios</t>
        </is>
      </c>
      <c r="O124" s="244" t="inlineStr">
        <is>
          <t>Estimado DION · criterio de mercado Guayaquil 2026 (no verificado en tienda)</t>
        </is>
      </c>
      <c r="P124" s="244" t="inlineStr">
        <is>
          <t>oct-2026 (est.)</t>
        </is>
      </c>
      <c r="Q124" s="244" t="n"/>
    </row>
    <row r="125">
      <c r="A125" s="18" t="n">
        <v>105</v>
      </c>
      <c r="B125" s="19" t="inlineStr">
        <is>
          <t xml:space="preserve">        Retenedor Magnético de Puerta Cortafuego</t>
        </is>
      </c>
      <c r="C125" s="20" t="inlineStr">
        <is>
          <t>Residencial / Comercial / Ind</t>
        </is>
      </c>
      <c r="D125" s="18" t="inlineStr">
        <is>
          <t>Retenedores</t>
        </is>
      </c>
      <c r="E125" s="18" t="inlineStr">
        <is>
          <t>U</t>
        </is>
      </c>
      <c r="F125" s="21" t="n">
        <v>2</v>
      </c>
      <c r="G125" s="22" t="n">
        <v>65</v>
      </c>
      <c r="H125" s="22" t="n">
        <v>66.3</v>
      </c>
      <c r="I125" s="18" t="inlineStr">
        <is>
          <t>Megametales</t>
        </is>
      </c>
      <c r="J125" s="22" t="n">
        <v>70.84999999999999</v>
      </c>
      <c r="K125" s="18" t="inlineStr">
        <is>
          <t>Kywi / Megakywi</t>
        </is>
      </c>
      <c r="L125" s="8">
        <f>F125*G125</f>
        <v/>
      </c>
      <c r="M125" s="145" t="inlineStr">
        <is>
          <t>DI-D50-NOT-RET-PUE</t>
        </is>
      </c>
      <c r="N125" s="18" t="inlineStr">
        <is>
          <t>Detección y alarma de incendios</t>
        </is>
      </c>
      <c r="O125" s="18" t="inlineStr">
        <is>
          <t>Estimado DION · criterio de mercado Guayaquil 2026 (no verificado en tienda)</t>
        </is>
      </c>
      <c r="P125" s="18" t="inlineStr">
        <is>
          <t>oct-2026 (est.)</t>
        </is>
      </c>
      <c r="Q125" s="18" t="n"/>
    </row>
    <row r="126">
      <c r="A126" s="244" t="n">
        <v>106</v>
      </c>
      <c r="B126" s="245" t="inlineStr">
        <is>
          <t xml:space="preserve">        Panel de Alarma Convencional 8 Zonas</t>
        </is>
      </c>
      <c r="C126" s="246" t="inlineStr">
        <is>
          <t>Residencial / Comercial / Ind</t>
        </is>
      </c>
      <c r="D126" s="244" t="inlineStr">
        <is>
          <t>Paneles</t>
        </is>
      </c>
      <c r="E126" s="244" t="inlineStr">
        <is>
          <t>U</t>
        </is>
      </c>
      <c r="F126" s="247" t="n">
        <v>1</v>
      </c>
      <c r="G126" s="248" t="n">
        <v>420</v>
      </c>
      <c r="H126" s="248" t="n">
        <v>441</v>
      </c>
      <c r="I126" s="244" t="inlineStr">
        <is>
          <t>Megametales</t>
        </is>
      </c>
      <c r="J126" s="248" t="n">
        <v>453.6</v>
      </c>
      <c r="K126" s="244" t="inlineStr">
        <is>
          <t>Kywi / Megakywi</t>
        </is>
      </c>
      <c r="L126" s="249">
        <f>F126*G126</f>
        <v/>
      </c>
      <c r="M126" s="250" t="inlineStr">
        <is>
          <t>DI-D50-PAN-FACP-CON-08Z</t>
        </is>
      </c>
      <c r="N126" s="244" t="inlineStr">
        <is>
          <t>Detección y alarma de incendios</t>
        </is>
      </c>
      <c r="O126" s="244" t="inlineStr">
        <is>
          <t>Estimado DION · criterio de mercado Guayaquil 2026 (no verificado en tienda)</t>
        </is>
      </c>
      <c r="P126" s="244" t="inlineStr">
        <is>
          <t>oct-2026 (est.)</t>
        </is>
      </c>
      <c r="Q126" s="244" t="n"/>
    </row>
    <row r="127">
      <c r="A127" s="18" t="n">
        <v>107</v>
      </c>
      <c r="B127" s="19" t="inlineStr">
        <is>
          <t xml:space="preserve">        Panel de Alarma Direccionable 1 Lazo</t>
        </is>
      </c>
      <c r="C127" s="20" t="inlineStr">
        <is>
          <t>Residencial / Comercial / Ind</t>
        </is>
      </c>
      <c r="D127" s="18" t="inlineStr">
        <is>
          <t>Paneles</t>
        </is>
      </c>
      <c r="E127" s="18" t="inlineStr">
        <is>
          <t>U</t>
        </is>
      </c>
      <c r="F127" s="21" t="n">
        <v>0</v>
      </c>
      <c r="G127" s="22" t="n">
        <v>1650</v>
      </c>
      <c r="H127" s="22" t="n">
        <v>1699.5</v>
      </c>
      <c r="I127" s="18" t="inlineStr">
        <is>
          <t>Megametales</t>
        </is>
      </c>
      <c r="J127" s="22" t="n">
        <v>1782</v>
      </c>
      <c r="K127" s="18" t="inlineStr">
        <is>
          <t>Kywi / Megakywi</t>
        </is>
      </c>
      <c r="L127" s="8">
        <f>F127*G127</f>
        <v/>
      </c>
      <c r="M127" s="145" t="inlineStr">
        <is>
          <t>DI-D50-PAN-FACP-DIR-1L</t>
        </is>
      </c>
      <c r="N127" s="18" t="inlineStr">
        <is>
          <t>Detección y alarma de incendios</t>
        </is>
      </c>
      <c r="O127" s="18" t="inlineStr">
        <is>
          <t>Estimado DION · criterio de mercado Guayaquil 2026 (no verificado en tienda)</t>
        </is>
      </c>
      <c r="P127" s="18" t="inlineStr">
        <is>
          <t>oct-2026 (est.)</t>
        </is>
      </c>
      <c r="Q127" s="18" t="n"/>
    </row>
    <row r="128">
      <c r="A128" s="244" t="n">
        <v>108</v>
      </c>
      <c r="B128" s="245" t="inlineStr">
        <is>
          <t xml:space="preserve">        Panel de Alarma Direccionable 2 Lazos</t>
        </is>
      </c>
      <c r="C128" s="246" t="inlineStr">
        <is>
          <t>Residencial / Comercial / Ind</t>
        </is>
      </c>
      <c r="D128" s="244" t="inlineStr">
        <is>
          <t>Paneles</t>
        </is>
      </c>
      <c r="E128" s="244" t="inlineStr">
        <is>
          <t>U</t>
        </is>
      </c>
      <c r="F128" s="247" t="n">
        <v>0</v>
      </c>
      <c r="G128" s="248" t="n">
        <v>2600</v>
      </c>
      <c r="H128" s="248" t="n">
        <v>2678</v>
      </c>
      <c r="I128" s="244" t="inlineStr">
        <is>
          <t>Megametales</t>
        </is>
      </c>
      <c r="J128" s="248" t="n">
        <v>2834</v>
      </c>
      <c r="K128" s="244" t="inlineStr">
        <is>
          <t>Kywi / Megakywi</t>
        </is>
      </c>
      <c r="L128" s="249">
        <f>F128*G128</f>
        <v/>
      </c>
      <c r="M128" s="250" t="inlineStr">
        <is>
          <t>DI-D50-PAN-FACP-DIR-2L</t>
        </is>
      </c>
      <c r="N128" s="244" t="inlineStr">
        <is>
          <t>Detección y alarma de incendios</t>
        </is>
      </c>
      <c r="O128" s="244" t="inlineStr">
        <is>
          <t>Estimado DION · criterio de mercado Guayaquil 2026 (no verificado en tienda)</t>
        </is>
      </c>
      <c r="P128" s="244" t="inlineStr">
        <is>
          <t>oct-2026 (est.)</t>
        </is>
      </c>
      <c r="Q128" s="244" t="n"/>
    </row>
    <row r="129">
      <c r="A129" s="18" t="n">
        <v>109</v>
      </c>
      <c r="B129" s="19" t="inlineStr">
        <is>
          <t xml:space="preserve">        Módulo Monitor Direccionable</t>
        </is>
      </c>
      <c r="C129" s="20" t="inlineStr">
        <is>
          <t>Residencial / Comercial / Ind</t>
        </is>
      </c>
      <c r="D129" s="18" t="inlineStr">
        <is>
          <t>Módulos</t>
        </is>
      </c>
      <c r="E129" s="18" t="inlineStr">
        <is>
          <t>U</t>
        </is>
      </c>
      <c r="F129" s="21" t="n">
        <v>4</v>
      </c>
      <c r="G129" s="22" t="n">
        <v>42</v>
      </c>
      <c r="H129" s="22" t="n">
        <v>43.26</v>
      </c>
      <c r="I129" s="18" t="inlineStr">
        <is>
          <t>Megametales</t>
        </is>
      </c>
      <c r="J129" s="22" t="n">
        <v>46.2</v>
      </c>
      <c r="K129" s="18" t="inlineStr">
        <is>
          <t>Kywi / Megakywi</t>
        </is>
      </c>
      <c r="L129" s="8">
        <f>F129*G129</f>
        <v/>
      </c>
      <c r="M129" s="145" t="inlineStr">
        <is>
          <t>DI-D50-PAN-MOD-MON</t>
        </is>
      </c>
      <c r="N129" s="18" t="inlineStr">
        <is>
          <t>Detección y alarma de incendios</t>
        </is>
      </c>
      <c r="O129" s="18" t="inlineStr">
        <is>
          <t>Estimado DION · criterio de mercado Guayaquil 2026 (no verificado en tienda)</t>
        </is>
      </c>
      <c r="P129" s="18" t="inlineStr">
        <is>
          <t>oct-2026 (est.)</t>
        </is>
      </c>
      <c r="Q129" s="18" t="n"/>
    </row>
    <row r="130">
      <c r="A130" s="244" t="n">
        <v>110</v>
      </c>
      <c r="B130" s="245" t="inlineStr">
        <is>
          <t xml:space="preserve">        Módulo de Control / Relé Direccionable</t>
        </is>
      </c>
      <c r="C130" s="246" t="inlineStr">
        <is>
          <t>Residencial / Comercial / Ind</t>
        </is>
      </c>
      <c r="D130" s="244" t="inlineStr">
        <is>
          <t>Módulos</t>
        </is>
      </c>
      <c r="E130" s="244" t="inlineStr">
        <is>
          <t>U</t>
        </is>
      </c>
      <c r="F130" s="247" t="n">
        <v>4</v>
      </c>
      <c r="G130" s="248" t="n">
        <v>48</v>
      </c>
      <c r="H130" s="248" t="n">
        <v>48.96</v>
      </c>
      <c r="I130" s="244" t="inlineStr">
        <is>
          <t>Megametales</t>
        </is>
      </c>
      <c r="J130" s="248" t="n">
        <v>51.84</v>
      </c>
      <c r="K130" s="244" t="inlineStr">
        <is>
          <t>Kywi / Megakywi</t>
        </is>
      </c>
      <c r="L130" s="249">
        <f>F130*G130</f>
        <v/>
      </c>
      <c r="M130" s="250" t="inlineStr">
        <is>
          <t>DI-D50-PAN-MOD-CTL</t>
        </is>
      </c>
      <c r="N130" s="244" t="inlineStr">
        <is>
          <t>Detección y alarma de incendios</t>
        </is>
      </c>
      <c r="O130" s="244" t="inlineStr">
        <is>
          <t>Estimado DION · criterio de mercado Guayaquil 2026 (no verificado en tienda)</t>
        </is>
      </c>
      <c r="P130" s="244" t="inlineStr">
        <is>
          <t>oct-2026 (est.)</t>
        </is>
      </c>
      <c r="Q130" s="244" t="n"/>
    </row>
    <row r="131">
      <c r="A131" s="18" t="n">
        <v>111</v>
      </c>
      <c r="B131" s="19" t="inlineStr">
        <is>
          <t xml:space="preserve">        Módulo Aislador de Lazo</t>
        </is>
      </c>
      <c r="C131" s="20" t="inlineStr">
        <is>
          <t>Residencial / Comercial / Ind</t>
        </is>
      </c>
      <c r="D131" s="18" t="inlineStr">
        <is>
          <t>Módulos</t>
        </is>
      </c>
      <c r="E131" s="18" t="inlineStr">
        <is>
          <t>U</t>
        </is>
      </c>
      <c r="F131" s="21" t="n">
        <v>2</v>
      </c>
      <c r="G131" s="22" t="n">
        <v>38</v>
      </c>
      <c r="H131" s="22" t="n">
        <v>39.9</v>
      </c>
      <c r="I131" s="18" t="inlineStr">
        <is>
          <t>Megametales</t>
        </is>
      </c>
      <c r="J131" s="22" t="n">
        <v>41.8</v>
      </c>
      <c r="K131" s="18" t="inlineStr">
        <is>
          <t>Kywi / Megakywi</t>
        </is>
      </c>
      <c r="L131" s="8">
        <f>F131*G131</f>
        <v/>
      </c>
      <c r="M131" s="145" t="inlineStr">
        <is>
          <t>DI-D50-PAN-MOD-AIS</t>
        </is>
      </c>
      <c r="N131" s="18" t="inlineStr">
        <is>
          <t>Detección y alarma de incendios</t>
        </is>
      </c>
      <c r="O131" s="18" t="inlineStr">
        <is>
          <t>Estimado DION · criterio de mercado Guayaquil 2026 (no verificado en tienda)</t>
        </is>
      </c>
      <c r="P131" s="18" t="inlineStr">
        <is>
          <t>oct-2026 (est.)</t>
        </is>
      </c>
      <c r="Q131" s="18" t="n"/>
    </row>
    <row r="132">
      <c r="A132" s="244" t="n">
        <v>112</v>
      </c>
      <c r="B132" s="245" t="inlineStr">
        <is>
          <t xml:space="preserve">        Anunciador Remoto LCD</t>
        </is>
      </c>
      <c r="C132" s="246" t="inlineStr">
        <is>
          <t>Residencial / Comercial / Ind</t>
        </is>
      </c>
      <c r="D132" s="244" t="inlineStr">
        <is>
          <t>Anunciadores</t>
        </is>
      </c>
      <c r="E132" s="244" t="inlineStr">
        <is>
          <t>U</t>
        </is>
      </c>
      <c r="F132" s="247" t="n">
        <v>0</v>
      </c>
      <c r="G132" s="248" t="n">
        <v>620</v>
      </c>
      <c r="H132" s="248" t="n">
        <v>638.6</v>
      </c>
      <c r="I132" s="244" t="inlineStr">
        <is>
          <t>Megametales</t>
        </is>
      </c>
      <c r="J132" s="248" t="n">
        <v>688.2</v>
      </c>
      <c r="K132" s="244" t="inlineStr">
        <is>
          <t>Kywi / Megakywi</t>
        </is>
      </c>
      <c r="L132" s="249">
        <f>F132*G132</f>
        <v/>
      </c>
      <c r="M132" s="250" t="inlineStr">
        <is>
          <t>DI-D50-PAN-ANU-REM</t>
        </is>
      </c>
      <c r="N132" s="244" t="inlineStr">
        <is>
          <t>Detección y alarma de incendios</t>
        </is>
      </c>
      <c r="O132" s="244" t="inlineStr">
        <is>
          <t>Estimado DION · criterio de mercado Guayaquil 2026 (no verificado en tienda)</t>
        </is>
      </c>
      <c r="P132" s="244" t="inlineStr">
        <is>
          <t>oct-2026 (est.)</t>
        </is>
      </c>
      <c r="Q132" s="244" t="n"/>
    </row>
    <row r="133">
      <c r="A133" s="18" t="n">
        <v>113</v>
      </c>
      <c r="B133" s="19" t="inlineStr">
        <is>
          <t xml:space="preserve">        Fuente de Poder NAC 6 A</t>
        </is>
      </c>
      <c r="C133" s="20" t="inlineStr">
        <is>
          <t>Residencial / Comercial / Ind</t>
        </is>
      </c>
      <c r="D133" s="18" t="inlineStr">
        <is>
          <t>Fuentes</t>
        </is>
      </c>
      <c r="E133" s="18" t="inlineStr">
        <is>
          <t>U</t>
        </is>
      </c>
      <c r="F133" s="21" t="n">
        <v>1</v>
      </c>
      <c r="G133" s="22" t="n">
        <v>320</v>
      </c>
      <c r="H133" s="22" t="n">
        <v>332.8</v>
      </c>
      <c r="I133" s="18" t="inlineStr">
        <is>
          <t>Megametales</t>
        </is>
      </c>
      <c r="J133" s="22" t="n">
        <v>342.4</v>
      </c>
      <c r="K133" s="18" t="inlineStr">
        <is>
          <t>Kywi / Megakywi</t>
        </is>
      </c>
      <c r="L133" s="8">
        <f>F133*G133</f>
        <v/>
      </c>
      <c r="M133" s="145" t="inlineStr">
        <is>
          <t>DI-D50-PAN-FUE-NAC</t>
        </is>
      </c>
      <c r="N133" s="18" t="inlineStr">
        <is>
          <t>Detección y alarma de incendios</t>
        </is>
      </c>
      <c r="O133" s="18" t="inlineStr">
        <is>
          <t>Estimado DION · criterio de mercado Guayaquil 2026 (no verificado en tienda)</t>
        </is>
      </c>
      <c r="P133" s="18" t="inlineStr">
        <is>
          <t>oct-2026 (est.)</t>
        </is>
      </c>
      <c r="Q133" s="18" t="n"/>
    </row>
    <row r="134">
      <c r="A134" s="244" t="n">
        <v>114</v>
      </c>
      <c r="B134" s="245" t="inlineStr">
        <is>
          <t xml:space="preserve">        Panel de Evacuación por Voz</t>
        </is>
      </c>
      <c r="C134" s="246" t="inlineStr">
        <is>
          <t>Residencial / Comercial / Ind</t>
        </is>
      </c>
      <c r="D134" s="244" t="inlineStr">
        <is>
          <t>Paneles</t>
        </is>
      </c>
      <c r="E134" s="244" t="inlineStr">
        <is>
          <t>U</t>
        </is>
      </c>
      <c r="F134" s="247" t="n">
        <v>0</v>
      </c>
      <c r="G134" s="248" t="n">
        <v>2800</v>
      </c>
      <c r="H134" s="248" t="n">
        <v>2940</v>
      </c>
      <c r="I134" s="244" t="inlineStr">
        <is>
          <t>Megametales</t>
        </is>
      </c>
      <c r="J134" s="248" t="n">
        <v>3080</v>
      </c>
      <c r="K134" s="244" t="inlineStr">
        <is>
          <t>Kywi / Megakywi</t>
        </is>
      </c>
      <c r="L134" s="249">
        <f>F134*G134</f>
        <v/>
      </c>
      <c r="M134" s="250" t="inlineStr">
        <is>
          <t>DI-D50-PAN-PAN-VOZ</t>
        </is>
      </c>
      <c r="N134" s="244" t="inlineStr">
        <is>
          <t>Detección y alarma de incendios</t>
        </is>
      </c>
      <c r="O134" s="244" t="inlineStr">
        <is>
          <t>Estimado DION · criterio de mercado Guayaquil 2026 (no verificado en tienda)</t>
        </is>
      </c>
      <c r="P134" s="244" t="inlineStr">
        <is>
          <t>oct-2026 (est.)</t>
        </is>
      </c>
      <c r="Q134" s="244" t="n"/>
    </row>
    <row r="135">
      <c r="A135" s="10" t="n"/>
      <c r="B135" s="147" t="inlineStr">
        <is>
          <t>TOTAL BASE DE DATOS SISTEMA CONTRA INCENDIOS (ESTIMADO)</t>
        </is>
      </c>
      <c r="C135" s="148" t="n"/>
      <c r="D135" s="148" t="n"/>
      <c r="E135" s="148" t="n"/>
      <c r="F135" s="148" t="n"/>
      <c r="G135" s="148" t="n"/>
      <c r="H135" s="148" t="n"/>
      <c r="I135" s="148" t="n"/>
      <c r="J135" s="148" t="n"/>
      <c r="K135" s="148" t="n"/>
      <c r="L135" s="30">
        <f>SUM(L6:L134)</f>
        <v/>
      </c>
      <c r="M135" s="30" t="n"/>
      <c r="N135" s="30" t="n"/>
      <c r="O135" s="30" t="n"/>
      <c r="P135" s="30" t="n"/>
      <c r="Q135" s="30" t="n"/>
    </row>
  </sheetData>
  <mergeCells count="16">
    <mergeCell ref="A8:Q8"/>
    <mergeCell ref="A61:Q61"/>
    <mergeCell ref="A6:Q6"/>
    <mergeCell ref="A27:Q27"/>
    <mergeCell ref="A100:Q100"/>
    <mergeCell ref="A29:Q29"/>
    <mergeCell ref="A7:Q7"/>
    <mergeCell ref="A48:Q48"/>
    <mergeCell ref="A62:Q62"/>
    <mergeCell ref="B135:K135"/>
    <mergeCell ref="A99:Q99"/>
    <mergeCell ref="A28:Q28"/>
    <mergeCell ref="A98:Q98"/>
    <mergeCell ref="A63:Q63"/>
    <mergeCell ref="A47:Q47"/>
    <mergeCell ref="A46:Q46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1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8" customWidth="1" min="2" max="2"/>
    <col width="30" customWidth="1" min="3" max="3"/>
    <col width="32" customWidth="1" min="4" max="4"/>
    <col width="8" customWidth="1" min="5" max="5"/>
    <col width="10" customWidth="1" min="6" max="6"/>
    <col width="15" customWidth="1" min="7" max="7"/>
    <col width="16" customWidth="1" min="8" max="8"/>
    <col width="22" customWidth="1" min="9" max="9"/>
    <col width="16" customWidth="1" min="10" max="10"/>
    <col width="20" customWidth="1" min="11" max="11"/>
    <col width="16" customWidth="1" min="12" max="12"/>
    <col width="27" customWidth="1" min="13" max="13"/>
    <col width="30" customWidth="1" min="14" max="14"/>
    <col width="44" customWidth="1" min="15" max="15"/>
    <col width="15" customWidth="1" min="16" max="16"/>
    <col width="14" customWidth="1" min="17" max="17"/>
  </cols>
  <sheetData>
    <row r="1">
      <c r="A1" s="1" t="inlineStr">
        <is>
          <t>BASE DE DATOS COMPLETA DE CATALOGACIÓN: HVAC Y CLIMATIZACIÓN</t>
        </is>
      </c>
    </row>
    <row r="2">
      <c r="A2" s="2" t="inlineStr">
        <is>
          <t>Estructura Jerárquica Homogénea: Accesorios &gt; Tuberías &gt; Equipos &gt; Conexiones &gt; Equipos Especializados | Degradé por Niveles (Ecuador - USD)</t>
        </is>
      </c>
    </row>
    <row r="3">
      <c r="A3" s="13" t="inlineStr">
        <is>
          <t>« Volver al Índice General</t>
        </is>
      </c>
    </row>
    <row r="5" ht="30" customHeight="1">
      <c r="A5" s="4" t="inlineStr">
        <is>
          <t>Item</t>
        </is>
      </c>
      <c r="B5" s="4" t="inlineStr">
        <is>
          <t>Descripción de Accesorio / Ítem Especificado</t>
        </is>
      </c>
      <c r="C5" s="4" t="inlineStr">
        <is>
          <t>Clasificación / Ámbito de Uso
(Residencial/Comercial/Industrial)</t>
        </is>
      </c>
      <c r="D5" s="4" t="inlineStr">
        <is>
          <t>Tipo / Familia</t>
        </is>
      </c>
      <c r="E5" s="4" t="inlineStr">
        <is>
          <t>Unidad</t>
        </is>
      </c>
      <c r="F5" s="4" t="inlineStr">
        <is>
          <t>Cant.</t>
        </is>
      </c>
      <c r="G5" s="4" t="inlineStr">
        <is>
          <t>P. Ref. Est. ($)</t>
        </is>
      </c>
      <c r="H5" s="4" t="inlineStr">
        <is>
          <t>P. Unit. Local A ($)
(Megametales)</t>
        </is>
      </c>
      <c r="I5" s="4" t="inlineStr">
        <is>
          <t>Local A
Especificado</t>
        </is>
      </c>
      <c r="J5" s="4" t="inlineStr">
        <is>
          <t>P. Unit. Local B ($)
(Kywi / Megakywi)</t>
        </is>
      </c>
      <c r="K5" s="4" t="inlineStr">
        <is>
          <t>Local B
Especificado</t>
        </is>
      </c>
      <c r="L5" s="4" t="inlineStr">
        <is>
          <t>Subtotal Est. ($)</t>
        </is>
      </c>
      <c r="M5" s="4" t="inlineStr">
        <is>
          <t>Código DION</t>
        </is>
      </c>
      <c r="N5" s="4" t="inlineStr">
        <is>
          <t>Disciplina</t>
        </is>
      </c>
      <c r="O5" s="4" t="inlineStr">
        <is>
          <t>Fuente del precio</t>
        </is>
      </c>
      <c r="P5" s="4" t="inlineStr">
        <is>
          <t>Fecha precio</t>
        </is>
      </c>
      <c r="Q5" s="4" t="inlineStr">
        <is>
          <t>Rendimiento /
desperdicio %</t>
        </is>
      </c>
    </row>
    <row r="6">
      <c r="A6" s="251" t="inlineStr">
        <is>
          <t>ACCESORIOS</t>
        </is>
      </c>
      <c r="B6" s="143" t="n"/>
      <c r="C6" s="143" t="n"/>
      <c r="D6" s="143" t="n"/>
      <c r="E6" s="143" t="n"/>
      <c r="F6" s="143" t="n"/>
      <c r="G6" s="143" t="n"/>
      <c r="H6" s="143" t="n"/>
      <c r="I6" s="143" t="n"/>
      <c r="J6" s="143" t="n"/>
      <c r="K6" s="143" t="n"/>
      <c r="L6" s="143" t="n"/>
      <c r="M6" s="143" t="n"/>
      <c r="N6" s="143" t="n"/>
      <c r="O6" s="143" t="n"/>
      <c r="P6" s="143" t="n"/>
      <c r="Q6" s="144" t="n"/>
    </row>
    <row r="7">
      <c r="A7" s="252" t="inlineStr">
        <is>
          <t xml:space="preserve">  ► CATEGORÍA: INSUMOS DE INSTALACIÓN HVAC</t>
        </is>
      </c>
      <c r="B7" s="143" t="n"/>
      <c r="C7" s="143" t="n"/>
      <c r="D7" s="143" t="n"/>
      <c r="E7" s="143" t="n"/>
      <c r="F7" s="143" t="n"/>
      <c r="G7" s="143" t="n"/>
      <c r="H7" s="143" t="n"/>
      <c r="I7" s="143" t="n"/>
      <c r="J7" s="143" t="n"/>
      <c r="K7" s="143" t="n"/>
      <c r="L7" s="143" t="n"/>
      <c r="M7" s="143" t="n"/>
      <c r="N7" s="143" t="n"/>
      <c r="O7" s="143" t="n"/>
      <c r="P7" s="143" t="n"/>
      <c r="Q7" s="144" t="n"/>
    </row>
    <row r="8">
      <c r="A8" s="253" t="inlineStr">
        <is>
          <t xml:space="preserve">      • Subcategoría Especificada: Refrigerante, Aislamiento, Soportes, Drenaje y Consumibles</t>
        </is>
      </c>
      <c r="B8" s="143" t="n"/>
      <c r="C8" s="143" t="n"/>
      <c r="D8" s="143" t="n"/>
      <c r="E8" s="143" t="n"/>
      <c r="F8" s="143" t="n"/>
      <c r="G8" s="143" t="n"/>
      <c r="H8" s="143" t="n"/>
      <c r="I8" s="143" t="n"/>
      <c r="J8" s="143" t="n"/>
      <c r="K8" s="143" t="n"/>
      <c r="L8" s="143" t="n"/>
      <c r="M8" s="143" t="n"/>
      <c r="N8" s="143" t="n"/>
      <c r="O8" s="143" t="n"/>
      <c r="P8" s="143" t="n"/>
      <c r="Q8" s="144" t="n"/>
    </row>
    <row r="9">
      <c r="A9" s="18" t="n">
        <v>1</v>
      </c>
      <c r="B9" s="19" t="inlineStr">
        <is>
          <t xml:space="preserve">        Gas Refrigerante R-410A (Cilindro 11.3 kg)</t>
        </is>
      </c>
      <c r="C9" s="20" t="inlineStr">
        <is>
          <t>Residencial / Comercial / Ind</t>
        </is>
      </c>
      <c r="D9" s="18" t="inlineStr">
        <is>
          <t>Refrigerantes</t>
        </is>
      </c>
      <c r="E9" s="18" t="inlineStr">
        <is>
          <t>U</t>
        </is>
      </c>
      <c r="F9" s="21" t="n">
        <v>1</v>
      </c>
      <c r="G9" s="22" t="n">
        <v>120</v>
      </c>
      <c r="H9" s="22" t="n">
        <v>123.6</v>
      </c>
      <c r="I9" s="18" t="inlineStr">
        <is>
          <t>Megametales</t>
        </is>
      </c>
      <c r="J9" s="22" t="n">
        <v>130.8</v>
      </c>
      <c r="K9" s="18" t="inlineStr">
        <is>
          <t>Kywi / Megakywi</t>
        </is>
      </c>
      <c r="L9" s="8">
        <f>F9*G9</f>
        <v/>
      </c>
      <c r="M9" s="145" t="inlineStr">
        <is>
          <t>MEC-D30-INS-R410A</t>
        </is>
      </c>
      <c r="N9" s="18" t="inlineStr">
        <is>
          <t>Mecánicas: climatización y ventilación (HVAC)</t>
        </is>
      </c>
      <c r="O9" s="18" t="inlineStr">
        <is>
          <t>Estimado DION · criterio de mercado Guayaquil 2026 (no verificado en tienda)</t>
        </is>
      </c>
      <c r="P9" s="18" t="inlineStr">
        <is>
          <t>oct-2026 (est.)</t>
        </is>
      </c>
      <c r="Q9" s="18" t="n"/>
    </row>
    <row r="10">
      <c r="A10" s="254" t="n">
        <v>2</v>
      </c>
      <c r="B10" s="255" t="inlineStr">
        <is>
          <t xml:space="preserve">        Gas Refrigerante R-32 (Cilindro 9 kg)</t>
        </is>
      </c>
      <c r="C10" s="256" t="inlineStr">
        <is>
          <t>Residencial / Comercial / Ind</t>
        </is>
      </c>
      <c r="D10" s="254" t="inlineStr">
        <is>
          <t>Refrigerantes</t>
        </is>
      </c>
      <c r="E10" s="254" t="inlineStr">
        <is>
          <t>U</t>
        </is>
      </c>
      <c r="F10" s="257" t="n">
        <v>1</v>
      </c>
      <c r="G10" s="258" t="n">
        <v>95</v>
      </c>
      <c r="H10" s="258" t="n">
        <v>96.90000000000001</v>
      </c>
      <c r="I10" s="254" t="inlineStr">
        <is>
          <t>Megametales</t>
        </is>
      </c>
      <c r="J10" s="258" t="n">
        <v>103.55</v>
      </c>
      <c r="K10" s="254" t="inlineStr">
        <is>
          <t>Kywi / Megakywi</t>
        </is>
      </c>
      <c r="L10" s="259">
        <f>F10*G10</f>
        <v/>
      </c>
      <c r="M10" s="260" t="inlineStr">
        <is>
          <t>MEC-D30-INS-R32</t>
        </is>
      </c>
      <c r="N10" s="254" t="inlineStr">
        <is>
          <t>Mecánicas: climatización y ventilación (HVAC)</t>
        </is>
      </c>
      <c r="O10" s="254" t="inlineStr">
        <is>
          <t>Estimado DION · criterio de mercado Guayaquil 2026 (no verificado en tienda)</t>
        </is>
      </c>
      <c r="P10" s="254" t="inlineStr">
        <is>
          <t>oct-2026 (est.)</t>
        </is>
      </c>
      <c r="Q10" s="254" t="n"/>
    </row>
    <row r="11">
      <c r="A11" s="18" t="n">
        <v>3</v>
      </c>
      <c r="B11" s="19" t="inlineStr">
        <is>
          <t xml:space="preserve">        Aislamiento Elastomérico Tubo ⅜" e=13 mm (m)</t>
        </is>
      </c>
      <c r="C11" s="20" t="inlineStr">
        <is>
          <t>Residencial / Comercial / Ind</t>
        </is>
      </c>
      <c r="D11" s="18" t="inlineStr">
        <is>
          <t>Aislamientos</t>
        </is>
      </c>
      <c r="E11" s="18" t="inlineStr">
        <is>
          <t>m</t>
        </is>
      </c>
      <c r="F11" s="21" t="n">
        <v>20</v>
      </c>
      <c r="G11" s="22" t="n">
        <v>0.95</v>
      </c>
      <c r="H11" s="22" t="n">
        <v>0.99</v>
      </c>
      <c r="I11" s="18" t="inlineStr">
        <is>
          <t>Megametales</t>
        </is>
      </c>
      <c r="J11" s="22" t="n">
        <v>1.04</v>
      </c>
      <c r="K11" s="18" t="inlineStr">
        <is>
          <t>Kywi / Megakywi</t>
        </is>
      </c>
      <c r="L11" s="8">
        <f>F11*G11</f>
        <v/>
      </c>
      <c r="M11" s="145" t="inlineStr">
        <is>
          <t>MEC-D30-INS-AIS-38</t>
        </is>
      </c>
      <c r="N11" s="18" t="inlineStr">
        <is>
          <t>Mecánicas: climatización y ventilación (HVAC)</t>
        </is>
      </c>
      <c r="O11" s="18" t="inlineStr">
        <is>
          <t>Estimado DION · criterio de mercado Guayaquil 2026 (no verificado en tienda)</t>
        </is>
      </c>
      <c r="P11" s="18" t="inlineStr">
        <is>
          <t>oct-2026 (est.)</t>
        </is>
      </c>
      <c r="Q11" s="18" t="n">
        <v>5</v>
      </c>
    </row>
    <row r="12">
      <c r="A12" s="254" t="n">
        <v>4</v>
      </c>
      <c r="B12" s="255" t="inlineStr">
        <is>
          <t xml:space="preserve">        Aislamiento Elastomérico Tubo ⅝" (m)</t>
        </is>
      </c>
      <c r="C12" s="256" t="inlineStr">
        <is>
          <t>Residencial / Comercial / Ind</t>
        </is>
      </c>
      <c r="D12" s="254" t="inlineStr">
        <is>
          <t>Aislamientos</t>
        </is>
      </c>
      <c r="E12" s="254" t="inlineStr">
        <is>
          <t>m</t>
        </is>
      </c>
      <c r="F12" s="257" t="n">
        <v>20</v>
      </c>
      <c r="G12" s="258" t="n">
        <v>1.25</v>
      </c>
      <c r="H12" s="258" t="n">
        <v>1.31</v>
      </c>
      <c r="I12" s="254" t="inlineStr">
        <is>
          <t>Megametales</t>
        </is>
      </c>
      <c r="J12" s="258" t="n">
        <v>1.39</v>
      </c>
      <c r="K12" s="254" t="inlineStr">
        <is>
          <t>Kywi / Megakywi</t>
        </is>
      </c>
      <c r="L12" s="259">
        <f>F12*G12</f>
        <v/>
      </c>
      <c r="M12" s="260" t="inlineStr">
        <is>
          <t>MEC-D30-INS-AIS-58</t>
        </is>
      </c>
      <c r="N12" s="254" t="inlineStr">
        <is>
          <t>Mecánicas: climatización y ventilación (HVAC)</t>
        </is>
      </c>
      <c r="O12" s="254" t="inlineStr">
        <is>
          <t>Estimado DION · criterio de mercado Guayaquil 2026 (no verificado en tienda)</t>
        </is>
      </c>
      <c r="P12" s="254" t="inlineStr">
        <is>
          <t>oct-2026 (est.)</t>
        </is>
      </c>
      <c r="Q12" s="254" t="n">
        <v>5</v>
      </c>
    </row>
    <row r="13">
      <c r="A13" s="18" t="n">
        <v>5</v>
      </c>
      <c r="B13" s="19" t="inlineStr">
        <is>
          <t xml:space="preserve">        Plancha Elastomérica 19 mm para Ducto (m²)</t>
        </is>
      </c>
      <c r="C13" s="20" t="inlineStr">
        <is>
          <t>Residencial / Comercial / Ind</t>
        </is>
      </c>
      <c r="D13" s="18" t="inlineStr">
        <is>
          <t>Aislamientos</t>
        </is>
      </c>
      <c r="E13" s="18" t="inlineStr">
        <is>
          <t>m2</t>
        </is>
      </c>
      <c r="F13" s="21" t="n">
        <v>10</v>
      </c>
      <c r="G13" s="22" t="n">
        <v>14</v>
      </c>
      <c r="H13" s="22" t="n">
        <v>14.28</v>
      </c>
      <c r="I13" s="18" t="inlineStr">
        <is>
          <t>Megametales</t>
        </is>
      </c>
      <c r="J13" s="22" t="n">
        <v>15.26</v>
      </c>
      <c r="K13" s="18" t="inlineStr">
        <is>
          <t>Kywi / Megakywi</t>
        </is>
      </c>
      <c r="L13" s="8">
        <f>F13*G13</f>
        <v/>
      </c>
      <c r="M13" s="145" t="inlineStr">
        <is>
          <t>MEC-D30-INS-AIS-PLA</t>
        </is>
      </c>
      <c r="N13" s="18" t="inlineStr">
        <is>
          <t>Mecánicas: climatización y ventilación (HVAC)</t>
        </is>
      </c>
      <c r="O13" s="18" t="inlineStr">
        <is>
          <t>Estimado DION · criterio de mercado Guayaquil 2026 (no verificado en tienda)</t>
        </is>
      </c>
      <c r="P13" s="18" t="inlineStr">
        <is>
          <t>oct-2026 (est.)</t>
        </is>
      </c>
      <c r="Q13" s="18" t="n">
        <v>8</v>
      </c>
    </row>
    <row r="14">
      <c r="A14" s="254" t="n">
        <v>6</v>
      </c>
      <c r="B14" s="255" t="inlineStr">
        <is>
          <t xml:space="preserve">        Lana de Vidrio con Foil para Ducto 1½" (m²)</t>
        </is>
      </c>
      <c r="C14" s="256" t="inlineStr">
        <is>
          <t>Residencial / Comercial / Ind</t>
        </is>
      </c>
      <c r="D14" s="254" t="inlineStr">
        <is>
          <t>Aislamientos</t>
        </is>
      </c>
      <c r="E14" s="254" t="inlineStr">
        <is>
          <t>m2</t>
        </is>
      </c>
      <c r="F14" s="257" t="n">
        <v>30</v>
      </c>
      <c r="G14" s="258" t="n">
        <v>3.8</v>
      </c>
      <c r="H14" s="258" t="n">
        <v>3.99</v>
      </c>
      <c r="I14" s="254" t="inlineStr">
        <is>
          <t>Megametales</t>
        </is>
      </c>
      <c r="J14" s="258" t="n">
        <v>4.22</v>
      </c>
      <c r="K14" s="254" t="inlineStr">
        <is>
          <t>Kywi / Megakywi</t>
        </is>
      </c>
      <c r="L14" s="259">
        <f>F14*G14</f>
        <v/>
      </c>
      <c r="M14" s="260" t="inlineStr">
        <is>
          <t>MEC-D30-INS-LAN-DUC</t>
        </is>
      </c>
      <c r="N14" s="254" t="inlineStr">
        <is>
          <t>Mecánicas: climatización y ventilación (HVAC)</t>
        </is>
      </c>
      <c r="O14" s="254" t="inlineStr">
        <is>
          <t>Estimado DION · criterio de mercado Guayaquil 2026 (no verificado en tienda)</t>
        </is>
      </c>
      <c r="P14" s="254" t="inlineStr">
        <is>
          <t>oct-2026 (est.)</t>
        </is>
      </c>
      <c r="Q14" s="254" t="n">
        <v>8</v>
      </c>
    </row>
    <row r="15">
      <c r="A15" s="18" t="n">
        <v>7</v>
      </c>
      <c r="B15" s="19" t="inlineStr">
        <is>
          <t xml:space="preserve">        Soporte Mensula para Condensadora 18-36K (Par)</t>
        </is>
      </c>
      <c r="C15" s="20" t="inlineStr">
        <is>
          <t>Residencial / Comercial / Ind</t>
        </is>
      </c>
      <c r="D15" s="18" t="inlineStr">
        <is>
          <t>Soportes</t>
        </is>
      </c>
      <c r="E15" s="18" t="inlineStr">
        <is>
          <t>Par</t>
        </is>
      </c>
      <c r="F15" s="21" t="n">
        <v>2</v>
      </c>
      <c r="G15" s="22" t="n">
        <v>18</v>
      </c>
      <c r="H15" s="22" t="n">
        <v>18.54</v>
      </c>
      <c r="I15" s="18" t="inlineStr">
        <is>
          <t>Megametales</t>
        </is>
      </c>
      <c r="J15" s="22" t="n">
        <v>19.98</v>
      </c>
      <c r="K15" s="18" t="inlineStr">
        <is>
          <t>Kywi / Megakywi</t>
        </is>
      </c>
      <c r="L15" s="8">
        <f>F15*G15</f>
        <v/>
      </c>
      <c r="M15" s="145" t="inlineStr">
        <is>
          <t>MEC-D30-INS-SOP-COD</t>
        </is>
      </c>
      <c r="N15" s="18" t="inlineStr">
        <is>
          <t>Mecánicas: climatización y ventilación (HVAC)</t>
        </is>
      </c>
      <c r="O15" s="18" t="inlineStr">
        <is>
          <t>Estimado DION · criterio de mercado Guayaquil 2026 (no verificado en tienda)</t>
        </is>
      </c>
      <c r="P15" s="18" t="inlineStr">
        <is>
          <t>oct-2026 (est.)</t>
        </is>
      </c>
      <c r="Q15" s="18" t="n"/>
    </row>
    <row r="16">
      <c r="A16" s="254" t="n">
        <v>8</v>
      </c>
      <c r="B16" s="255" t="inlineStr">
        <is>
          <t xml:space="preserve">        Base Antivibratoria de Caucho (Juego 4)</t>
        </is>
      </c>
      <c r="C16" s="256" t="inlineStr">
        <is>
          <t>Residencial / Comercial / Ind</t>
        </is>
      </c>
      <c r="D16" s="254" t="inlineStr">
        <is>
          <t>Antivibratorios</t>
        </is>
      </c>
      <c r="E16" s="254" t="inlineStr">
        <is>
          <t>Juego</t>
        </is>
      </c>
      <c r="F16" s="257" t="n">
        <v>2</v>
      </c>
      <c r="G16" s="258" t="n">
        <v>12</v>
      </c>
      <c r="H16" s="258" t="n">
        <v>12.6</v>
      </c>
      <c r="I16" s="254" t="inlineStr">
        <is>
          <t>Megametales</t>
        </is>
      </c>
      <c r="J16" s="258" t="n">
        <v>12.84</v>
      </c>
      <c r="K16" s="254" t="inlineStr">
        <is>
          <t>Kywi / Megakywi</t>
        </is>
      </c>
      <c r="L16" s="259">
        <f>F16*G16</f>
        <v/>
      </c>
      <c r="M16" s="260" t="inlineStr">
        <is>
          <t>MEC-D30-INS-BAS-ANT</t>
        </is>
      </c>
      <c r="N16" s="254" t="inlineStr">
        <is>
          <t>Mecánicas: climatización y ventilación (HVAC)</t>
        </is>
      </c>
      <c r="O16" s="254" t="inlineStr">
        <is>
          <t>Estimado DION · criterio de mercado Guayaquil 2026 (no verificado en tienda)</t>
        </is>
      </c>
      <c r="P16" s="254" t="inlineStr">
        <is>
          <t>oct-2026 (est.)</t>
        </is>
      </c>
      <c r="Q16" s="254" t="n"/>
    </row>
    <row r="17">
      <c r="A17" s="18" t="n">
        <v>9</v>
      </c>
      <c r="B17" s="19" t="inlineStr">
        <is>
          <t xml:space="preserve">        Cinta de Aluminio para Ducto 48 mm x 45 m</t>
        </is>
      </c>
      <c r="C17" s="20" t="inlineStr">
        <is>
          <t>Residencial / Comercial / Ind</t>
        </is>
      </c>
      <c r="D17" s="18" t="inlineStr">
        <is>
          <t>Cintas</t>
        </is>
      </c>
      <c r="E17" s="18" t="inlineStr">
        <is>
          <t>Rollo</t>
        </is>
      </c>
      <c r="F17" s="21" t="n">
        <v>4</v>
      </c>
      <c r="G17" s="22" t="n">
        <v>6.5</v>
      </c>
      <c r="H17" s="22" t="n">
        <v>6.63</v>
      </c>
      <c r="I17" s="18" t="inlineStr">
        <is>
          <t>Megametales</t>
        </is>
      </c>
      <c r="J17" s="22" t="n">
        <v>7.15</v>
      </c>
      <c r="K17" s="18" t="inlineStr">
        <is>
          <t>Kywi / Megakywi</t>
        </is>
      </c>
      <c r="L17" s="8">
        <f>F17*G17</f>
        <v/>
      </c>
      <c r="M17" s="145" t="inlineStr">
        <is>
          <t>MEC-D30-INS-CIN-ALU</t>
        </is>
      </c>
      <c r="N17" s="18" t="inlineStr">
        <is>
          <t>Mecánicas: climatización y ventilación (HVAC)</t>
        </is>
      </c>
      <c r="O17" s="18" t="inlineStr">
        <is>
          <t>Estimado DION · criterio de mercado Guayaquil 2026 (no verificado en tienda)</t>
        </is>
      </c>
      <c r="P17" s="18" t="inlineStr">
        <is>
          <t>oct-2026 (est.)</t>
        </is>
      </c>
      <c r="Q17" s="18" t="n">
        <v>5</v>
      </c>
    </row>
    <row r="18">
      <c r="A18" s="254" t="n">
        <v>10</v>
      </c>
      <c r="B18" s="255" t="inlineStr">
        <is>
          <t xml:space="preserve">        Masilla Selladora de Ductos (Galón)</t>
        </is>
      </c>
      <c r="C18" s="256" t="inlineStr">
        <is>
          <t>Residencial / Comercial / Ind</t>
        </is>
      </c>
      <c r="D18" s="254" t="inlineStr">
        <is>
          <t>Selladores</t>
        </is>
      </c>
      <c r="E18" s="254" t="inlineStr">
        <is>
          <t>Galón</t>
        </is>
      </c>
      <c r="F18" s="257" t="n">
        <v>2</v>
      </c>
      <c r="G18" s="258" t="n">
        <v>18</v>
      </c>
      <c r="H18" s="258" t="n">
        <v>18.54</v>
      </c>
      <c r="I18" s="254" t="inlineStr">
        <is>
          <t>Megametales</t>
        </is>
      </c>
      <c r="J18" s="258" t="n">
        <v>19.44</v>
      </c>
      <c r="K18" s="254" t="inlineStr">
        <is>
          <t>Kywi / Megakywi</t>
        </is>
      </c>
      <c r="L18" s="259">
        <f>F18*G18</f>
        <v/>
      </c>
      <c r="M18" s="260" t="inlineStr">
        <is>
          <t>MEC-D30-INS-MAS-DUC</t>
        </is>
      </c>
      <c r="N18" s="254" t="inlineStr">
        <is>
          <t>Mecánicas: climatización y ventilación (HVAC)</t>
        </is>
      </c>
      <c r="O18" s="254" t="inlineStr">
        <is>
          <t>Estimado DION · criterio de mercado Guayaquil 2026 (no verificado en tienda)</t>
        </is>
      </c>
      <c r="P18" s="254" t="inlineStr">
        <is>
          <t>oct-2026 (est.)</t>
        </is>
      </c>
      <c r="Q18" s="254" t="n">
        <v>5</v>
      </c>
    </row>
    <row r="19">
      <c r="A19" s="18" t="n">
        <v>11</v>
      </c>
      <c r="B19" s="19" t="inlineStr">
        <is>
          <t xml:space="preserve">        Bomba de Condensado Mini</t>
        </is>
      </c>
      <c r="C19" s="20" t="inlineStr">
        <is>
          <t>Residencial / Comercial / Ind</t>
        </is>
      </c>
      <c r="D19" s="18" t="inlineStr">
        <is>
          <t>Bombas Condensado</t>
        </is>
      </c>
      <c r="E19" s="18" t="inlineStr">
        <is>
          <t>U</t>
        </is>
      </c>
      <c r="F19" s="21" t="n">
        <v>2</v>
      </c>
      <c r="G19" s="22" t="n">
        <v>85</v>
      </c>
      <c r="H19" s="22" t="n">
        <v>86.7</v>
      </c>
      <c r="I19" s="18" t="inlineStr">
        <is>
          <t>Megametales</t>
        </is>
      </c>
      <c r="J19" s="22" t="n">
        <v>93.5</v>
      </c>
      <c r="K19" s="18" t="inlineStr">
        <is>
          <t>Kywi / Megakywi</t>
        </is>
      </c>
      <c r="L19" s="8">
        <f>F19*G19</f>
        <v/>
      </c>
      <c r="M19" s="145" t="inlineStr">
        <is>
          <t>MEC-D30-INS-BOM-CON</t>
        </is>
      </c>
      <c r="N19" s="18" t="inlineStr">
        <is>
          <t>Mecánicas: climatización y ventilación (HVAC)</t>
        </is>
      </c>
      <c r="O19" s="18" t="inlineStr">
        <is>
          <t>Estimado DION · criterio de mercado Guayaquil 2026 (no verificado en tienda)</t>
        </is>
      </c>
      <c r="P19" s="18" t="inlineStr">
        <is>
          <t>oct-2026 (est.)</t>
        </is>
      </c>
      <c r="Q19" s="18" t="n"/>
    </row>
    <row r="20">
      <c r="A20" s="254" t="n">
        <v>12</v>
      </c>
      <c r="B20" s="255" t="inlineStr">
        <is>
          <t xml:space="preserve">        Varilla Roscada ⅜" y Fijaciones para Ducto (Juego)</t>
        </is>
      </c>
      <c r="C20" s="256" t="inlineStr">
        <is>
          <t>Residencial / Comercial / Ind</t>
        </is>
      </c>
      <c r="D20" s="254" t="inlineStr">
        <is>
          <t>Soportería</t>
        </is>
      </c>
      <c r="E20" s="254" t="inlineStr">
        <is>
          <t>Juego</t>
        </is>
      </c>
      <c r="F20" s="257" t="n">
        <v>20</v>
      </c>
      <c r="G20" s="258" t="n">
        <v>3.5</v>
      </c>
      <c r="H20" s="258" t="n">
        <v>3.68</v>
      </c>
      <c r="I20" s="254" t="inlineStr">
        <is>
          <t>Megametales</t>
        </is>
      </c>
      <c r="J20" s="258" t="n">
        <v>3.85</v>
      </c>
      <c r="K20" s="254" t="inlineStr">
        <is>
          <t>Kywi / Megakywi</t>
        </is>
      </c>
      <c r="L20" s="259">
        <f>F20*G20</f>
        <v/>
      </c>
      <c r="M20" s="260" t="inlineStr">
        <is>
          <t>MEC-D30-INS-VAR-ROS</t>
        </is>
      </c>
      <c r="N20" s="254" t="inlineStr">
        <is>
          <t>Mecánicas: climatización y ventilación (HVAC)</t>
        </is>
      </c>
      <c r="O20" s="254" t="inlineStr">
        <is>
          <t>Estimado DION · criterio de mercado Guayaquil 2026 (no verificado en tienda)</t>
        </is>
      </c>
      <c r="P20" s="254" t="inlineStr">
        <is>
          <t>oct-2026 (est.)</t>
        </is>
      </c>
      <c r="Q20" s="254" t="n"/>
    </row>
    <row r="21">
      <c r="A21" s="18" t="n">
        <v>13</v>
      </c>
      <c r="B21" s="19" t="inlineStr">
        <is>
          <t xml:space="preserve">        Nitrógeno Seco para Prueba de Presión (Cilindro)</t>
        </is>
      </c>
      <c r="C21" s="20" t="inlineStr">
        <is>
          <t>Residencial / Comercial / Ind</t>
        </is>
      </c>
      <c r="D21" s="18" t="inlineStr">
        <is>
          <t>Consumibles</t>
        </is>
      </c>
      <c r="E21" s="18" t="inlineStr">
        <is>
          <t>U</t>
        </is>
      </c>
      <c r="F21" s="21" t="n">
        <v>1</v>
      </c>
      <c r="G21" s="22" t="n">
        <v>45</v>
      </c>
      <c r="H21" s="22" t="n">
        <v>46.8</v>
      </c>
      <c r="I21" s="18" t="inlineStr">
        <is>
          <t>Megametales</t>
        </is>
      </c>
      <c r="J21" s="22" t="n">
        <v>48.15</v>
      </c>
      <c r="K21" s="18" t="inlineStr">
        <is>
          <t>Kywi / Megakywi</t>
        </is>
      </c>
      <c r="L21" s="8">
        <f>F21*G21</f>
        <v/>
      </c>
      <c r="M21" s="145" t="inlineStr">
        <is>
          <t>MEC-D30-INS-NIT</t>
        </is>
      </c>
      <c r="N21" s="18" t="inlineStr">
        <is>
          <t>Mecánicas: climatización y ventilación (HVAC)</t>
        </is>
      </c>
      <c r="O21" s="18" t="inlineStr">
        <is>
          <t>Estimado DION · criterio de mercado Guayaquil 2026 (no verificado en tienda)</t>
        </is>
      </c>
      <c r="P21" s="18" t="inlineStr">
        <is>
          <t>oct-2026 (est.)</t>
        </is>
      </c>
      <c r="Q21" s="18" t="n"/>
    </row>
    <row r="22">
      <c r="A22" s="254" t="n">
        <v>14</v>
      </c>
      <c r="B22" s="255" t="inlineStr">
        <is>
          <t xml:space="preserve">        Varilla de Soldadura de Plata 15% (Unidad)</t>
        </is>
      </c>
      <c r="C22" s="256" t="inlineStr">
        <is>
          <t>Residencial / Comercial / Ind</t>
        </is>
      </c>
      <c r="D22" s="254" t="inlineStr">
        <is>
          <t>Consumibles</t>
        </is>
      </c>
      <c r="E22" s="254" t="inlineStr">
        <is>
          <t>U</t>
        </is>
      </c>
      <c r="F22" s="257" t="n">
        <v>20</v>
      </c>
      <c r="G22" s="258" t="n">
        <v>2.6</v>
      </c>
      <c r="H22" s="258" t="n">
        <v>2.73</v>
      </c>
      <c r="I22" s="254" t="inlineStr">
        <is>
          <t>Megametales</t>
        </is>
      </c>
      <c r="J22" s="258" t="n">
        <v>2.86</v>
      </c>
      <c r="K22" s="254" t="inlineStr">
        <is>
          <t>Kywi / Megakywi</t>
        </is>
      </c>
      <c r="L22" s="259">
        <f>F22*G22</f>
        <v/>
      </c>
      <c r="M22" s="260" t="inlineStr">
        <is>
          <t>MEC-D30-INS-SOL-PLA</t>
        </is>
      </c>
      <c r="N22" s="254" t="inlineStr">
        <is>
          <t>Mecánicas: climatización y ventilación (HVAC)</t>
        </is>
      </c>
      <c r="O22" s="254" t="inlineStr">
        <is>
          <t>Estimado DION · criterio de mercado Guayaquil 2026 (no verificado en tienda)</t>
        </is>
      </c>
      <c r="P22" s="254" t="inlineStr">
        <is>
          <t>oct-2026 (est.)</t>
        </is>
      </c>
      <c r="Q22" s="254" t="n">
        <v>5</v>
      </c>
    </row>
    <row r="23">
      <c r="A23" s="251" t="inlineStr">
        <is>
          <t>TUBERÍAS</t>
        </is>
      </c>
      <c r="B23" s="143" t="n"/>
      <c r="C23" s="143" t="n"/>
      <c r="D23" s="143" t="n"/>
      <c r="E23" s="143" t="n"/>
      <c r="F23" s="143" t="n"/>
      <c r="G23" s="143" t="n"/>
      <c r="H23" s="143" t="n"/>
      <c r="I23" s="143" t="n"/>
      <c r="J23" s="143" t="n"/>
      <c r="K23" s="143" t="n"/>
      <c r="L23" s="143" t="n"/>
      <c r="M23" s="143" t="n"/>
      <c r="N23" s="143" t="n"/>
      <c r="O23" s="143" t="n"/>
      <c r="P23" s="143" t="n"/>
      <c r="Q23" s="144" t="n"/>
    </row>
    <row r="24">
      <c r="A24" s="252" t="inlineStr">
        <is>
          <t xml:space="preserve">  ► CATEGORÍA: TUBERÍA DE REFRIGERACIÓN, AGUA HELADA Y CONDENSADO</t>
        </is>
      </c>
      <c r="B24" s="143" t="n"/>
      <c r="C24" s="143" t="n"/>
      <c r="D24" s="143" t="n"/>
      <c r="E24" s="143" t="n"/>
      <c r="F24" s="143" t="n"/>
      <c r="G24" s="143" t="n"/>
      <c r="H24" s="143" t="n"/>
      <c r="I24" s="143" t="n"/>
      <c r="J24" s="143" t="n"/>
      <c r="K24" s="143" t="n"/>
      <c r="L24" s="143" t="n"/>
      <c r="M24" s="143" t="n"/>
      <c r="N24" s="143" t="n"/>
      <c r="O24" s="143" t="n"/>
      <c r="P24" s="143" t="n"/>
      <c r="Q24" s="144" t="n"/>
    </row>
    <row r="25">
      <c r="A25" s="253" t="inlineStr">
        <is>
          <t xml:space="preserve">      • Subcategoría Especificada: Cobre Flexible ACR, Acero y PVC por Diámetro (m)</t>
        </is>
      </c>
      <c r="B25" s="143" t="n"/>
      <c r="C25" s="143" t="n"/>
      <c r="D25" s="143" t="n"/>
      <c r="E25" s="143" t="n"/>
      <c r="F25" s="143" t="n"/>
      <c r="G25" s="143" t="n"/>
      <c r="H25" s="143" t="n"/>
      <c r="I25" s="143" t="n"/>
      <c r="J25" s="143" t="n"/>
      <c r="K25" s="143" t="n"/>
      <c r="L25" s="143" t="n"/>
      <c r="M25" s="143" t="n"/>
      <c r="N25" s="143" t="n"/>
      <c r="O25" s="143" t="n"/>
      <c r="P25" s="143" t="n"/>
      <c r="Q25" s="144" t="n"/>
    </row>
    <row r="26">
      <c r="A26" s="18" t="n">
        <v>15</v>
      </c>
      <c r="B26" s="19" t="inlineStr">
        <is>
          <t xml:space="preserve">        Tubería Cobre Flexible ACR ¼" (m)</t>
        </is>
      </c>
      <c r="C26" s="20" t="inlineStr">
        <is>
          <t>Residencial / Comercial / Ind</t>
        </is>
      </c>
      <c r="D26" s="18" t="inlineStr">
        <is>
          <t>Tubería Cobre ACR</t>
        </is>
      </c>
      <c r="E26" s="18" t="inlineStr">
        <is>
          <t>m</t>
        </is>
      </c>
      <c r="F26" s="21" t="n">
        <v>15</v>
      </c>
      <c r="G26" s="22" t="n">
        <v>2.4</v>
      </c>
      <c r="H26" s="22" t="n">
        <v>2.52</v>
      </c>
      <c r="I26" s="18" t="inlineStr">
        <is>
          <t>Megametales</t>
        </is>
      </c>
      <c r="J26" s="22" t="n">
        <v>2.64</v>
      </c>
      <c r="K26" s="18" t="inlineStr">
        <is>
          <t>Kywi / Megakywi</t>
        </is>
      </c>
      <c r="L26" s="8">
        <f>F26*G26</f>
        <v/>
      </c>
      <c r="M26" s="145" t="inlineStr">
        <is>
          <t>MEC-D30-TRE-COB-R14</t>
        </is>
      </c>
      <c r="N26" s="18" t="inlineStr">
        <is>
          <t>Mecánicas: climatización y ventilación (HVAC)</t>
        </is>
      </c>
      <c r="O26" s="18" t="inlineStr">
        <is>
          <t>Estimado DION · criterio de mercado Guayaquil 2026 (no verificado en tienda)</t>
        </is>
      </c>
      <c r="P26" s="18" t="inlineStr">
        <is>
          <t>oct-2026 (est.)</t>
        </is>
      </c>
      <c r="Q26" s="18" t="n">
        <v>5</v>
      </c>
    </row>
    <row r="27">
      <c r="A27" s="254" t="n">
        <v>16</v>
      </c>
      <c r="B27" s="255" t="inlineStr">
        <is>
          <t xml:space="preserve">        Tubería Cobre Flexible ACR ⅜" (m)</t>
        </is>
      </c>
      <c r="C27" s="256" t="inlineStr">
        <is>
          <t>Residencial / Comercial / Ind</t>
        </is>
      </c>
      <c r="D27" s="254" t="inlineStr">
        <is>
          <t>Tubería Cobre ACR</t>
        </is>
      </c>
      <c r="E27" s="254" t="inlineStr">
        <is>
          <t>m</t>
        </is>
      </c>
      <c r="F27" s="257" t="n">
        <v>15</v>
      </c>
      <c r="G27" s="258" t="n">
        <v>3.6</v>
      </c>
      <c r="H27" s="258" t="n">
        <v>3.74</v>
      </c>
      <c r="I27" s="254" t="inlineStr">
        <is>
          <t>Megametales</t>
        </is>
      </c>
      <c r="J27" s="258" t="n">
        <v>3.89</v>
      </c>
      <c r="K27" s="254" t="inlineStr">
        <is>
          <t>Kywi / Megakywi</t>
        </is>
      </c>
      <c r="L27" s="259">
        <f>F27*G27</f>
        <v/>
      </c>
      <c r="M27" s="260" t="inlineStr">
        <is>
          <t>MEC-D30-TRE-COB-R38</t>
        </is>
      </c>
      <c r="N27" s="254" t="inlineStr">
        <is>
          <t>Mecánicas: climatización y ventilación (HVAC)</t>
        </is>
      </c>
      <c r="O27" s="254" t="inlineStr">
        <is>
          <t>Estimado DION · criterio de mercado Guayaquil 2026 (no verificado en tienda)</t>
        </is>
      </c>
      <c r="P27" s="254" t="inlineStr">
        <is>
          <t>oct-2026 (est.)</t>
        </is>
      </c>
      <c r="Q27" s="254" t="n">
        <v>5</v>
      </c>
    </row>
    <row r="28">
      <c r="A28" s="18" t="n">
        <v>17</v>
      </c>
      <c r="B28" s="19" t="inlineStr">
        <is>
          <t xml:space="preserve">        Tubería Cobre Flexible ACR ½" (m)</t>
        </is>
      </c>
      <c r="C28" s="20" t="inlineStr">
        <is>
          <t>Residencial / Comercial / Ind</t>
        </is>
      </c>
      <c r="D28" s="18" t="inlineStr">
        <is>
          <t>Tubería Cobre ACR</t>
        </is>
      </c>
      <c r="E28" s="18" t="inlineStr">
        <is>
          <t>m</t>
        </is>
      </c>
      <c r="F28" s="21" t="n">
        <v>15</v>
      </c>
      <c r="G28" s="22" t="n">
        <v>4.9</v>
      </c>
      <c r="H28" s="22" t="n">
        <v>5.1</v>
      </c>
      <c r="I28" s="18" t="inlineStr">
        <is>
          <t>Megametales</t>
        </is>
      </c>
      <c r="J28" s="22" t="n">
        <v>5.39</v>
      </c>
      <c r="K28" s="18" t="inlineStr">
        <is>
          <t>Kywi / Megakywi</t>
        </is>
      </c>
      <c r="L28" s="8">
        <f>F28*G28</f>
        <v/>
      </c>
      <c r="M28" s="145" t="inlineStr">
        <is>
          <t>MEC-D30-TRE-COB-R12</t>
        </is>
      </c>
      <c r="N28" s="18" t="inlineStr">
        <is>
          <t>Mecánicas: climatización y ventilación (HVAC)</t>
        </is>
      </c>
      <c r="O28" s="18" t="inlineStr">
        <is>
          <t>Estimado DION · criterio de mercado Guayaquil 2026 (no verificado en tienda)</t>
        </is>
      </c>
      <c r="P28" s="18" t="inlineStr">
        <is>
          <t>oct-2026 (est.)</t>
        </is>
      </c>
      <c r="Q28" s="18" t="n">
        <v>5</v>
      </c>
    </row>
    <row r="29">
      <c r="A29" s="254" t="n">
        <v>18</v>
      </c>
      <c r="B29" s="255" t="inlineStr">
        <is>
          <t xml:space="preserve">        Tubería Cobre Flexible ACR ⅝" (m)</t>
        </is>
      </c>
      <c r="C29" s="256" t="inlineStr">
        <is>
          <t>Residencial / Comercial / Ind</t>
        </is>
      </c>
      <c r="D29" s="254" t="inlineStr">
        <is>
          <t>Tubería Cobre ACR</t>
        </is>
      </c>
      <c r="E29" s="254" t="inlineStr">
        <is>
          <t>m</t>
        </is>
      </c>
      <c r="F29" s="257" t="n">
        <v>15</v>
      </c>
      <c r="G29" s="258" t="n">
        <v>6.4</v>
      </c>
      <c r="H29" s="258" t="n">
        <v>6.59</v>
      </c>
      <c r="I29" s="254" t="inlineStr">
        <is>
          <t>Megametales</t>
        </is>
      </c>
      <c r="J29" s="258" t="n">
        <v>7.1</v>
      </c>
      <c r="K29" s="254" t="inlineStr">
        <is>
          <t>Kywi / Megakywi</t>
        </is>
      </c>
      <c r="L29" s="259">
        <f>F29*G29</f>
        <v/>
      </c>
      <c r="M29" s="260" t="inlineStr">
        <is>
          <t>MEC-D30-TRE-COB-R58</t>
        </is>
      </c>
      <c r="N29" s="254" t="inlineStr">
        <is>
          <t>Mecánicas: climatización y ventilación (HVAC)</t>
        </is>
      </c>
      <c r="O29" s="254" t="inlineStr">
        <is>
          <t>Estimado DION · criterio de mercado Guayaquil 2026 (no verificado en tienda)</t>
        </is>
      </c>
      <c r="P29" s="254" t="inlineStr">
        <is>
          <t>oct-2026 (est.)</t>
        </is>
      </c>
      <c r="Q29" s="254" t="n">
        <v>5</v>
      </c>
    </row>
    <row r="30">
      <c r="A30" s="18" t="n">
        <v>19</v>
      </c>
      <c r="B30" s="19" t="inlineStr">
        <is>
          <t xml:space="preserve">        Tubería Cobre Flexible ACR ¾" (m)</t>
        </is>
      </c>
      <c r="C30" s="20" t="inlineStr">
        <is>
          <t>Residencial / Comercial / Ind</t>
        </is>
      </c>
      <c r="D30" s="18" t="inlineStr">
        <is>
          <t>Tubería Cobre ACR</t>
        </is>
      </c>
      <c r="E30" s="18" t="inlineStr">
        <is>
          <t>m</t>
        </is>
      </c>
      <c r="F30" s="21" t="n">
        <v>15</v>
      </c>
      <c r="G30" s="22" t="n">
        <v>8.199999999999999</v>
      </c>
      <c r="H30" s="22" t="n">
        <v>8.609999999999999</v>
      </c>
      <c r="I30" s="18" t="inlineStr">
        <is>
          <t>Megametales</t>
        </is>
      </c>
      <c r="J30" s="22" t="n">
        <v>8.94</v>
      </c>
      <c r="K30" s="18" t="inlineStr">
        <is>
          <t>Kywi / Megakywi</t>
        </is>
      </c>
      <c r="L30" s="8">
        <f>F30*G30</f>
        <v/>
      </c>
      <c r="M30" s="145" t="inlineStr">
        <is>
          <t>MEC-D30-TRE-COB-R34</t>
        </is>
      </c>
      <c r="N30" s="18" t="inlineStr">
        <is>
          <t>Mecánicas: climatización y ventilación (HVAC)</t>
        </is>
      </c>
      <c r="O30" s="18" t="inlineStr">
        <is>
          <t>Estimado DION · criterio de mercado Guayaquil 2026 (no verificado en tienda)</t>
        </is>
      </c>
      <c r="P30" s="18" t="inlineStr">
        <is>
          <t>oct-2026 (est.)</t>
        </is>
      </c>
      <c r="Q30" s="18" t="n">
        <v>5</v>
      </c>
    </row>
    <row r="31">
      <c r="A31" s="254" t="n">
        <v>20</v>
      </c>
      <c r="B31" s="255" t="inlineStr">
        <is>
          <t xml:space="preserve">        Tubería Cobre Flexible ACR ⅞" (m)</t>
        </is>
      </c>
      <c r="C31" s="256" t="inlineStr">
        <is>
          <t>Residencial / Comercial / Ind</t>
        </is>
      </c>
      <c r="D31" s="254" t="inlineStr">
        <is>
          <t>Tubería Cobre ACR</t>
        </is>
      </c>
      <c r="E31" s="254" t="inlineStr">
        <is>
          <t>m</t>
        </is>
      </c>
      <c r="F31" s="257" t="n">
        <v>15</v>
      </c>
      <c r="G31" s="258" t="n">
        <v>10.5</v>
      </c>
      <c r="H31" s="258" t="n">
        <v>10.92</v>
      </c>
      <c r="I31" s="254" t="inlineStr">
        <is>
          <t>Megametales</t>
        </is>
      </c>
      <c r="J31" s="258" t="n">
        <v>11.66</v>
      </c>
      <c r="K31" s="254" t="inlineStr">
        <is>
          <t>Kywi / Megakywi</t>
        </is>
      </c>
      <c r="L31" s="259">
        <f>F31*G31</f>
        <v/>
      </c>
      <c r="M31" s="260" t="inlineStr">
        <is>
          <t>MEC-D30-TRE-COB-R78</t>
        </is>
      </c>
      <c r="N31" s="254" t="inlineStr">
        <is>
          <t>Mecánicas: climatización y ventilación (HVAC)</t>
        </is>
      </c>
      <c r="O31" s="254" t="inlineStr">
        <is>
          <t>Estimado DION · criterio de mercado Guayaquil 2026 (no verificado en tienda)</t>
        </is>
      </c>
      <c r="P31" s="254" t="inlineStr">
        <is>
          <t>oct-2026 (est.)</t>
        </is>
      </c>
      <c r="Q31" s="254" t="n">
        <v>5</v>
      </c>
    </row>
    <row r="32">
      <c r="A32" s="18" t="n">
        <v>21</v>
      </c>
      <c r="B32" s="19" t="inlineStr">
        <is>
          <t xml:space="preserve">        Tubería Cobre Flexible ACR 1⅛" (m)</t>
        </is>
      </c>
      <c r="C32" s="20" t="inlineStr">
        <is>
          <t>Residencial / Comercial / Ind</t>
        </is>
      </c>
      <c r="D32" s="18" t="inlineStr">
        <is>
          <t>Tubería Cobre ACR</t>
        </is>
      </c>
      <c r="E32" s="18" t="inlineStr">
        <is>
          <t>m</t>
        </is>
      </c>
      <c r="F32" s="21" t="n">
        <v>15</v>
      </c>
      <c r="G32" s="22" t="n">
        <v>15.5</v>
      </c>
      <c r="H32" s="22" t="n">
        <v>15.96</v>
      </c>
      <c r="I32" s="18" t="inlineStr">
        <is>
          <t>Megametales</t>
        </is>
      </c>
      <c r="J32" s="22" t="n">
        <v>17.21</v>
      </c>
      <c r="K32" s="18" t="inlineStr">
        <is>
          <t>Kywi / Megakywi</t>
        </is>
      </c>
      <c r="L32" s="8">
        <f>F32*G32</f>
        <v/>
      </c>
      <c r="M32" s="145" t="inlineStr">
        <is>
          <t>MEC-D30-TRE-COB-R118</t>
        </is>
      </c>
      <c r="N32" s="18" t="inlineStr">
        <is>
          <t>Mecánicas: climatización y ventilación (HVAC)</t>
        </is>
      </c>
      <c r="O32" s="18" t="inlineStr">
        <is>
          <t>Estimado DION · criterio de mercado Guayaquil 2026 (no verificado en tienda)</t>
        </is>
      </c>
      <c r="P32" s="18" t="inlineStr">
        <is>
          <t>oct-2026 (est.)</t>
        </is>
      </c>
      <c r="Q32" s="18" t="n">
        <v>5</v>
      </c>
    </row>
    <row r="33">
      <c r="A33" s="254" t="n">
        <v>22</v>
      </c>
      <c r="B33" s="255" t="inlineStr">
        <is>
          <t xml:space="preserve">        Tubería PVC Drenaje de Condensado Ø20 mm (3 m)</t>
        </is>
      </c>
      <c r="C33" s="256" t="inlineStr">
        <is>
          <t>Residencial / Comercial / Ind</t>
        </is>
      </c>
      <c r="D33" s="254" t="inlineStr">
        <is>
          <t>Drenaje Condensado</t>
        </is>
      </c>
      <c r="E33" s="254" t="inlineStr">
        <is>
          <t>U</t>
        </is>
      </c>
      <c r="F33" s="257" t="n">
        <v>6</v>
      </c>
      <c r="G33" s="258" t="n">
        <v>2.4</v>
      </c>
      <c r="H33" s="258" t="n">
        <v>2.47</v>
      </c>
      <c r="I33" s="254" t="inlineStr">
        <is>
          <t>Megametales</t>
        </is>
      </c>
      <c r="J33" s="258" t="n">
        <v>2.57</v>
      </c>
      <c r="K33" s="254" t="inlineStr">
        <is>
          <t>Kywi / Megakywi</t>
        </is>
      </c>
      <c r="L33" s="259">
        <f>F33*G33</f>
        <v/>
      </c>
      <c r="M33" s="260" t="inlineStr">
        <is>
          <t>MEC-D30-TRE-CND-PVC-020</t>
        </is>
      </c>
      <c r="N33" s="254" t="inlineStr">
        <is>
          <t>Mecánicas: climatización y ventilación (HVAC)</t>
        </is>
      </c>
      <c r="O33" s="254" t="inlineStr">
        <is>
          <t>Estimado DION · criterio de mercado Guayaquil 2026 (no verificado en tienda)</t>
        </is>
      </c>
      <c r="P33" s="254" t="inlineStr">
        <is>
          <t>oct-2026 (est.)</t>
        </is>
      </c>
      <c r="Q33" s="254" t="n">
        <v>5</v>
      </c>
    </row>
    <row r="34">
      <c r="A34" s="18" t="n">
        <v>23</v>
      </c>
      <c r="B34" s="19" t="inlineStr">
        <is>
          <t xml:space="preserve">        Tubería PVC Drenaje de Condensado Ø25 mm (3 m)</t>
        </is>
      </c>
      <c r="C34" s="20" t="inlineStr">
        <is>
          <t>Residencial / Comercial / Ind</t>
        </is>
      </c>
      <c r="D34" s="18" t="inlineStr">
        <is>
          <t>Drenaje Condensado</t>
        </is>
      </c>
      <c r="E34" s="18" t="inlineStr">
        <is>
          <t>U</t>
        </is>
      </c>
      <c r="F34" s="21" t="n">
        <v>6</v>
      </c>
      <c r="G34" s="22" t="n">
        <v>3.1</v>
      </c>
      <c r="H34" s="22" t="n">
        <v>3.19</v>
      </c>
      <c r="I34" s="18" t="inlineStr">
        <is>
          <t>Megametales</t>
        </is>
      </c>
      <c r="J34" s="22" t="n">
        <v>3.44</v>
      </c>
      <c r="K34" s="18" t="inlineStr">
        <is>
          <t>Kywi / Megakywi</t>
        </is>
      </c>
      <c r="L34" s="8">
        <f>F34*G34</f>
        <v/>
      </c>
      <c r="M34" s="145" t="inlineStr">
        <is>
          <t>MEC-D30-TRE-CND-PVC-025</t>
        </is>
      </c>
      <c r="N34" s="18" t="inlineStr">
        <is>
          <t>Mecánicas: climatización y ventilación (HVAC)</t>
        </is>
      </c>
      <c r="O34" s="18" t="inlineStr">
        <is>
          <t>Estimado DION · criterio de mercado Guayaquil 2026 (no verificado en tienda)</t>
        </is>
      </c>
      <c r="P34" s="18" t="inlineStr">
        <is>
          <t>oct-2026 (est.)</t>
        </is>
      </c>
      <c r="Q34" s="18" t="n">
        <v>5</v>
      </c>
    </row>
    <row r="35">
      <c r="A35" s="254" t="n">
        <v>24</v>
      </c>
      <c r="B35" s="255" t="inlineStr">
        <is>
          <t xml:space="preserve">        Tubería PVC Drenaje de Condensado Ø32 mm (3 m)</t>
        </is>
      </c>
      <c r="C35" s="256" t="inlineStr">
        <is>
          <t>Residencial / Comercial / Ind</t>
        </is>
      </c>
      <c r="D35" s="254" t="inlineStr">
        <is>
          <t>Drenaje Condensado</t>
        </is>
      </c>
      <c r="E35" s="254" t="inlineStr">
        <is>
          <t>U</t>
        </is>
      </c>
      <c r="F35" s="257" t="n">
        <v>6</v>
      </c>
      <c r="G35" s="258" t="n">
        <v>4.6</v>
      </c>
      <c r="H35" s="258" t="n">
        <v>4.78</v>
      </c>
      <c r="I35" s="254" t="inlineStr">
        <is>
          <t>Megametales</t>
        </is>
      </c>
      <c r="J35" s="258" t="n">
        <v>4.97</v>
      </c>
      <c r="K35" s="254" t="inlineStr">
        <is>
          <t>Kywi / Megakywi</t>
        </is>
      </c>
      <c r="L35" s="259">
        <f>F35*G35</f>
        <v/>
      </c>
      <c r="M35" s="260" t="inlineStr">
        <is>
          <t>MEC-D30-TRE-CND-PVC-032</t>
        </is>
      </c>
      <c r="N35" s="254" t="inlineStr">
        <is>
          <t>Mecánicas: climatización y ventilación (HVAC)</t>
        </is>
      </c>
      <c r="O35" s="254" t="inlineStr">
        <is>
          <t>Estimado DION · criterio de mercado Guayaquil 2026 (no verificado en tienda)</t>
        </is>
      </c>
      <c r="P35" s="254" t="inlineStr">
        <is>
          <t>oct-2026 (est.)</t>
        </is>
      </c>
      <c r="Q35" s="254" t="n">
        <v>5</v>
      </c>
    </row>
    <row r="36">
      <c r="A36" s="18" t="n">
        <v>25</v>
      </c>
      <c r="B36" s="19" t="inlineStr">
        <is>
          <t xml:space="preserve">        Tubería Acero Agua Helada Cédula 40 1" (m)</t>
        </is>
      </c>
      <c r="C36" s="20" t="inlineStr">
        <is>
          <t>Comercial / Industrial</t>
        </is>
      </c>
      <c r="D36" s="18" t="inlineStr">
        <is>
          <t>Tubería Agua Helada</t>
        </is>
      </c>
      <c r="E36" s="18" t="inlineStr">
        <is>
          <t>m</t>
        </is>
      </c>
      <c r="F36" s="21" t="n">
        <v>20</v>
      </c>
      <c r="G36" s="22" t="n">
        <v>7.5</v>
      </c>
      <c r="H36" s="22" t="n">
        <v>7.73</v>
      </c>
      <c r="I36" s="18" t="inlineStr">
        <is>
          <t>Megametales</t>
        </is>
      </c>
      <c r="J36" s="22" t="n">
        <v>8.33</v>
      </c>
      <c r="K36" s="18" t="inlineStr">
        <is>
          <t>Kywi / Megakywi</t>
        </is>
      </c>
      <c r="L36" s="8">
        <f>F36*G36</f>
        <v/>
      </c>
      <c r="M36" s="145" t="inlineStr">
        <is>
          <t>MEC-D30-TRE-AH-DN25</t>
        </is>
      </c>
      <c r="N36" s="18" t="inlineStr">
        <is>
          <t>Mecánicas: climatización y ventilación (HVAC)</t>
        </is>
      </c>
      <c r="O36" s="18" t="inlineStr">
        <is>
          <t>Estimado DION · criterio de mercado Guayaquil 2026 (no verificado en tienda)</t>
        </is>
      </c>
      <c r="P36" s="18" t="inlineStr">
        <is>
          <t>oct-2026 (est.)</t>
        </is>
      </c>
      <c r="Q36" s="18" t="n">
        <v>3</v>
      </c>
    </row>
    <row r="37">
      <c r="A37" s="254" t="n">
        <v>26</v>
      </c>
      <c r="B37" s="255" t="inlineStr">
        <is>
          <t xml:space="preserve">        Tubería Acero Agua Helada Cédula 40 2" (m)</t>
        </is>
      </c>
      <c r="C37" s="256" t="inlineStr">
        <is>
          <t>Comercial / Industrial</t>
        </is>
      </c>
      <c r="D37" s="254" t="inlineStr">
        <is>
          <t>Tubería Agua Helada</t>
        </is>
      </c>
      <c r="E37" s="254" t="inlineStr">
        <is>
          <t>m</t>
        </is>
      </c>
      <c r="F37" s="257" t="n">
        <v>20</v>
      </c>
      <c r="G37" s="258" t="n">
        <v>15</v>
      </c>
      <c r="H37" s="258" t="n">
        <v>15.3</v>
      </c>
      <c r="I37" s="254" t="inlineStr">
        <is>
          <t>Megametales</t>
        </is>
      </c>
      <c r="J37" s="258" t="n">
        <v>16.65</v>
      </c>
      <c r="K37" s="254" t="inlineStr">
        <is>
          <t>Kywi / Megakywi</t>
        </is>
      </c>
      <c r="L37" s="259">
        <f>F37*G37</f>
        <v/>
      </c>
      <c r="M37" s="260" t="inlineStr">
        <is>
          <t>MEC-D30-TRE-AH-DN50</t>
        </is>
      </c>
      <c r="N37" s="254" t="inlineStr">
        <is>
          <t>Mecánicas: climatización y ventilación (HVAC)</t>
        </is>
      </c>
      <c r="O37" s="254" t="inlineStr">
        <is>
          <t>Estimado DION · criterio de mercado Guayaquil 2026 (no verificado en tienda)</t>
        </is>
      </c>
      <c r="P37" s="254" t="inlineStr">
        <is>
          <t>oct-2026 (est.)</t>
        </is>
      </c>
      <c r="Q37" s="254" t="n">
        <v>3</v>
      </c>
    </row>
    <row r="38">
      <c r="A38" s="18" t="n">
        <v>27</v>
      </c>
      <c r="B38" s="19" t="inlineStr">
        <is>
          <t xml:space="preserve">        Tubería Acero Agua Helada Cédula 40 3" (m)</t>
        </is>
      </c>
      <c r="C38" s="20" t="inlineStr">
        <is>
          <t>Comercial / Industrial</t>
        </is>
      </c>
      <c r="D38" s="18" t="inlineStr">
        <is>
          <t>Tubería Agua Helada</t>
        </is>
      </c>
      <c r="E38" s="18" t="inlineStr">
        <is>
          <t>m</t>
        </is>
      </c>
      <c r="F38" s="21" t="n">
        <v>20</v>
      </c>
      <c r="G38" s="22" t="n">
        <v>30</v>
      </c>
      <c r="H38" s="22" t="n">
        <v>30.9</v>
      </c>
      <c r="I38" s="18" t="inlineStr">
        <is>
          <t>Megametales</t>
        </is>
      </c>
      <c r="J38" s="22" t="n">
        <v>33.3</v>
      </c>
      <c r="K38" s="18" t="inlineStr">
        <is>
          <t>Kywi / Megakywi</t>
        </is>
      </c>
      <c r="L38" s="8">
        <f>F38*G38</f>
        <v/>
      </c>
      <c r="M38" s="145" t="inlineStr">
        <is>
          <t>MEC-D30-TRE-AH-DN80</t>
        </is>
      </c>
      <c r="N38" s="18" t="inlineStr">
        <is>
          <t>Mecánicas: climatización y ventilación (HVAC)</t>
        </is>
      </c>
      <c r="O38" s="18" t="inlineStr">
        <is>
          <t>Estimado DION · criterio de mercado Guayaquil 2026 (no verificado en tienda)</t>
        </is>
      </c>
      <c r="P38" s="18" t="inlineStr">
        <is>
          <t>oct-2026 (est.)</t>
        </is>
      </c>
      <c r="Q38" s="18" t="n">
        <v>3</v>
      </c>
    </row>
    <row r="39">
      <c r="A39" s="254" t="n">
        <v>28</v>
      </c>
      <c r="B39" s="255" t="inlineStr">
        <is>
          <t xml:space="preserve">        Tubería Acero Agua Helada Cédula 40 4" (m)</t>
        </is>
      </c>
      <c r="C39" s="256" t="inlineStr">
        <is>
          <t>Comercial / Industrial</t>
        </is>
      </c>
      <c r="D39" s="254" t="inlineStr">
        <is>
          <t>Tubería Agua Helada</t>
        </is>
      </c>
      <c r="E39" s="254" t="inlineStr">
        <is>
          <t>m</t>
        </is>
      </c>
      <c r="F39" s="257" t="n">
        <v>20</v>
      </c>
      <c r="G39" s="258" t="n">
        <v>42</v>
      </c>
      <c r="H39" s="258" t="n">
        <v>44.1</v>
      </c>
      <c r="I39" s="254" t="inlineStr">
        <is>
          <t>Megametales</t>
        </is>
      </c>
      <c r="J39" s="258" t="n">
        <v>45.78</v>
      </c>
      <c r="K39" s="254" t="inlineStr">
        <is>
          <t>Kywi / Megakywi</t>
        </is>
      </c>
      <c r="L39" s="259">
        <f>F39*G39</f>
        <v/>
      </c>
      <c r="M39" s="260" t="inlineStr">
        <is>
          <t>MEC-D30-TRE-AH-DN100</t>
        </is>
      </c>
      <c r="N39" s="254" t="inlineStr">
        <is>
          <t>Mecánicas: climatización y ventilación (HVAC)</t>
        </is>
      </c>
      <c r="O39" s="254" t="inlineStr">
        <is>
          <t>Estimado DION · criterio de mercado Guayaquil 2026 (no verificado en tienda)</t>
        </is>
      </c>
      <c r="P39" s="254" t="inlineStr">
        <is>
          <t>oct-2026 (est.)</t>
        </is>
      </c>
      <c r="Q39" s="254" t="n">
        <v>3</v>
      </c>
    </row>
    <row r="40">
      <c r="A40" s="18" t="n">
        <v>29</v>
      </c>
      <c r="B40" s="19" t="inlineStr">
        <is>
          <t xml:space="preserve">        Tubería Acero Agua Helada Cédula 40 6" (m)</t>
        </is>
      </c>
      <c r="C40" s="20" t="inlineStr">
        <is>
          <t>Comercial / Industrial</t>
        </is>
      </c>
      <c r="D40" s="18" t="inlineStr">
        <is>
          <t>Tubería Agua Helada</t>
        </is>
      </c>
      <c r="E40" s="18" t="inlineStr">
        <is>
          <t>m</t>
        </is>
      </c>
      <c r="F40" s="21" t="n">
        <v>20</v>
      </c>
      <c r="G40" s="22" t="n">
        <v>76</v>
      </c>
      <c r="H40" s="22" t="n">
        <v>79.04000000000001</v>
      </c>
      <c r="I40" s="18" t="inlineStr">
        <is>
          <t>Megametales</t>
        </is>
      </c>
      <c r="J40" s="22" t="n">
        <v>84.36</v>
      </c>
      <c r="K40" s="18" t="inlineStr">
        <is>
          <t>Kywi / Megakywi</t>
        </is>
      </c>
      <c r="L40" s="8">
        <f>F40*G40</f>
        <v/>
      </c>
      <c r="M40" s="145" t="inlineStr">
        <is>
          <t>MEC-D30-TRE-AH-DN150</t>
        </is>
      </c>
      <c r="N40" s="18" t="inlineStr">
        <is>
          <t>Mecánicas: climatización y ventilación (HVAC)</t>
        </is>
      </c>
      <c r="O40" s="18" t="inlineStr">
        <is>
          <t>Estimado DION · criterio de mercado Guayaquil 2026 (no verificado en tienda)</t>
        </is>
      </c>
      <c r="P40" s="18" t="inlineStr">
        <is>
          <t>oct-2026 (est.)</t>
        </is>
      </c>
      <c r="Q40" s="18" t="n">
        <v>3</v>
      </c>
    </row>
    <row r="41">
      <c r="A41" s="251" t="inlineStr">
        <is>
          <t>EQUIPOS</t>
        </is>
      </c>
      <c r="B41" s="143" t="n"/>
      <c r="C41" s="143" t="n"/>
      <c r="D41" s="143" t="n"/>
      <c r="E41" s="143" t="n"/>
      <c r="F41" s="143" t="n"/>
      <c r="G41" s="143" t="n"/>
      <c r="H41" s="143" t="n"/>
      <c r="I41" s="143" t="n"/>
      <c r="J41" s="143" t="n"/>
      <c r="K41" s="143" t="n"/>
      <c r="L41" s="143" t="n"/>
      <c r="M41" s="143" t="n"/>
      <c r="N41" s="143" t="n"/>
      <c r="O41" s="143" t="n"/>
      <c r="P41" s="143" t="n"/>
      <c r="Q41" s="144" t="n"/>
    </row>
    <row r="42">
      <c r="A42" s="252" t="inlineStr">
        <is>
          <t xml:space="preserve">  ► CATEGORÍA: AIRE ACONDICIONADO TIPO SPLIT Y PAQUETE</t>
        </is>
      </c>
      <c r="B42" s="143" t="n"/>
      <c r="C42" s="143" t="n"/>
      <c r="D42" s="143" t="n"/>
      <c r="E42" s="143" t="n"/>
      <c r="F42" s="143" t="n"/>
      <c r="G42" s="143" t="n"/>
      <c r="H42" s="143" t="n"/>
      <c r="I42" s="143" t="n"/>
      <c r="J42" s="143" t="n"/>
      <c r="K42" s="143" t="n"/>
      <c r="L42" s="143" t="n"/>
      <c r="M42" s="143" t="n"/>
      <c r="N42" s="143" t="n"/>
      <c r="O42" s="143" t="n"/>
      <c r="P42" s="143" t="n"/>
      <c r="Q42" s="144" t="n"/>
    </row>
    <row r="43">
      <c r="A43" s="253" t="inlineStr">
        <is>
          <t xml:space="preserve">      • Subcategoría Especificada: Por Capacidad BTU/h y Tipo (Equipo sin Instalación)</t>
        </is>
      </c>
      <c r="B43" s="143" t="n"/>
      <c r="C43" s="143" t="n"/>
      <c r="D43" s="143" t="n"/>
      <c r="E43" s="143" t="n"/>
      <c r="F43" s="143" t="n"/>
      <c r="G43" s="143" t="n"/>
      <c r="H43" s="143" t="n"/>
      <c r="I43" s="143" t="n"/>
      <c r="J43" s="143" t="n"/>
      <c r="K43" s="143" t="n"/>
      <c r="L43" s="143" t="n"/>
      <c r="M43" s="143" t="n"/>
      <c r="N43" s="143" t="n"/>
      <c r="O43" s="143" t="n"/>
      <c r="P43" s="143" t="n"/>
      <c r="Q43" s="144" t="n"/>
    </row>
    <row r="44">
      <c r="A44" s="254" t="n">
        <v>30</v>
      </c>
      <c r="B44" s="255" t="inlineStr">
        <is>
          <t xml:space="preserve">        Split de Pared Inverter 9 000 BTU/h</t>
        </is>
      </c>
      <c r="C44" s="256" t="inlineStr">
        <is>
          <t>Residencial / Comercial</t>
        </is>
      </c>
      <c r="D44" s="254" t="inlineStr">
        <is>
          <t>Splits / Paquetes</t>
        </is>
      </c>
      <c r="E44" s="254" t="inlineStr">
        <is>
          <t>U</t>
        </is>
      </c>
      <c r="F44" s="257" t="n">
        <v>1</v>
      </c>
      <c r="G44" s="258" t="n">
        <v>420</v>
      </c>
      <c r="H44" s="258" t="n">
        <v>432.6</v>
      </c>
      <c r="I44" s="254" t="inlineStr">
        <is>
          <t>Megametales</t>
        </is>
      </c>
      <c r="J44" s="258" t="n">
        <v>453.6</v>
      </c>
      <c r="K44" s="254" t="inlineStr">
        <is>
          <t>Kywi / Megakywi</t>
        </is>
      </c>
      <c r="L44" s="259">
        <f>F44*G44</f>
        <v/>
      </c>
      <c r="M44" s="260" t="inlineStr">
        <is>
          <t>MEC-D30-SPL-PAR-09K</t>
        </is>
      </c>
      <c r="N44" s="254" t="inlineStr">
        <is>
          <t>Mecánicas: climatización y ventilación (HVAC)</t>
        </is>
      </c>
      <c r="O44" s="254" t="inlineStr">
        <is>
          <t>Estimado DION · criterio de mercado Guayaquil 2026 (no verificado en tienda)</t>
        </is>
      </c>
      <c r="P44" s="254" t="inlineStr">
        <is>
          <t>oct-2026 (est.)</t>
        </is>
      </c>
      <c r="Q44" s="254" t="n"/>
    </row>
    <row r="45">
      <c r="A45" s="18" t="n">
        <v>31</v>
      </c>
      <c r="B45" s="19" t="inlineStr">
        <is>
          <t xml:space="preserve">        Split de Pared Inverter 12 000 BTU/h</t>
        </is>
      </c>
      <c r="C45" s="20" t="inlineStr">
        <is>
          <t>Residencial / Comercial</t>
        </is>
      </c>
      <c r="D45" s="18" t="inlineStr">
        <is>
          <t>Splits / Paquetes</t>
        </is>
      </c>
      <c r="E45" s="18" t="inlineStr">
        <is>
          <t>U</t>
        </is>
      </c>
      <c r="F45" s="21" t="n">
        <v>1</v>
      </c>
      <c r="G45" s="22" t="n">
        <v>480</v>
      </c>
      <c r="H45" s="22" t="n">
        <v>504</v>
      </c>
      <c r="I45" s="18" t="inlineStr">
        <is>
          <t>Megametales</t>
        </is>
      </c>
      <c r="J45" s="22" t="n">
        <v>532.8</v>
      </c>
      <c r="K45" s="18" t="inlineStr">
        <is>
          <t>Kywi / Megakywi</t>
        </is>
      </c>
      <c r="L45" s="8">
        <f>F45*G45</f>
        <v/>
      </c>
      <c r="M45" s="145" t="inlineStr">
        <is>
          <t>MEC-D30-SPL-PAR-12K</t>
        </is>
      </c>
      <c r="N45" s="18" t="inlineStr">
        <is>
          <t>Mecánicas: climatización y ventilación (HVAC)</t>
        </is>
      </c>
      <c r="O45" s="18" t="inlineStr">
        <is>
          <t>Estimado DION · criterio de mercado Guayaquil 2026 (no verificado en tienda)</t>
        </is>
      </c>
      <c r="P45" s="18" t="inlineStr">
        <is>
          <t>oct-2026 (est.)</t>
        </is>
      </c>
      <c r="Q45" s="18" t="n"/>
    </row>
    <row r="46">
      <c r="A46" s="254" t="n">
        <v>32</v>
      </c>
      <c r="B46" s="255" t="inlineStr">
        <is>
          <t xml:space="preserve">        Split de Pared Inverter 18 000 BTU/h</t>
        </is>
      </c>
      <c r="C46" s="256" t="inlineStr">
        <is>
          <t>Residencial / Comercial</t>
        </is>
      </c>
      <c r="D46" s="254" t="inlineStr">
        <is>
          <t>Splits / Paquetes</t>
        </is>
      </c>
      <c r="E46" s="254" t="inlineStr">
        <is>
          <t>U</t>
        </is>
      </c>
      <c r="F46" s="257" t="n">
        <v>0</v>
      </c>
      <c r="G46" s="258" t="n">
        <v>720</v>
      </c>
      <c r="H46" s="258" t="n">
        <v>734.4</v>
      </c>
      <c r="I46" s="254" t="inlineStr">
        <is>
          <t>Megametales</t>
        </is>
      </c>
      <c r="J46" s="258" t="n">
        <v>784.8</v>
      </c>
      <c r="K46" s="254" t="inlineStr">
        <is>
          <t>Kywi / Megakywi</t>
        </is>
      </c>
      <c r="L46" s="259">
        <f>F46*G46</f>
        <v/>
      </c>
      <c r="M46" s="260" t="inlineStr">
        <is>
          <t>MEC-D30-SPL-PAR-18K</t>
        </is>
      </c>
      <c r="N46" s="254" t="inlineStr">
        <is>
          <t>Mecánicas: climatización y ventilación (HVAC)</t>
        </is>
      </c>
      <c r="O46" s="254" t="inlineStr">
        <is>
          <t>Estimado DION · criterio de mercado Guayaquil 2026 (no verificado en tienda)</t>
        </is>
      </c>
      <c r="P46" s="254" t="inlineStr">
        <is>
          <t>oct-2026 (est.)</t>
        </is>
      </c>
      <c r="Q46" s="254" t="n"/>
    </row>
    <row r="47">
      <c r="A47" s="18" t="n">
        <v>33</v>
      </c>
      <c r="B47" s="19" t="inlineStr">
        <is>
          <t xml:space="preserve">        Split de Pared Inverter 24 000 BTU/h</t>
        </is>
      </c>
      <c r="C47" s="20" t="inlineStr">
        <is>
          <t>Residencial / Comercial</t>
        </is>
      </c>
      <c r="D47" s="18" t="inlineStr">
        <is>
          <t>Splits / Paquetes</t>
        </is>
      </c>
      <c r="E47" s="18" t="inlineStr">
        <is>
          <t>U</t>
        </is>
      </c>
      <c r="F47" s="21" t="n">
        <v>0</v>
      </c>
      <c r="G47" s="22" t="n">
        <v>920</v>
      </c>
      <c r="H47" s="22" t="n">
        <v>947.6</v>
      </c>
      <c r="I47" s="18" t="inlineStr">
        <is>
          <t>Megametales</t>
        </is>
      </c>
      <c r="J47" s="22" t="n">
        <v>1021.2</v>
      </c>
      <c r="K47" s="18" t="inlineStr">
        <is>
          <t>Kywi / Megakywi</t>
        </is>
      </c>
      <c r="L47" s="8">
        <f>F47*G47</f>
        <v/>
      </c>
      <c r="M47" s="145" t="inlineStr">
        <is>
          <t>MEC-D30-SPL-PAR-24K</t>
        </is>
      </c>
      <c r="N47" s="18" t="inlineStr">
        <is>
          <t>Mecánicas: climatización y ventilación (HVAC)</t>
        </is>
      </c>
      <c r="O47" s="18" t="inlineStr">
        <is>
          <t>Estimado DION · criterio de mercado Guayaquil 2026 (no verificado en tienda)</t>
        </is>
      </c>
      <c r="P47" s="18" t="inlineStr">
        <is>
          <t>oct-2026 (est.)</t>
        </is>
      </c>
      <c r="Q47" s="18" t="n"/>
    </row>
    <row r="48">
      <c r="A48" s="254" t="n">
        <v>34</v>
      </c>
      <c r="B48" s="255" t="inlineStr">
        <is>
          <t xml:space="preserve">        Split de Pared 36 000 BTU/h</t>
        </is>
      </c>
      <c r="C48" s="256" t="inlineStr">
        <is>
          <t>Comercial / Industrial</t>
        </is>
      </c>
      <c r="D48" s="254" t="inlineStr">
        <is>
          <t>Splits / Paquetes</t>
        </is>
      </c>
      <c r="E48" s="254" t="inlineStr">
        <is>
          <t>U</t>
        </is>
      </c>
      <c r="F48" s="257" t="n">
        <v>0</v>
      </c>
      <c r="G48" s="258" t="n">
        <v>1450</v>
      </c>
      <c r="H48" s="258" t="n">
        <v>1522.5</v>
      </c>
      <c r="I48" s="254" t="inlineStr">
        <is>
          <t>Megametales</t>
        </is>
      </c>
      <c r="J48" s="258" t="n">
        <v>1609.5</v>
      </c>
      <c r="K48" s="254" t="inlineStr">
        <is>
          <t>Kywi / Megakywi</t>
        </is>
      </c>
      <c r="L48" s="259">
        <f>F48*G48</f>
        <v/>
      </c>
      <c r="M48" s="260" t="inlineStr">
        <is>
          <t>MEC-D30-SPL-PAR-36K</t>
        </is>
      </c>
      <c r="N48" s="254" t="inlineStr">
        <is>
          <t>Mecánicas: climatización y ventilación (HVAC)</t>
        </is>
      </c>
      <c r="O48" s="254" t="inlineStr">
        <is>
          <t>Estimado DION · criterio de mercado Guayaquil 2026 (no verificado en tienda)</t>
        </is>
      </c>
      <c r="P48" s="254" t="inlineStr">
        <is>
          <t>oct-2026 (est.)</t>
        </is>
      </c>
      <c r="Q48" s="254" t="n"/>
    </row>
    <row r="49">
      <c r="A49" s="18" t="n">
        <v>35</v>
      </c>
      <c r="B49" s="19" t="inlineStr">
        <is>
          <t xml:space="preserve">        Split Cassette 24 000 BTU/h</t>
        </is>
      </c>
      <c r="C49" s="20" t="inlineStr">
        <is>
          <t>Comercial</t>
        </is>
      </c>
      <c r="D49" s="18" t="inlineStr">
        <is>
          <t>Splits / Paquetes</t>
        </is>
      </c>
      <c r="E49" s="18" t="inlineStr">
        <is>
          <t>U</t>
        </is>
      </c>
      <c r="F49" s="21" t="n">
        <v>0</v>
      </c>
      <c r="G49" s="22" t="n">
        <v>1650</v>
      </c>
      <c r="H49" s="22" t="n">
        <v>1683</v>
      </c>
      <c r="I49" s="18" t="inlineStr">
        <is>
          <t>Megametales</t>
        </is>
      </c>
      <c r="J49" s="22" t="n">
        <v>1765.5</v>
      </c>
      <c r="K49" s="18" t="inlineStr">
        <is>
          <t>Kywi / Megakywi</t>
        </is>
      </c>
      <c r="L49" s="8">
        <f>F49*G49</f>
        <v/>
      </c>
      <c r="M49" s="145" t="inlineStr">
        <is>
          <t>MEC-D30-SPL-CAS-24K</t>
        </is>
      </c>
      <c r="N49" s="18" t="inlineStr">
        <is>
          <t>Mecánicas: climatización y ventilación (HVAC)</t>
        </is>
      </c>
      <c r="O49" s="18" t="inlineStr">
        <is>
          <t>Estimado DION · criterio de mercado Guayaquil 2026 (no verificado en tienda)</t>
        </is>
      </c>
      <c r="P49" s="18" t="inlineStr">
        <is>
          <t>oct-2026 (est.)</t>
        </is>
      </c>
      <c r="Q49" s="18" t="n"/>
    </row>
    <row r="50">
      <c r="A50" s="254" t="n">
        <v>36</v>
      </c>
      <c r="B50" s="255" t="inlineStr">
        <is>
          <t xml:space="preserve">        Split Cassette 36 000 BTU/h</t>
        </is>
      </c>
      <c r="C50" s="256" t="inlineStr">
        <is>
          <t>Comercial</t>
        </is>
      </c>
      <c r="D50" s="254" t="inlineStr">
        <is>
          <t>Splits / Paquetes</t>
        </is>
      </c>
      <c r="E50" s="254" t="inlineStr">
        <is>
          <t>U</t>
        </is>
      </c>
      <c r="F50" s="257" t="n">
        <v>0</v>
      </c>
      <c r="G50" s="258" t="n">
        <v>2100</v>
      </c>
      <c r="H50" s="258" t="n">
        <v>2184</v>
      </c>
      <c r="I50" s="254" t="inlineStr">
        <is>
          <t>Megametales</t>
        </is>
      </c>
      <c r="J50" s="258" t="n">
        <v>2331</v>
      </c>
      <c r="K50" s="254" t="inlineStr">
        <is>
          <t>Kywi / Megakywi</t>
        </is>
      </c>
      <c r="L50" s="259">
        <f>F50*G50</f>
        <v/>
      </c>
      <c r="M50" s="260" t="inlineStr">
        <is>
          <t>MEC-D30-SPL-CAS-36K</t>
        </is>
      </c>
      <c r="N50" s="254" t="inlineStr">
        <is>
          <t>Mecánicas: climatización y ventilación (HVAC)</t>
        </is>
      </c>
      <c r="O50" s="254" t="inlineStr">
        <is>
          <t>Estimado DION · criterio de mercado Guayaquil 2026 (no verificado en tienda)</t>
        </is>
      </c>
      <c r="P50" s="254" t="inlineStr">
        <is>
          <t>oct-2026 (est.)</t>
        </is>
      </c>
      <c r="Q50" s="254" t="n"/>
    </row>
    <row r="51">
      <c r="A51" s="18" t="n">
        <v>37</v>
      </c>
      <c r="B51" s="19" t="inlineStr">
        <is>
          <t xml:space="preserve">        Split Cassette 48 000 BTU/h</t>
        </is>
      </c>
      <c r="C51" s="20" t="inlineStr">
        <is>
          <t>Comercial</t>
        </is>
      </c>
      <c r="D51" s="18" t="inlineStr">
        <is>
          <t>Splits / Paquetes</t>
        </is>
      </c>
      <c r="E51" s="18" t="inlineStr">
        <is>
          <t>U</t>
        </is>
      </c>
      <c r="F51" s="21" t="n">
        <v>0</v>
      </c>
      <c r="G51" s="22" t="n">
        <v>2650</v>
      </c>
      <c r="H51" s="22" t="n">
        <v>2703</v>
      </c>
      <c r="I51" s="18" t="inlineStr">
        <is>
          <t>Megametales</t>
        </is>
      </c>
      <c r="J51" s="22" t="n">
        <v>2941.5</v>
      </c>
      <c r="K51" s="18" t="inlineStr">
        <is>
          <t>Kywi / Megakywi</t>
        </is>
      </c>
      <c r="L51" s="8">
        <f>F51*G51</f>
        <v/>
      </c>
      <c r="M51" s="145" t="inlineStr">
        <is>
          <t>MEC-D30-SPL-CAS-48K</t>
        </is>
      </c>
      <c r="N51" s="18" t="inlineStr">
        <is>
          <t>Mecánicas: climatización y ventilación (HVAC)</t>
        </is>
      </c>
      <c r="O51" s="18" t="inlineStr">
        <is>
          <t>Estimado DION · criterio de mercado Guayaquil 2026 (no verificado en tienda)</t>
        </is>
      </c>
      <c r="P51" s="18" t="inlineStr">
        <is>
          <t>oct-2026 (est.)</t>
        </is>
      </c>
      <c r="Q51" s="18" t="n"/>
    </row>
    <row r="52">
      <c r="A52" s="254" t="n">
        <v>38</v>
      </c>
      <c r="B52" s="255" t="inlineStr">
        <is>
          <t xml:space="preserve">        Split Piso-Techo 36 000 BTU/h</t>
        </is>
      </c>
      <c r="C52" s="256" t="inlineStr">
        <is>
          <t>Comercial</t>
        </is>
      </c>
      <c r="D52" s="254" t="inlineStr">
        <is>
          <t>Splits / Paquetes</t>
        </is>
      </c>
      <c r="E52" s="254" t="inlineStr">
        <is>
          <t>U</t>
        </is>
      </c>
      <c r="F52" s="257" t="n">
        <v>0</v>
      </c>
      <c r="G52" s="258" t="n">
        <v>1950</v>
      </c>
      <c r="H52" s="258" t="n">
        <v>2008.5</v>
      </c>
      <c r="I52" s="254" t="inlineStr">
        <is>
          <t>Megametales</t>
        </is>
      </c>
      <c r="J52" s="258" t="n">
        <v>2106</v>
      </c>
      <c r="K52" s="254" t="inlineStr">
        <is>
          <t>Kywi / Megakywi</t>
        </is>
      </c>
      <c r="L52" s="259">
        <f>F52*G52</f>
        <v/>
      </c>
      <c r="M52" s="260" t="inlineStr">
        <is>
          <t>MEC-D30-SPL-PTE-36K</t>
        </is>
      </c>
      <c r="N52" s="254" t="inlineStr">
        <is>
          <t>Mecánicas: climatización y ventilación (HVAC)</t>
        </is>
      </c>
      <c r="O52" s="254" t="inlineStr">
        <is>
          <t>Estimado DION · criterio de mercado Guayaquil 2026 (no verificado en tienda)</t>
        </is>
      </c>
      <c r="P52" s="254" t="inlineStr">
        <is>
          <t>oct-2026 (est.)</t>
        </is>
      </c>
      <c r="Q52" s="254" t="n"/>
    </row>
    <row r="53">
      <c r="A53" s="18" t="n">
        <v>39</v>
      </c>
      <c r="B53" s="19" t="inlineStr">
        <is>
          <t xml:space="preserve">        Split Piso-Techo 60 000 BTU/h</t>
        </is>
      </c>
      <c r="C53" s="20" t="inlineStr">
        <is>
          <t>Comercial</t>
        </is>
      </c>
      <c r="D53" s="18" t="inlineStr">
        <is>
          <t>Splits / Paquetes</t>
        </is>
      </c>
      <c r="E53" s="18" t="inlineStr">
        <is>
          <t>U</t>
        </is>
      </c>
      <c r="F53" s="21" t="n">
        <v>0</v>
      </c>
      <c r="G53" s="22" t="n">
        <v>3100</v>
      </c>
      <c r="H53" s="22" t="n">
        <v>3162</v>
      </c>
      <c r="I53" s="18" t="inlineStr">
        <is>
          <t>Megametales</t>
        </is>
      </c>
      <c r="J53" s="22" t="n">
        <v>3410</v>
      </c>
      <c r="K53" s="18" t="inlineStr">
        <is>
          <t>Kywi / Megakywi</t>
        </is>
      </c>
      <c r="L53" s="8">
        <f>F53*G53</f>
        <v/>
      </c>
      <c r="M53" s="145" t="inlineStr">
        <is>
          <t>MEC-D30-SPL-PTE-60K</t>
        </is>
      </c>
      <c r="N53" s="18" t="inlineStr">
        <is>
          <t>Mecánicas: climatización y ventilación (HVAC)</t>
        </is>
      </c>
      <c r="O53" s="18" t="inlineStr">
        <is>
          <t>Estimado DION · criterio de mercado Guayaquil 2026 (no verificado en tienda)</t>
        </is>
      </c>
      <c r="P53" s="18" t="inlineStr">
        <is>
          <t>oct-2026 (est.)</t>
        </is>
      </c>
      <c r="Q53" s="18" t="n"/>
    </row>
    <row r="54">
      <c r="A54" s="254" t="n">
        <v>40</v>
      </c>
      <c r="B54" s="255" t="inlineStr">
        <is>
          <t xml:space="preserve">        Split Ducto Baja Silueta 36 000 BTU/h</t>
        </is>
      </c>
      <c r="C54" s="256" t="inlineStr">
        <is>
          <t>Comercial</t>
        </is>
      </c>
      <c r="D54" s="254" t="inlineStr">
        <is>
          <t>Splits / Paquetes</t>
        </is>
      </c>
      <c r="E54" s="254" t="inlineStr">
        <is>
          <t>U</t>
        </is>
      </c>
      <c r="F54" s="257" t="n">
        <v>0</v>
      </c>
      <c r="G54" s="258" t="n">
        <v>2200</v>
      </c>
      <c r="H54" s="258" t="n">
        <v>2310</v>
      </c>
      <c r="I54" s="254" t="inlineStr">
        <is>
          <t>Megametales</t>
        </is>
      </c>
      <c r="J54" s="258" t="n">
        <v>2420</v>
      </c>
      <c r="K54" s="254" t="inlineStr">
        <is>
          <t>Kywi / Megakywi</t>
        </is>
      </c>
      <c r="L54" s="259">
        <f>F54*G54</f>
        <v/>
      </c>
      <c r="M54" s="260" t="inlineStr">
        <is>
          <t>MEC-D30-SPL-DUC-36K</t>
        </is>
      </c>
      <c r="N54" s="254" t="inlineStr">
        <is>
          <t>Mecánicas: climatización y ventilación (HVAC)</t>
        </is>
      </c>
      <c r="O54" s="254" t="inlineStr">
        <is>
          <t>Estimado DION · criterio de mercado Guayaquil 2026 (no verificado en tienda)</t>
        </is>
      </c>
      <c r="P54" s="254" t="inlineStr">
        <is>
          <t>oct-2026 (est.)</t>
        </is>
      </c>
      <c r="Q54" s="254" t="n"/>
    </row>
    <row r="55">
      <c r="A55" s="18" t="n">
        <v>41</v>
      </c>
      <c r="B55" s="19" t="inlineStr">
        <is>
          <t xml:space="preserve">        Split Ducto 60 000 BTU/h</t>
        </is>
      </c>
      <c r="C55" s="20" t="inlineStr">
        <is>
          <t>Comercial</t>
        </is>
      </c>
      <c r="D55" s="18" t="inlineStr">
        <is>
          <t>Splits / Paquetes</t>
        </is>
      </c>
      <c r="E55" s="18" t="inlineStr">
        <is>
          <t>U</t>
        </is>
      </c>
      <c r="F55" s="21" t="n">
        <v>0</v>
      </c>
      <c r="G55" s="22" t="n">
        <v>3300</v>
      </c>
      <c r="H55" s="22" t="n">
        <v>3399</v>
      </c>
      <c r="I55" s="18" t="inlineStr">
        <is>
          <t>Megametales</t>
        </is>
      </c>
      <c r="J55" s="22" t="n">
        <v>3531</v>
      </c>
      <c r="K55" s="18" t="inlineStr">
        <is>
          <t>Kywi / Megakywi</t>
        </is>
      </c>
      <c r="L55" s="8">
        <f>F55*G55</f>
        <v/>
      </c>
      <c r="M55" s="145" t="inlineStr">
        <is>
          <t>MEC-D30-SPL-DUC-60K</t>
        </is>
      </c>
      <c r="N55" s="18" t="inlineStr">
        <is>
          <t>Mecánicas: climatización y ventilación (HVAC)</t>
        </is>
      </c>
      <c r="O55" s="18" t="inlineStr">
        <is>
          <t>Estimado DION · criterio de mercado Guayaquil 2026 (no verificado en tienda)</t>
        </is>
      </c>
      <c r="P55" s="18" t="inlineStr">
        <is>
          <t>oct-2026 (est.)</t>
        </is>
      </c>
      <c r="Q55" s="18" t="n"/>
    </row>
    <row r="56">
      <c r="A56" s="254" t="n">
        <v>42</v>
      </c>
      <c r="B56" s="255" t="inlineStr">
        <is>
          <t xml:space="preserve">        Equipo Paquete Rooftop 5 TR</t>
        </is>
      </c>
      <c r="C56" s="256" t="inlineStr">
        <is>
          <t>Comercial / Industrial</t>
        </is>
      </c>
      <c r="D56" s="254" t="inlineStr">
        <is>
          <t>Splits / Paquetes</t>
        </is>
      </c>
      <c r="E56" s="254" t="inlineStr">
        <is>
          <t>U</t>
        </is>
      </c>
      <c r="F56" s="257" t="n">
        <v>0</v>
      </c>
      <c r="G56" s="258" t="n">
        <v>5200</v>
      </c>
      <c r="H56" s="258" t="n">
        <v>5460</v>
      </c>
      <c r="I56" s="254" t="inlineStr">
        <is>
          <t>Megametales</t>
        </is>
      </c>
      <c r="J56" s="258" t="n">
        <v>5772</v>
      </c>
      <c r="K56" s="254" t="inlineStr">
        <is>
          <t>Kywi / Megakywi</t>
        </is>
      </c>
      <c r="L56" s="259">
        <f>F56*G56</f>
        <v/>
      </c>
      <c r="M56" s="260" t="inlineStr">
        <is>
          <t>MEC-D30-SPL-PAQ-5TR</t>
        </is>
      </c>
      <c r="N56" s="254" t="inlineStr">
        <is>
          <t>Mecánicas: climatización y ventilación (HVAC)</t>
        </is>
      </c>
      <c r="O56" s="254" t="inlineStr">
        <is>
          <t>Estimado DION · criterio de mercado Guayaquil 2026 (no verificado en tienda)</t>
        </is>
      </c>
      <c r="P56" s="254" t="inlineStr">
        <is>
          <t>oct-2026 (est.)</t>
        </is>
      </c>
      <c r="Q56" s="254" t="n"/>
    </row>
    <row r="57">
      <c r="A57" s="18" t="n">
        <v>43</v>
      </c>
      <c r="B57" s="19" t="inlineStr">
        <is>
          <t xml:space="preserve">        Equipo Paquete Rooftop 10 TR</t>
        </is>
      </c>
      <c r="C57" s="20" t="inlineStr">
        <is>
          <t>Comercial / Industrial</t>
        </is>
      </c>
      <c r="D57" s="18" t="inlineStr">
        <is>
          <t>Splits / Paquetes</t>
        </is>
      </c>
      <c r="E57" s="18" t="inlineStr">
        <is>
          <t>U</t>
        </is>
      </c>
      <c r="F57" s="21" t="n">
        <v>0</v>
      </c>
      <c r="G57" s="22" t="n">
        <v>9800</v>
      </c>
      <c r="H57" s="22" t="n">
        <v>10290</v>
      </c>
      <c r="I57" s="18" t="inlineStr">
        <is>
          <t>Megametales</t>
        </is>
      </c>
      <c r="J57" s="22" t="n">
        <v>10682</v>
      </c>
      <c r="K57" s="18" t="inlineStr">
        <is>
          <t>Kywi / Megakywi</t>
        </is>
      </c>
      <c r="L57" s="8">
        <f>F57*G57</f>
        <v/>
      </c>
      <c r="M57" s="145" t="inlineStr">
        <is>
          <t>MEC-D30-SPL-PAQ-10TR</t>
        </is>
      </c>
      <c r="N57" s="18" t="inlineStr">
        <is>
          <t>Mecánicas: climatización y ventilación (HVAC)</t>
        </is>
      </c>
      <c r="O57" s="18" t="inlineStr">
        <is>
          <t>Estimado DION · criterio de mercado Guayaquil 2026 (no verificado en tienda)</t>
        </is>
      </c>
      <c r="P57" s="18" t="inlineStr">
        <is>
          <t>oct-2026 (est.)</t>
        </is>
      </c>
      <c r="Q57" s="18" t="n"/>
    </row>
    <row r="58">
      <c r="A58" s="254" t="n">
        <v>44</v>
      </c>
      <c r="B58" s="255" t="inlineStr">
        <is>
          <t xml:space="preserve">        Equipo Paquete Rooftop 20 TR</t>
        </is>
      </c>
      <c r="C58" s="256" t="inlineStr">
        <is>
          <t>Comercial / Industrial</t>
        </is>
      </c>
      <c r="D58" s="254" t="inlineStr">
        <is>
          <t>Splits / Paquetes</t>
        </is>
      </c>
      <c r="E58" s="254" t="inlineStr">
        <is>
          <t>U</t>
        </is>
      </c>
      <c r="F58" s="257" t="n">
        <v>0</v>
      </c>
      <c r="G58" s="258" t="n">
        <v>18500</v>
      </c>
      <c r="H58" s="258" t="n">
        <v>18870</v>
      </c>
      <c r="I58" s="254" t="inlineStr">
        <is>
          <t>Megametales</t>
        </is>
      </c>
      <c r="J58" s="258" t="n">
        <v>20535</v>
      </c>
      <c r="K58" s="254" t="inlineStr">
        <is>
          <t>Kywi / Megakywi</t>
        </is>
      </c>
      <c r="L58" s="259">
        <f>F58*G58</f>
        <v/>
      </c>
      <c r="M58" s="260" t="inlineStr">
        <is>
          <t>MEC-D30-SPL-PAQ-20TR</t>
        </is>
      </c>
      <c r="N58" s="254" t="inlineStr">
        <is>
          <t>Mecánicas: climatización y ventilación (HVAC)</t>
        </is>
      </c>
      <c r="O58" s="254" t="inlineStr">
        <is>
          <t>Estimado DION · criterio de mercado Guayaquil 2026 (no verificado en tienda)</t>
        </is>
      </c>
      <c r="P58" s="254" t="inlineStr">
        <is>
          <t>oct-2026 (est.)</t>
        </is>
      </c>
      <c r="Q58" s="254" t="n"/>
    </row>
    <row r="59">
      <c r="A59" s="252" t="inlineStr">
        <is>
          <t xml:space="preserve">  ► CATEGORÍA: VRF, CHILLERS Y MANEJADORAS</t>
        </is>
      </c>
      <c r="B59" s="143" t="n"/>
      <c r="C59" s="143" t="n"/>
      <c r="D59" s="143" t="n"/>
      <c r="E59" s="143" t="n"/>
      <c r="F59" s="143" t="n"/>
      <c r="G59" s="143" t="n"/>
      <c r="H59" s="143" t="n"/>
      <c r="I59" s="143" t="n"/>
      <c r="J59" s="143" t="n"/>
      <c r="K59" s="143" t="n"/>
      <c r="L59" s="143" t="n"/>
      <c r="M59" s="143" t="n"/>
      <c r="N59" s="143" t="n"/>
      <c r="O59" s="143" t="n"/>
      <c r="P59" s="143" t="n"/>
      <c r="Q59" s="144" t="n"/>
    </row>
    <row r="60">
      <c r="A60" s="253" t="inlineStr">
        <is>
          <t xml:space="preserve">      • Subcategoría Especificada: Equipos Centrales (Referenciales)</t>
        </is>
      </c>
      <c r="B60" s="143" t="n"/>
      <c r="C60" s="143" t="n"/>
      <c r="D60" s="143" t="n"/>
      <c r="E60" s="143" t="n"/>
      <c r="F60" s="143" t="n"/>
      <c r="G60" s="143" t="n"/>
      <c r="H60" s="143" t="n"/>
      <c r="I60" s="143" t="n"/>
      <c r="J60" s="143" t="n"/>
      <c r="K60" s="143" t="n"/>
      <c r="L60" s="143" t="n"/>
      <c r="M60" s="143" t="n"/>
      <c r="N60" s="143" t="n"/>
      <c r="O60" s="143" t="n"/>
      <c r="P60" s="143" t="n"/>
      <c r="Q60" s="144" t="n"/>
    </row>
    <row r="61">
      <c r="A61" s="18" t="n">
        <v>45</v>
      </c>
      <c r="B61" s="19" t="inlineStr">
        <is>
          <t xml:space="preserve">        Unidad Condensadora VRF 10 HP</t>
        </is>
      </c>
      <c r="C61" s="20" t="inlineStr">
        <is>
          <t>Comercial / Industrial / Hosp</t>
        </is>
      </c>
      <c r="D61" s="18" t="inlineStr">
        <is>
          <t>VRF</t>
        </is>
      </c>
      <c r="E61" s="18" t="inlineStr">
        <is>
          <t>U</t>
        </is>
      </c>
      <c r="F61" s="21" t="n">
        <v>0</v>
      </c>
      <c r="G61" s="22" t="n">
        <v>9800</v>
      </c>
      <c r="H61" s="22" t="n">
        <v>9996</v>
      </c>
      <c r="I61" s="18" t="inlineStr">
        <is>
          <t>Megametales</t>
        </is>
      </c>
      <c r="J61" s="22" t="n">
        <v>10584</v>
      </c>
      <c r="K61" s="18" t="inlineStr">
        <is>
          <t>Kywi / Megakywi</t>
        </is>
      </c>
      <c r="L61" s="8">
        <f>F61*G61</f>
        <v/>
      </c>
      <c r="M61" s="145" t="inlineStr">
        <is>
          <t>MEC-D30-VRF-CON-10HP</t>
        </is>
      </c>
      <c r="N61" s="18" t="inlineStr">
        <is>
          <t>Mecánicas: climatización y ventilación (HVAC)</t>
        </is>
      </c>
      <c r="O61" s="18" t="inlineStr">
        <is>
          <t>Estimado DION · criterio de mercado Guayaquil 2026 (no verificado en tienda)</t>
        </is>
      </c>
      <c r="P61" s="18" t="inlineStr">
        <is>
          <t>oct-2026 (est.)</t>
        </is>
      </c>
      <c r="Q61" s="18" t="n"/>
    </row>
    <row r="62">
      <c r="A62" s="254" t="n">
        <v>46</v>
      </c>
      <c r="B62" s="255" t="inlineStr">
        <is>
          <t xml:space="preserve">        Unidad Condensadora VRF 20 HP</t>
        </is>
      </c>
      <c r="C62" s="256" t="inlineStr">
        <is>
          <t>Comercial / Industrial / Hosp</t>
        </is>
      </c>
      <c r="D62" s="254" t="inlineStr">
        <is>
          <t>VRF</t>
        </is>
      </c>
      <c r="E62" s="254" t="inlineStr">
        <is>
          <t>U</t>
        </is>
      </c>
      <c r="F62" s="257" t="n">
        <v>0</v>
      </c>
      <c r="G62" s="258" t="n">
        <v>18500</v>
      </c>
      <c r="H62" s="258" t="n">
        <v>19055</v>
      </c>
      <c r="I62" s="254" t="inlineStr">
        <is>
          <t>Megametales</t>
        </is>
      </c>
      <c r="J62" s="258" t="n">
        <v>19795</v>
      </c>
      <c r="K62" s="254" t="inlineStr">
        <is>
          <t>Kywi / Megakywi</t>
        </is>
      </c>
      <c r="L62" s="259">
        <f>F62*G62</f>
        <v/>
      </c>
      <c r="M62" s="260" t="inlineStr">
        <is>
          <t>MEC-D30-VRF-CON-20HP</t>
        </is>
      </c>
      <c r="N62" s="254" t="inlineStr">
        <is>
          <t>Mecánicas: climatización y ventilación (HVAC)</t>
        </is>
      </c>
      <c r="O62" s="254" t="inlineStr">
        <is>
          <t>Estimado DION · criterio de mercado Guayaquil 2026 (no verificado en tienda)</t>
        </is>
      </c>
      <c r="P62" s="254" t="inlineStr">
        <is>
          <t>oct-2026 (est.)</t>
        </is>
      </c>
      <c r="Q62" s="254" t="n"/>
    </row>
    <row r="63">
      <c r="A63" s="18" t="n">
        <v>47</v>
      </c>
      <c r="B63" s="19" t="inlineStr">
        <is>
          <t xml:space="preserve">        Unidad Interior VRF Cassette 3.6 kW</t>
        </is>
      </c>
      <c r="C63" s="20" t="inlineStr">
        <is>
          <t>Comercial / Industrial / Hosp</t>
        </is>
      </c>
      <c r="D63" s="18" t="inlineStr">
        <is>
          <t>VRF</t>
        </is>
      </c>
      <c r="E63" s="18" t="inlineStr">
        <is>
          <t>U</t>
        </is>
      </c>
      <c r="F63" s="21" t="n">
        <v>0</v>
      </c>
      <c r="G63" s="22" t="n">
        <v>780</v>
      </c>
      <c r="H63" s="22" t="n">
        <v>811.2</v>
      </c>
      <c r="I63" s="18" t="inlineStr">
        <is>
          <t>Megametales</t>
        </is>
      </c>
      <c r="J63" s="22" t="n">
        <v>865.8</v>
      </c>
      <c r="K63" s="18" t="inlineStr">
        <is>
          <t>Kywi / Megakywi</t>
        </is>
      </c>
      <c r="L63" s="8">
        <f>F63*G63</f>
        <v/>
      </c>
      <c r="M63" s="145" t="inlineStr">
        <is>
          <t>MEC-D30-VRF-CAS-3P6KW</t>
        </is>
      </c>
      <c r="N63" s="18" t="inlineStr">
        <is>
          <t>Mecánicas: climatización y ventilación (HVAC)</t>
        </is>
      </c>
      <c r="O63" s="18" t="inlineStr">
        <is>
          <t>Estimado DION · criterio de mercado Guayaquil 2026 (no verificado en tienda)</t>
        </is>
      </c>
      <c r="P63" s="18" t="inlineStr">
        <is>
          <t>oct-2026 (est.)</t>
        </is>
      </c>
      <c r="Q63" s="18" t="n"/>
    </row>
    <row r="64">
      <c r="A64" s="254" t="n">
        <v>48</v>
      </c>
      <c r="B64" s="255" t="inlineStr">
        <is>
          <t xml:space="preserve">        Unidad Interior VRF Ducto 7.1 kW</t>
        </is>
      </c>
      <c r="C64" s="256" t="inlineStr">
        <is>
          <t>Comercial / Industrial / Hosp</t>
        </is>
      </c>
      <c r="D64" s="254" t="inlineStr">
        <is>
          <t>VRF</t>
        </is>
      </c>
      <c r="E64" s="254" t="inlineStr">
        <is>
          <t>U</t>
        </is>
      </c>
      <c r="F64" s="257" t="n">
        <v>0</v>
      </c>
      <c r="G64" s="258" t="n">
        <v>980</v>
      </c>
      <c r="H64" s="258" t="n">
        <v>1009.4</v>
      </c>
      <c r="I64" s="254" t="inlineStr">
        <is>
          <t>Megametales</t>
        </is>
      </c>
      <c r="J64" s="258" t="n">
        <v>1068.2</v>
      </c>
      <c r="K64" s="254" t="inlineStr">
        <is>
          <t>Kywi / Megakywi</t>
        </is>
      </c>
      <c r="L64" s="259">
        <f>F64*G64</f>
        <v/>
      </c>
      <c r="M64" s="260" t="inlineStr">
        <is>
          <t>MEC-D30-VRF-DUC-7P1KW</t>
        </is>
      </c>
      <c r="N64" s="254" t="inlineStr">
        <is>
          <t>Mecánicas: climatización y ventilación (HVAC)</t>
        </is>
      </c>
      <c r="O64" s="254" t="inlineStr">
        <is>
          <t>Estimado DION · criterio de mercado Guayaquil 2026 (no verificado en tienda)</t>
        </is>
      </c>
      <c r="P64" s="254" t="inlineStr">
        <is>
          <t>oct-2026 (est.)</t>
        </is>
      </c>
      <c r="Q64" s="254" t="n"/>
    </row>
    <row r="65">
      <c r="A65" s="18" t="n">
        <v>49</v>
      </c>
      <c r="B65" s="19" t="inlineStr">
        <is>
          <t xml:space="preserve">        Unidad Interior VRF Pared 2.8 kW</t>
        </is>
      </c>
      <c r="C65" s="20" t="inlineStr">
        <is>
          <t>Comercial / Industrial / Hosp</t>
        </is>
      </c>
      <c r="D65" s="18" t="inlineStr">
        <is>
          <t>VRF</t>
        </is>
      </c>
      <c r="E65" s="18" t="inlineStr">
        <is>
          <t>U</t>
        </is>
      </c>
      <c r="F65" s="21" t="n">
        <v>0</v>
      </c>
      <c r="G65" s="22" t="n">
        <v>520</v>
      </c>
      <c r="H65" s="22" t="n">
        <v>535.6</v>
      </c>
      <c r="I65" s="18" t="inlineStr">
        <is>
          <t>Megametales</t>
        </is>
      </c>
      <c r="J65" s="22" t="n">
        <v>566.8</v>
      </c>
      <c r="K65" s="18" t="inlineStr">
        <is>
          <t>Kywi / Megakywi</t>
        </is>
      </c>
      <c r="L65" s="8">
        <f>F65*G65</f>
        <v/>
      </c>
      <c r="M65" s="145" t="inlineStr">
        <is>
          <t>MEC-D30-VRF-PAR-2P8KW</t>
        </is>
      </c>
      <c r="N65" s="18" t="inlineStr">
        <is>
          <t>Mecánicas: climatización y ventilación (HVAC)</t>
        </is>
      </c>
      <c r="O65" s="18" t="inlineStr">
        <is>
          <t>Estimado DION · criterio de mercado Guayaquil 2026 (no verificado en tienda)</t>
        </is>
      </c>
      <c r="P65" s="18" t="inlineStr">
        <is>
          <t>oct-2026 (est.)</t>
        </is>
      </c>
      <c r="Q65" s="18" t="n"/>
    </row>
    <row r="66">
      <c r="A66" s="254" t="n">
        <v>50</v>
      </c>
      <c r="B66" s="255" t="inlineStr">
        <is>
          <t xml:space="preserve">        Kit Ramal Refnet (Y) VRF</t>
        </is>
      </c>
      <c r="C66" s="256" t="inlineStr">
        <is>
          <t>Comercial / Industrial / Hosp</t>
        </is>
      </c>
      <c r="D66" s="254" t="inlineStr">
        <is>
          <t>VRF</t>
        </is>
      </c>
      <c r="E66" s="254" t="inlineStr">
        <is>
          <t>U</t>
        </is>
      </c>
      <c r="F66" s="257" t="n">
        <v>1</v>
      </c>
      <c r="G66" s="258" t="n">
        <v>85</v>
      </c>
      <c r="H66" s="258" t="n">
        <v>89.25</v>
      </c>
      <c r="I66" s="254" t="inlineStr">
        <is>
          <t>Megametales</t>
        </is>
      </c>
      <c r="J66" s="258" t="n">
        <v>93.5</v>
      </c>
      <c r="K66" s="254" t="inlineStr">
        <is>
          <t>Kywi / Megakywi</t>
        </is>
      </c>
      <c r="L66" s="259">
        <f>F66*G66</f>
        <v/>
      </c>
      <c r="M66" s="260" t="inlineStr">
        <is>
          <t>MEC-D30-VRF-RAM-Y</t>
        </is>
      </c>
      <c r="N66" s="254" t="inlineStr">
        <is>
          <t>Mecánicas: climatización y ventilación (HVAC)</t>
        </is>
      </c>
      <c r="O66" s="254" t="inlineStr">
        <is>
          <t>Estimado DION · criterio de mercado Guayaquil 2026 (no verificado en tienda)</t>
        </is>
      </c>
      <c r="P66" s="254" t="inlineStr">
        <is>
          <t>oct-2026 (est.)</t>
        </is>
      </c>
      <c r="Q66" s="254" t="n"/>
    </row>
    <row r="67">
      <c r="A67" s="18" t="n">
        <v>51</v>
      </c>
      <c r="B67" s="19" t="inlineStr">
        <is>
          <t xml:space="preserve">        Control Alámbrico Individual VRF</t>
        </is>
      </c>
      <c r="C67" s="20" t="inlineStr">
        <is>
          <t>Comercial / Industrial / Hosp</t>
        </is>
      </c>
      <c r="D67" s="18" t="inlineStr">
        <is>
          <t>VRF</t>
        </is>
      </c>
      <c r="E67" s="18" t="inlineStr">
        <is>
          <t>U</t>
        </is>
      </c>
      <c r="F67" s="21" t="n">
        <v>1</v>
      </c>
      <c r="G67" s="22" t="n">
        <v>95</v>
      </c>
      <c r="H67" s="22" t="n">
        <v>99.75</v>
      </c>
      <c r="I67" s="18" t="inlineStr">
        <is>
          <t>Megametales</t>
        </is>
      </c>
      <c r="J67" s="22" t="n">
        <v>104.5</v>
      </c>
      <c r="K67" s="18" t="inlineStr">
        <is>
          <t>Kywi / Megakywi</t>
        </is>
      </c>
      <c r="L67" s="8">
        <f>F67*G67</f>
        <v/>
      </c>
      <c r="M67" s="145" t="inlineStr">
        <is>
          <t>MEC-D30-VRF-CTL-IND</t>
        </is>
      </c>
      <c r="N67" s="18" t="inlineStr">
        <is>
          <t>Mecánicas: climatización y ventilación (HVAC)</t>
        </is>
      </c>
      <c r="O67" s="18" t="inlineStr">
        <is>
          <t>Estimado DION · criterio de mercado Guayaquil 2026 (no verificado en tienda)</t>
        </is>
      </c>
      <c r="P67" s="18" t="inlineStr">
        <is>
          <t>oct-2026 (est.)</t>
        </is>
      </c>
      <c r="Q67" s="18" t="n"/>
    </row>
    <row r="68">
      <c r="A68" s="254" t="n">
        <v>52</v>
      </c>
      <c r="B68" s="255" t="inlineStr">
        <is>
          <t xml:space="preserve">        Chiller Enfriado por Aire 60 TR</t>
        </is>
      </c>
      <c r="C68" s="256" t="inlineStr">
        <is>
          <t>Comercial / Industrial / Hosp</t>
        </is>
      </c>
      <c r="D68" s="254" t="inlineStr">
        <is>
          <t>Chillers</t>
        </is>
      </c>
      <c r="E68" s="254" t="inlineStr">
        <is>
          <t>U</t>
        </is>
      </c>
      <c r="F68" s="257" t="n">
        <v>0</v>
      </c>
      <c r="G68" s="258" t="n">
        <v>62000</v>
      </c>
      <c r="H68" s="258" t="n">
        <v>65100</v>
      </c>
      <c r="I68" s="254" t="inlineStr">
        <is>
          <t>Megametales</t>
        </is>
      </c>
      <c r="J68" s="258" t="n">
        <v>68200</v>
      </c>
      <c r="K68" s="254" t="inlineStr">
        <is>
          <t>Kywi / Megakywi</t>
        </is>
      </c>
      <c r="L68" s="259">
        <f>F68*G68</f>
        <v/>
      </c>
      <c r="M68" s="260" t="inlineStr">
        <is>
          <t>MEC-D30-CHI-AIR-060TR</t>
        </is>
      </c>
      <c r="N68" s="254" t="inlineStr">
        <is>
          <t>Mecánicas: climatización y ventilación (HVAC)</t>
        </is>
      </c>
      <c r="O68" s="254" t="inlineStr">
        <is>
          <t>Estimado DION · criterio de mercado Guayaquil 2026 (no verificado en tienda)</t>
        </is>
      </c>
      <c r="P68" s="254" t="inlineStr">
        <is>
          <t>oct-2026 (est.)</t>
        </is>
      </c>
      <c r="Q68" s="254" t="n"/>
    </row>
    <row r="69">
      <c r="A69" s="18" t="n">
        <v>53</v>
      </c>
      <c r="B69" s="19" t="inlineStr">
        <is>
          <t xml:space="preserve">        Chiller Enfriado por Aire 150 TR</t>
        </is>
      </c>
      <c r="C69" s="20" t="inlineStr">
        <is>
          <t>Comercial / Industrial / Hosp</t>
        </is>
      </c>
      <c r="D69" s="18" t="inlineStr">
        <is>
          <t>Chillers</t>
        </is>
      </c>
      <c r="E69" s="18" t="inlineStr">
        <is>
          <t>U</t>
        </is>
      </c>
      <c r="F69" s="21" t="n">
        <v>0</v>
      </c>
      <c r="G69" s="22" t="n">
        <v>138000</v>
      </c>
      <c r="H69" s="22" t="n">
        <v>140760</v>
      </c>
      <c r="I69" s="18" t="inlineStr">
        <is>
          <t>Megametales</t>
        </is>
      </c>
      <c r="J69" s="22" t="n">
        <v>151800</v>
      </c>
      <c r="K69" s="18" t="inlineStr">
        <is>
          <t>Kywi / Megakywi</t>
        </is>
      </c>
      <c r="L69" s="8">
        <f>F69*G69</f>
        <v/>
      </c>
      <c r="M69" s="145" t="inlineStr">
        <is>
          <t>MEC-D30-CHI-AIR-150TR</t>
        </is>
      </c>
      <c r="N69" s="18" t="inlineStr">
        <is>
          <t>Mecánicas: climatización y ventilación (HVAC)</t>
        </is>
      </c>
      <c r="O69" s="18" t="inlineStr">
        <is>
          <t>Estimado DION · criterio de mercado Guayaquil 2026 (no verificado en tienda)</t>
        </is>
      </c>
      <c r="P69" s="18" t="inlineStr">
        <is>
          <t>oct-2026 (est.)</t>
        </is>
      </c>
      <c r="Q69" s="18" t="n"/>
    </row>
    <row r="70">
      <c r="A70" s="254" t="n">
        <v>54</v>
      </c>
      <c r="B70" s="255" t="inlineStr">
        <is>
          <t xml:space="preserve">        Bomba de Agua Helada 10 HP</t>
        </is>
      </c>
      <c r="C70" s="256" t="inlineStr">
        <is>
          <t>Comercial / Industrial / Hosp</t>
        </is>
      </c>
      <c r="D70" s="254" t="inlineStr">
        <is>
          <t>Bombas AH</t>
        </is>
      </c>
      <c r="E70" s="254" t="inlineStr">
        <is>
          <t>U</t>
        </is>
      </c>
      <c r="F70" s="257" t="n">
        <v>0</v>
      </c>
      <c r="G70" s="258" t="n">
        <v>4800</v>
      </c>
      <c r="H70" s="258" t="n">
        <v>4944</v>
      </c>
      <c r="I70" s="254" t="inlineStr">
        <is>
          <t>Megametales</t>
        </is>
      </c>
      <c r="J70" s="258" t="n">
        <v>5280</v>
      </c>
      <c r="K70" s="254" t="inlineStr">
        <is>
          <t>Kywi / Megakywi</t>
        </is>
      </c>
      <c r="L70" s="259">
        <f>F70*G70</f>
        <v/>
      </c>
      <c r="M70" s="260" t="inlineStr">
        <is>
          <t>MEC-D30-CHI-BAH-10HP</t>
        </is>
      </c>
      <c r="N70" s="254" t="inlineStr">
        <is>
          <t>Mecánicas: climatización y ventilación (HVAC)</t>
        </is>
      </c>
      <c r="O70" s="254" t="inlineStr">
        <is>
          <t>Estimado DION · criterio de mercado Guayaquil 2026 (no verificado en tienda)</t>
        </is>
      </c>
      <c r="P70" s="254" t="inlineStr">
        <is>
          <t>oct-2026 (est.)</t>
        </is>
      </c>
      <c r="Q70" s="254" t="n"/>
    </row>
    <row r="71">
      <c r="A71" s="18" t="n">
        <v>55</v>
      </c>
      <c r="B71" s="19" t="inlineStr">
        <is>
          <t xml:space="preserve">        Manejadora de Aire 4 000 CFM</t>
        </is>
      </c>
      <c r="C71" s="20" t="inlineStr">
        <is>
          <t>Comercial / Industrial / Hosp</t>
        </is>
      </c>
      <c r="D71" s="18" t="inlineStr">
        <is>
          <t>Manejadoras</t>
        </is>
      </c>
      <c r="E71" s="18" t="inlineStr">
        <is>
          <t>U</t>
        </is>
      </c>
      <c r="F71" s="21" t="n">
        <v>0</v>
      </c>
      <c r="G71" s="22" t="n">
        <v>9500</v>
      </c>
      <c r="H71" s="22" t="n">
        <v>9785</v>
      </c>
      <c r="I71" s="18" t="inlineStr">
        <is>
          <t>Megametales</t>
        </is>
      </c>
      <c r="J71" s="22" t="n">
        <v>10545</v>
      </c>
      <c r="K71" s="18" t="inlineStr">
        <is>
          <t>Kywi / Megakywi</t>
        </is>
      </c>
      <c r="L71" s="8">
        <f>F71*G71</f>
        <v/>
      </c>
      <c r="M71" s="145" t="inlineStr">
        <is>
          <t>MEC-D30-UMA-AHU-04000CFM</t>
        </is>
      </c>
      <c r="N71" s="18" t="inlineStr">
        <is>
          <t>Mecánicas: climatización y ventilación (HVAC)</t>
        </is>
      </c>
      <c r="O71" s="18" t="inlineStr">
        <is>
          <t>Estimado DION · criterio de mercado Guayaquil 2026 (no verificado en tienda)</t>
        </is>
      </c>
      <c r="P71" s="18" t="inlineStr">
        <is>
          <t>oct-2026 (est.)</t>
        </is>
      </c>
      <c r="Q71" s="18" t="n"/>
    </row>
    <row r="72">
      <c r="A72" s="254" t="n">
        <v>56</v>
      </c>
      <c r="B72" s="255" t="inlineStr">
        <is>
          <t xml:space="preserve">        Manejadora Hospitalaria con Filtros HEPA 4 000 CFM</t>
        </is>
      </c>
      <c r="C72" s="256" t="inlineStr">
        <is>
          <t>Comercial / Industrial / Hosp</t>
        </is>
      </c>
      <c r="D72" s="254" t="inlineStr">
        <is>
          <t>Manejadoras</t>
        </is>
      </c>
      <c r="E72" s="254" t="inlineStr">
        <is>
          <t>U</t>
        </is>
      </c>
      <c r="F72" s="257" t="n">
        <v>0</v>
      </c>
      <c r="G72" s="258" t="n">
        <v>16500</v>
      </c>
      <c r="H72" s="258" t="n">
        <v>17325</v>
      </c>
      <c r="I72" s="254" t="inlineStr">
        <is>
          <t>Megametales</t>
        </is>
      </c>
      <c r="J72" s="258" t="n">
        <v>17985</v>
      </c>
      <c r="K72" s="254" t="inlineStr">
        <is>
          <t>Kywi / Megakywi</t>
        </is>
      </c>
      <c r="L72" s="259">
        <f>F72*G72</f>
        <v/>
      </c>
      <c r="M72" s="260" t="inlineStr">
        <is>
          <t>MEC-D30-UMA-AHU-HOS-4000CFM</t>
        </is>
      </c>
      <c r="N72" s="254" t="inlineStr">
        <is>
          <t>Mecánicas: climatización y ventilación (HVAC)</t>
        </is>
      </c>
      <c r="O72" s="254" t="inlineStr">
        <is>
          <t>Estimado DION · criterio de mercado Guayaquil 2026 (no verificado en tienda)</t>
        </is>
      </c>
      <c r="P72" s="254" t="inlineStr">
        <is>
          <t>oct-2026 (est.)</t>
        </is>
      </c>
      <c r="Q72" s="254" t="n"/>
    </row>
    <row r="73">
      <c r="A73" s="18" t="n">
        <v>57</v>
      </c>
      <c r="B73" s="19" t="inlineStr">
        <is>
          <t xml:space="preserve">        Fan Coil 600 CFM</t>
        </is>
      </c>
      <c r="C73" s="20" t="inlineStr">
        <is>
          <t>Comercial / Industrial / Hosp</t>
        </is>
      </c>
      <c r="D73" s="18" t="inlineStr">
        <is>
          <t>Fan Coils</t>
        </is>
      </c>
      <c r="E73" s="18" t="inlineStr">
        <is>
          <t>U</t>
        </is>
      </c>
      <c r="F73" s="21" t="n">
        <v>0</v>
      </c>
      <c r="G73" s="22" t="n">
        <v>1350</v>
      </c>
      <c r="H73" s="22" t="n">
        <v>1390.5</v>
      </c>
      <c r="I73" s="18" t="inlineStr">
        <is>
          <t>Megametales</t>
        </is>
      </c>
      <c r="J73" s="22" t="n">
        <v>1458</v>
      </c>
      <c r="K73" s="18" t="inlineStr">
        <is>
          <t>Kywi / Megakywi</t>
        </is>
      </c>
      <c r="L73" s="8">
        <f>F73*G73</f>
        <v/>
      </c>
      <c r="M73" s="145" t="inlineStr">
        <is>
          <t>MEC-D30-UMA-FCU-0600CFM</t>
        </is>
      </c>
      <c r="N73" s="18" t="inlineStr">
        <is>
          <t>Mecánicas: climatización y ventilación (HVAC)</t>
        </is>
      </c>
      <c r="O73" s="18" t="inlineStr">
        <is>
          <t>Estimado DION · criterio de mercado Guayaquil 2026 (no verificado en tienda)</t>
        </is>
      </c>
      <c r="P73" s="18" t="inlineStr">
        <is>
          <t>oct-2026 (est.)</t>
        </is>
      </c>
      <c r="Q73" s="18" t="n"/>
    </row>
    <row r="74">
      <c r="A74" s="254" t="n">
        <v>58</v>
      </c>
      <c r="B74" s="255" t="inlineStr">
        <is>
          <t xml:space="preserve">        Recuperador de Energía ERV 600 CFM</t>
        </is>
      </c>
      <c r="C74" s="256" t="inlineStr">
        <is>
          <t>Comercial / Industrial / Hosp</t>
        </is>
      </c>
      <c r="D74" s="254" t="inlineStr">
        <is>
          <t>Recuperadores</t>
        </is>
      </c>
      <c r="E74" s="254" t="inlineStr">
        <is>
          <t>U</t>
        </is>
      </c>
      <c r="F74" s="257" t="n">
        <v>0</v>
      </c>
      <c r="G74" s="258" t="n">
        <v>2900</v>
      </c>
      <c r="H74" s="258" t="n">
        <v>3045</v>
      </c>
      <c r="I74" s="254" t="inlineStr">
        <is>
          <t>Megametales</t>
        </is>
      </c>
      <c r="J74" s="258" t="n">
        <v>3190</v>
      </c>
      <c r="K74" s="254" t="inlineStr">
        <is>
          <t>Kywi / Megakywi</t>
        </is>
      </c>
      <c r="L74" s="259">
        <f>F74*G74</f>
        <v/>
      </c>
      <c r="M74" s="260" t="inlineStr">
        <is>
          <t>MEC-D30-UMA-ERV-0600CFM</t>
        </is>
      </c>
      <c r="N74" s="254" t="inlineStr">
        <is>
          <t>Mecánicas: climatización y ventilación (HVAC)</t>
        </is>
      </c>
      <c r="O74" s="254" t="inlineStr">
        <is>
          <t>Estimado DION · criterio de mercado Guayaquil 2026 (no verificado en tienda)</t>
        </is>
      </c>
      <c r="P74" s="254" t="inlineStr">
        <is>
          <t>oct-2026 (est.)</t>
        </is>
      </c>
      <c r="Q74" s="254" t="n"/>
    </row>
    <row r="75">
      <c r="A75" s="18" t="n">
        <v>59</v>
      </c>
      <c r="B75" s="19" t="inlineStr">
        <is>
          <t xml:space="preserve">        Deshumidificador Industrial 100 L/día</t>
        </is>
      </c>
      <c r="C75" s="20" t="inlineStr">
        <is>
          <t>Comercial / Industrial / Hosp</t>
        </is>
      </c>
      <c r="D75" s="18" t="inlineStr">
        <is>
          <t>Deshumidificadores</t>
        </is>
      </c>
      <c r="E75" s="18" t="inlineStr">
        <is>
          <t>U</t>
        </is>
      </c>
      <c r="F75" s="21" t="n">
        <v>0</v>
      </c>
      <c r="G75" s="22" t="n">
        <v>1650</v>
      </c>
      <c r="H75" s="22" t="n">
        <v>1699.5</v>
      </c>
      <c r="I75" s="18" t="inlineStr">
        <is>
          <t>Megametales</t>
        </is>
      </c>
      <c r="J75" s="22" t="n">
        <v>1831.5</v>
      </c>
      <c r="K75" s="18" t="inlineStr">
        <is>
          <t>Kywi / Megakywi</t>
        </is>
      </c>
      <c r="L75" s="8">
        <f>F75*G75</f>
        <v/>
      </c>
      <c r="M75" s="145" t="inlineStr">
        <is>
          <t>MEC-D30-UMA-DES-HUM</t>
        </is>
      </c>
      <c r="N75" s="18" t="inlineStr">
        <is>
          <t>Mecánicas: climatización y ventilación (HVAC)</t>
        </is>
      </c>
      <c r="O75" s="18" t="inlineStr">
        <is>
          <t>Estimado DION · criterio de mercado Guayaquil 2026 (no verificado en tienda)</t>
        </is>
      </c>
      <c r="P75" s="18" t="inlineStr">
        <is>
          <t>oct-2026 (est.)</t>
        </is>
      </c>
      <c r="Q75" s="18" t="n"/>
    </row>
    <row r="76">
      <c r="A76" s="251" t="inlineStr">
        <is>
          <t>CONEXIONES</t>
        </is>
      </c>
      <c r="B76" s="143" t="n"/>
      <c r="C76" s="143" t="n"/>
      <c r="D76" s="143" t="n"/>
      <c r="E76" s="143" t="n"/>
      <c r="F76" s="143" t="n"/>
      <c r="G76" s="143" t="n"/>
      <c r="H76" s="143" t="n"/>
      <c r="I76" s="143" t="n"/>
      <c r="J76" s="143" t="n"/>
      <c r="K76" s="143" t="n"/>
      <c r="L76" s="143" t="n"/>
      <c r="M76" s="143" t="n"/>
      <c r="N76" s="143" t="n"/>
      <c r="O76" s="143" t="n"/>
      <c r="P76" s="143" t="n"/>
      <c r="Q76" s="144" t="n"/>
    </row>
    <row r="77">
      <c r="A77" s="252" t="inlineStr">
        <is>
          <t xml:space="preserve">  ► CATEGORÍA: DUCTOS, ACCESORIOS Y COMPUERTAS</t>
        </is>
      </c>
      <c r="B77" s="143" t="n"/>
      <c r="C77" s="143" t="n"/>
      <c r="D77" s="143" t="n"/>
      <c r="E77" s="143" t="n"/>
      <c r="F77" s="143" t="n"/>
      <c r="G77" s="143" t="n"/>
      <c r="H77" s="143" t="n"/>
      <c r="I77" s="143" t="n"/>
      <c r="J77" s="143" t="n"/>
      <c r="K77" s="143" t="n"/>
      <c r="L77" s="143" t="n"/>
      <c r="M77" s="143" t="n"/>
      <c r="N77" s="143" t="n"/>
      <c r="O77" s="143" t="n"/>
      <c r="P77" s="143" t="n"/>
      <c r="Q77" s="144" t="n"/>
    </row>
    <row r="78">
      <c r="A78" s="253" t="inlineStr">
        <is>
          <t xml:space="preserve">      • Subcategoría Especificada: Ductos por Sección, Flexibles y Compuertas</t>
        </is>
      </c>
      <c r="B78" s="143" t="n"/>
      <c r="C78" s="143" t="n"/>
      <c r="D78" s="143" t="n"/>
      <c r="E78" s="143" t="n"/>
      <c r="F78" s="143" t="n"/>
      <c r="G78" s="143" t="n"/>
      <c r="H78" s="143" t="n"/>
      <c r="I78" s="143" t="n"/>
      <c r="J78" s="143" t="n"/>
      <c r="K78" s="143" t="n"/>
      <c r="L78" s="143" t="n"/>
      <c r="M78" s="143" t="n"/>
      <c r="N78" s="143" t="n"/>
      <c r="O78" s="143" t="n"/>
      <c r="P78" s="143" t="n"/>
      <c r="Q78" s="144" t="n"/>
    </row>
    <row r="79">
      <c r="A79" s="254" t="n">
        <v>60</v>
      </c>
      <c r="B79" s="255" t="inlineStr">
        <is>
          <t xml:space="preserve">        Ducto Galvanizado Rectangular 20x15 cm (m, fabricado)</t>
        </is>
      </c>
      <c r="C79" s="256" t="inlineStr">
        <is>
          <t>Comercial / Industrial</t>
        </is>
      </c>
      <c r="D79" s="254" t="inlineStr">
        <is>
          <t>Ductos Galvanizados</t>
        </is>
      </c>
      <c r="E79" s="254" t="inlineStr">
        <is>
          <t>m</t>
        </is>
      </c>
      <c r="F79" s="257" t="n">
        <v>10</v>
      </c>
      <c r="G79" s="258" t="n">
        <v>14</v>
      </c>
      <c r="H79" s="258" t="n">
        <v>14.7</v>
      </c>
      <c r="I79" s="254" t="inlineStr">
        <is>
          <t>Megametales</t>
        </is>
      </c>
      <c r="J79" s="258" t="n">
        <v>15.26</v>
      </c>
      <c r="K79" s="254" t="inlineStr">
        <is>
          <t>Kywi / Megakywi</t>
        </is>
      </c>
      <c r="L79" s="259">
        <f>F79*G79</f>
        <v/>
      </c>
      <c r="M79" s="260" t="inlineStr">
        <is>
          <t>MEC-D30-DUC-GAL-020X015</t>
        </is>
      </c>
      <c r="N79" s="254" t="inlineStr">
        <is>
          <t>Mecánicas: climatización y ventilación (HVAC)</t>
        </is>
      </c>
      <c r="O79" s="254" t="inlineStr">
        <is>
          <t>Estimado DION · criterio de mercado Guayaquil 2026 (no verificado en tienda)</t>
        </is>
      </c>
      <c r="P79" s="254" t="inlineStr">
        <is>
          <t>oct-2026 (est.)</t>
        </is>
      </c>
      <c r="Q79" s="254" t="n">
        <v>5</v>
      </c>
    </row>
    <row r="80">
      <c r="A80" s="18" t="n">
        <v>61</v>
      </c>
      <c r="B80" s="19" t="inlineStr">
        <is>
          <t xml:space="preserve">        Ducto Galvanizado Rectangular 30x20 cm (m, fabricado)</t>
        </is>
      </c>
      <c r="C80" s="20" t="inlineStr">
        <is>
          <t>Comercial / Industrial</t>
        </is>
      </c>
      <c r="D80" s="18" t="inlineStr">
        <is>
          <t>Ductos Galvanizados</t>
        </is>
      </c>
      <c r="E80" s="18" t="inlineStr">
        <is>
          <t>m</t>
        </is>
      </c>
      <c r="F80" s="21" t="n">
        <v>10</v>
      </c>
      <c r="G80" s="22" t="n">
        <v>19</v>
      </c>
      <c r="H80" s="22" t="n">
        <v>19.38</v>
      </c>
      <c r="I80" s="18" t="inlineStr">
        <is>
          <t>Megametales</t>
        </is>
      </c>
      <c r="J80" s="22" t="n">
        <v>21.09</v>
      </c>
      <c r="K80" s="18" t="inlineStr">
        <is>
          <t>Kywi / Megakywi</t>
        </is>
      </c>
      <c r="L80" s="8">
        <f>F80*G80</f>
        <v/>
      </c>
      <c r="M80" s="145" t="inlineStr">
        <is>
          <t>MEC-D30-DUC-GAL-030X020</t>
        </is>
      </c>
      <c r="N80" s="18" t="inlineStr">
        <is>
          <t>Mecánicas: climatización y ventilación (HVAC)</t>
        </is>
      </c>
      <c r="O80" s="18" t="inlineStr">
        <is>
          <t>Estimado DION · criterio de mercado Guayaquil 2026 (no verificado en tienda)</t>
        </is>
      </c>
      <c r="P80" s="18" t="inlineStr">
        <is>
          <t>oct-2026 (est.)</t>
        </is>
      </c>
      <c r="Q80" s="18" t="n">
        <v>5</v>
      </c>
    </row>
    <row r="81">
      <c r="A81" s="254" t="n">
        <v>62</v>
      </c>
      <c r="B81" s="255" t="inlineStr">
        <is>
          <t xml:space="preserve">        Ducto Galvanizado Rectangular 40x25 cm (m, fabricado)</t>
        </is>
      </c>
      <c r="C81" s="256" t="inlineStr">
        <is>
          <t>Comercial / Industrial</t>
        </is>
      </c>
      <c r="D81" s="254" t="inlineStr">
        <is>
          <t>Ductos Galvanizados</t>
        </is>
      </c>
      <c r="E81" s="254" t="inlineStr">
        <is>
          <t>m</t>
        </is>
      </c>
      <c r="F81" s="257" t="n">
        <v>10</v>
      </c>
      <c r="G81" s="258" t="n">
        <v>24</v>
      </c>
      <c r="H81" s="258" t="n">
        <v>24.48</v>
      </c>
      <c r="I81" s="254" t="inlineStr">
        <is>
          <t>Megametales</t>
        </is>
      </c>
      <c r="J81" s="258" t="n">
        <v>26.64</v>
      </c>
      <c r="K81" s="254" t="inlineStr">
        <is>
          <t>Kywi / Megakywi</t>
        </is>
      </c>
      <c r="L81" s="259">
        <f>F81*G81</f>
        <v/>
      </c>
      <c r="M81" s="260" t="inlineStr">
        <is>
          <t>MEC-D30-DUC-GAL-040X025</t>
        </is>
      </c>
      <c r="N81" s="254" t="inlineStr">
        <is>
          <t>Mecánicas: climatización y ventilación (HVAC)</t>
        </is>
      </c>
      <c r="O81" s="254" t="inlineStr">
        <is>
          <t>Estimado DION · criterio de mercado Guayaquil 2026 (no verificado en tienda)</t>
        </is>
      </c>
      <c r="P81" s="254" t="inlineStr">
        <is>
          <t>oct-2026 (est.)</t>
        </is>
      </c>
      <c r="Q81" s="254" t="n">
        <v>5</v>
      </c>
    </row>
    <row r="82">
      <c r="A82" s="18" t="n">
        <v>63</v>
      </c>
      <c r="B82" s="19" t="inlineStr">
        <is>
          <t xml:space="preserve">        Ducto Galvanizado Rectangular 50x30 cm (m, fabricado)</t>
        </is>
      </c>
      <c r="C82" s="20" t="inlineStr">
        <is>
          <t>Comercial / Industrial</t>
        </is>
      </c>
      <c r="D82" s="18" t="inlineStr">
        <is>
          <t>Ductos Galvanizados</t>
        </is>
      </c>
      <c r="E82" s="18" t="inlineStr">
        <is>
          <t>m</t>
        </is>
      </c>
      <c r="F82" s="21" t="n">
        <v>10</v>
      </c>
      <c r="G82" s="22" t="n">
        <v>29</v>
      </c>
      <c r="H82" s="22" t="n">
        <v>30.45</v>
      </c>
      <c r="I82" s="18" t="inlineStr">
        <is>
          <t>Megametales</t>
        </is>
      </c>
      <c r="J82" s="22" t="n">
        <v>31.61</v>
      </c>
      <c r="K82" s="18" t="inlineStr">
        <is>
          <t>Kywi / Megakywi</t>
        </is>
      </c>
      <c r="L82" s="8">
        <f>F82*G82</f>
        <v/>
      </c>
      <c r="M82" s="145" t="inlineStr">
        <is>
          <t>MEC-D30-DUC-GAL-050X030</t>
        </is>
      </c>
      <c r="N82" s="18" t="inlineStr">
        <is>
          <t>Mecánicas: climatización y ventilación (HVAC)</t>
        </is>
      </c>
      <c r="O82" s="18" t="inlineStr">
        <is>
          <t>Estimado DION · criterio de mercado Guayaquil 2026 (no verificado en tienda)</t>
        </is>
      </c>
      <c r="P82" s="18" t="inlineStr">
        <is>
          <t>oct-2026 (est.)</t>
        </is>
      </c>
      <c r="Q82" s="18" t="n">
        <v>5</v>
      </c>
    </row>
    <row r="83">
      <c r="A83" s="254" t="n">
        <v>64</v>
      </c>
      <c r="B83" s="255" t="inlineStr">
        <is>
          <t xml:space="preserve">        Ducto Galvanizado Rectangular 60x30 cm (m, fabricado)</t>
        </is>
      </c>
      <c r="C83" s="256" t="inlineStr">
        <is>
          <t>Comercial / Industrial</t>
        </is>
      </c>
      <c r="D83" s="254" t="inlineStr">
        <is>
          <t>Ductos Galvanizados</t>
        </is>
      </c>
      <c r="E83" s="254" t="inlineStr">
        <is>
          <t>m</t>
        </is>
      </c>
      <c r="F83" s="257" t="n">
        <v>10</v>
      </c>
      <c r="G83" s="258" t="n">
        <v>32</v>
      </c>
      <c r="H83" s="258" t="n">
        <v>32.96</v>
      </c>
      <c r="I83" s="254" t="inlineStr">
        <is>
          <t>Megametales</t>
        </is>
      </c>
      <c r="J83" s="258" t="n">
        <v>34.56</v>
      </c>
      <c r="K83" s="254" t="inlineStr">
        <is>
          <t>Kywi / Megakywi</t>
        </is>
      </c>
      <c r="L83" s="259">
        <f>F83*G83</f>
        <v/>
      </c>
      <c r="M83" s="260" t="inlineStr">
        <is>
          <t>MEC-D30-DUC-GAL-060X030</t>
        </is>
      </c>
      <c r="N83" s="254" t="inlineStr">
        <is>
          <t>Mecánicas: climatización y ventilación (HVAC)</t>
        </is>
      </c>
      <c r="O83" s="254" t="inlineStr">
        <is>
          <t>Estimado DION · criterio de mercado Guayaquil 2026 (no verificado en tienda)</t>
        </is>
      </c>
      <c r="P83" s="254" t="inlineStr">
        <is>
          <t>oct-2026 (est.)</t>
        </is>
      </c>
      <c r="Q83" s="254" t="n">
        <v>5</v>
      </c>
    </row>
    <row r="84">
      <c r="A84" s="18" t="n">
        <v>65</v>
      </c>
      <c r="B84" s="19" t="inlineStr">
        <is>
          <t xml:space="preserve">        Ducto Galvanizado Rectangular 80x40 cm (m, fabricado)</t>
        </is>
      </c>
      <c r="C84" s="20" t="inlineStr">
        <is>
          <t>Comercial / Industrial</t>
        </is>
      </c>
      <c r="D84" s="18" t="inlineStr">
        <is>
          <t>Ductos Galvanizados</t>
        </is>
      </c>
      <c r="E84" s="18" t="inlineStr">
        <is>
          <t>m</t>
        </is>
      </c>
      <c r="F84" s="21" t="n">
        <v>10</v>
      </c>
      <c r="G84" s="22" t="n">
        <v>42</v>
      </c>
      <c r="H84" s="22" t="n">
        <v>44.1</v>
      </c>
      <c r="I84" s="18" t="inlineStr">
        <is>
          <t>Megametales</t>
        </is>
      </c>
      <c r="J84" s="22" t="n">
        <v>46.2</v>
      </c>
      <c r="K84" s="18" t="inlineStr">
        <is>
          <t>Kywi / Megakywi</t>
        </is>
      </c>
      <c r="L84" s="8">
        <f>F84*G84</f>
        <v/>
      </c>
      <c r="M84" s="145" t="inlineStr">
        <is>
          <t>MEC-D30-DUC-GAL-080X040</t>
        </is>
      </c>
      <c r="N84" s="18" t="inlineStr">
        <is>
          <t>Mecánicas: climatización y ventilación (HVAC)</t>
        </is>
      </c>
      <c r="O84" s="18" t="inlineStr">
        <is>
          <t>Estimado DION · criterio de mercado Guayaquil 2026 (no verificado en tienda)</t>
        </is>
      </c>
      <c r="P84" s="18" t="inlineStr">
        <is>
          <t>oct-2026 (est.)</t>
        </is>
      </c>
      <c r="Q84" s="18" t="n">
        <v>5</v>
      </c>
    </row>
    <row r="85">
      <c r="A85" s="254" t="n">
        <v>66</v>
      </c>
      <c r="B85" s="255" t="inlineStr">
        <is>
          <t xml:space="preserve">        Ducto Galvanizado Rectangular 100x50 cm (m, fabricado)</t>
        </is>
      </c>
      <c r="C85" s="256" t="inlineStr">
        <is>
          <t>Comercial / Industrial</t>
        </is>
      </c>
      <c r="D85" s="254" t="inlineStr">
        <is>
          <t>Ductos Galvanizados</t>
        </is>
      </c>
      <c r="E85" s="254" t="inlineStr">
        <is>
          <t>m</t>
        </is>
      </c>
      <c r="F85" s="257" t="n">
        <v>10</v>
      </c>
      <c r="G85" s="258" t="n">
        <v>55</v>
      </c>
      <c r="H85" s="258" t="n">
        <v>56.1</v>
      </c>
      <c r="I85" s="254" t="inlineStr">
        <is>
          <t>Megametales</t>
        </is>
      </c>
      <c r="J85" s="258" t="n">
        <v>61.05</v>
      </c>
      <c r="K85" s="254" t="inlineStr">
        <is>
          <t>Kywi / Megakywi</t>
        </is>
      </c>
      <c r="L85" s="259">
        <f>F85*G85</f>
        <v/>
      </c>
      <c r="M85" s="260" t="inlineStr">
        <is>
          <t>MEC-D30-DUC-GAL-100X050</t>
        </is>
      </c>
      <c r="N85" s="254" t="inlineStr">
        <is>
          <t>Mecánicas: climatización y ventilación (HVAC)</t>
        </is>
      </c>
      <c r="O85" s="254" t="inlineStr">
        <is>
          <t>Estimado DION · criterio de mercado Guayaquil 2026 (no verificado en tienda)</t>
        </is>
      </c>
      <c r="P85" s="254" t="inlineStr">
        <is>
          <t>oct-2026 (est.)</t>
        </is>
      </c>
      <c r="Q85" s="254" t="n">
        <v>5</v>
      </c>
    </row>
    <row r="86">
      <c r="A86" s="18" t="n">
        <v>67</v>
      </c>
      <c r="B86" s="19" t="inlineStr">
        <is>
          <t xml:space="preserve">        Ducto Galvanizado Rectangular 150x60 cm (m, fabricado)</t>
        </is>
      </c>
      <c r="C86" s="20" t="inlineStr">
        <is>
          <t>Comercial / Industrial</t>
        </is>
      </c>
      <c r="D86" s="18" t="inlineStr">
        <is>
          <t>Ductos Galvanizados</t>
        </is>
      </c>
      <c r="E86" s="18" t="inlineStr">
        <is>
          <t>m</t>
        </is>
      </c>
      <c r="F86" s="21" t="n">
        <v>10</v>
      </c>
      <c r="G86" s="22" t="n">
        <v>78</v>
      </c>
      <c r="H86" s="22" t="n">
        <v>80.34</v>
      </c>
      <c r="I86" s="18" t="inlineStr">
        <is>
          <t>Megametales</t>
        </is>
      </c>
      <c r="J86" s="22" t="n">
        <v>85.02</v>
      </c>
      <c r="K86" s="18" t="inlineStr">
        <is>
          <t>Kywi / Megakywi</t>
        </is>
      </c>
      <c r="L86" s="8">
        <f>F86*G86</f>
        <v/>
      </c>
      <c r="M86" s="145" t="inlineStr">
        <is>
          <t>MEC-D30-DUC-GAL-150X060</t>
        </is>
      </c>
      <c r="N86" s="18" t="inlineStr">
        <is>
          <t>Mecánicas: climatización y ventilación (HVAC)</t>
        </is>
      </c>
      <c r="O86" s="18" t="inlineStr">
        <is>
          <t>Estimado DION · criterio de mercado Guayaquil 2026 (no verificado en tienda)</t>
        </is>
      </c>
      <c r="P86" s="18" t="inlineStr">
        <is>
          <t>oct-2026 (est.)</t>
        </is>
      </c>
      <c r="Q86" s="18" t="n">
        <v>5</v>
      </c>
    </row>
    <row r="87">
      <c r="A87" s="254" t="n">
        <v>68</v>
      </c>
      <c r="B87" s="255" t="inlineStr">
        <is>
          <t xml:space="preserve">        Ducto Flexible Aislado Ø4" (m)</t>
        </is>
      </c>
      <c r="C87" s="256" t="inlineStr">
        <is>
          <t>Residencial / Comercial / Ind</t>
        </is>
      </c>
      <c r="D87" s="254" t="inlineStr">
        <is>
          <t>Ductos Flexibles</t>
        </is>
      </c>
      <c r="E87" s="254" t="inlineStr">
        <is>
          <t>m</t>
        </is>
      </c>
      <c r="F87" s="257" t="n">
        <v>20</v>
      </c>
      <c r="G87" s="258" t="n">
        <v>2.6</v>
      </c>
      <c r="H87" s="258" t="n">
        <v>2.7</v>
      </c>
      <c r="I87" s="254" t="inlineStr">
        <is>
          <t>Megametales</t>
        </is>
      </c>
      <c r="J87" s="258" t="n">
        <v>2.89</v>
      </c>
      <c r="K87" s="254" t="inlineStr">
        <is>
          <t>Kywi / Megakywi</t>
        </is>
      </c>
      <c r="L87" s="259">
        <f>F87*G87</f>
        <v/>
      </c>
      <c r="M87" s="260" t="inlineStr">
        <is>
          <t>MEC-D30-DUC-FLX-D04</t>
        </is>
      </c>
      <c r="N87" s="254" t="inlineStr">
        <is>
          <t>Mecánicas: climatización y ventilación (HVAC)</t>
        </is>
      </c>
      <c r="O87" s="254" t="inlineStr">
        <is>
          <t>Estimado DION · criterio de mercado Guayaquil 2026 (no verificado en tienda)</t>
        </is>
      </c>
      <c r="P87" s="254" t="inlineStr">
        <is>
          <t>oct-2026 (est.)</t>
        </is>
      </c>
      <c r="Q87" s="254" t="n">
        <v>5</v>
      </c>
    </row>
    <row r="88">
      <c r="A88" s="18" t="n">
        <v>69</v>
      </c>
      <c r="B88" s="19" t="inlineStr">
        <is>
          <t xml:space="preserve">        Ducto Flexible Aislado Ø6" (m)</t>
        </is>
      </c>
      <c r="C88" s="20" t="inlineStr">
        <is>
          <t>Residencial / Comercial / Ind</t>
        </is>
      </c>
      <c r="D88" s="18" t="inlineStr">
        <is>
          <t>Ductos Flexibles</t>
        </is>
      </c>
      <c r="E88" s="18" t="inlineStr">
        <is>
          <t>m</t>
        </is>
      </c>
      <c r="F88" s="21" t="n">
        <v>20</v>
      </c>
      <c r="G88" s="22" t="n">
        <v>3.4</v>
      </c>
      <c r="H88" s="22" t="n">
        <v>3.47</v>
      </c>
      <c r="I88" s="18" t="inlineStr">
        <is>
          <t>Megametales</t>
        </is>
      </c>
      <c r="J88" s="22" t="n">
        <v>3.67</v>
      </c>
      <c r="K88" s="18" t="inlineStr">
        <is>
          <t>Kywi / Megakywi</t>
        </is>
      </c>
      <c r="L88" s="8">
        <f>F88*G88</f>
        <v/>
      </c>
      <c r="M88" s="145" t="inlineStr">
        <is>
          <t>MEC-D30-DUC-FLX-D06</t>
        </is>
      </c>
      <c r="N88" s="18" t="inlineStr">
        <is>
          <t>Mecánicas: climatización y ventilación (HVAC)</t>
        </is>
      </c>
      <c r="O88" s="18" t="inlineStr">
        <is>
          <t>Estimado DION · criterio de mercado Guayaquil 2026 (no verificado en tienda)</t>
        </is>
      </c>
      <c r="P88" s="18" t="inlineStr">
        <is>
          <t>oct-2026 (est.)</t>
        </is>
      </c>
      <c r="Q88" s="18" t="n">
        <v>5</v>
      </c>
    </row>
    <row r="89">
      <c r="A89" s="254" t="n">
        <v>70</v>
      </c>
      <c r="B89" s="255" t="inlineStr">
        <is>
          <t xml:space="preserve">        Ducto Flexible Aislado Ø8" (m)</t>
        </is>
      </c>
      <c r="C89" s="256" t="inlineStr">
        <is>
          <t>Residencial / Comercial / Ind</t>
        </is>
      </c>
      <c r="D89" s="254" t="inlineStr">
        <is>
          <t>Ductos Flexibles</t>
        </is>
      </c>
      <c r="E89" s="254" t="inlineStr">
        <is>
          <t>m</t>
        </is>
      </c>
      <c r="F89" s="257" t="n">
        <v>20</v>
      </c>
      <c r="G89" s="258" t="n">
        <v>4.3</v>
      </c>
      <c r="H89" s="258" t="n">
        <v>4.51</v>
      </c>
      <c r="I89" s="254" t="inlineStr">
        <is>
          <t>Megametales</t>
        </is>
      </c>
      <c r="J89" s="258" t="n">
        <v>4.6</v>
      </c>
      <c r="K89" s="254" t="inlineStr">
        <is>
          <t>Kywi / Megakywi</t>
        </is>
      </c>
      <c r="L89" s="259">
        <f>F89*G89</f>
        <v/>
      </c>
      <c r="M89" s="260" t="inlineStr">
        <is>
          <t>MEC-D30-DUC-FLX-D08</t>
        </is>
      </c>
      <c r="N89" s="254" t="inlineStr">
        <is>
          <t>Mecánicas: climatización y ventilación (HVAC)</t>
        </is>
      </c>
      <c r="O89" s="254" t="inlineStr">
        <is>
          <t>Estimado DION · criterio de mercado Guayaquil 2026 (no verificado en tienda)</t>
        </is>
      </c>
      <c r="P89" s="254" t="inlineStr">
        <is>
          <t>oct-2026 (est.)</t>
        </is>
      </c>
      <c r="Q89" s="254" t="n">
        <v>5</v>
      </c>
    </row>
    <row r="90">
      <c r="A90" s="18" t="n">
        <v>71</v>
      </c>
      <c r="B90" s="19" t="inlineStr">
        <is>
          <t xml:space="preserve">        Ducto Flexible Aislado Ø10" (m)</t>
        </is>
      </c>
      <c r="C90" s="20" t="inlineStr">
        <is>
          <t>Residencial / Comercial / Ind</t>
        </is>
      </c>
      <c r="D90" s="18" t="inlineStr">
        <is>
          <t>Ductos Flexibles</t>
        </is>
      </c>
      <c r="E90" s="18" t="inlineStr">
        <is>
          <t>m</t>
        </is>
      </c>
      <c r="F90" s="21" t="n">
        <v>20</v>
      </c>
      <c r="G90" s="22" t="n">
        <v>5.4</v>
      </c>
      <c r="H90" s="22" t="n">
        <v>5.56</v>
      </c>
      <c r="I90" s="18" t="inlineStr">
        <is>
          <t>Megametales</t>
        </is>
      </c>
      <c r="J90" s="22" t="n">
        <v>5.99</v>
      </c>
      <c r="K90" s="18" t="inlineStr">
        <is>
          <t>Kywi / Megakywi</t>
        </is>
      </c>
      <c r="L90" s="8">
        <f>F90*G90</f>
        <v/>
      </c>
      <c r="M90" s="145" t="inlineStr">
        <is>
          <t>MEC-D30-DUC-FLX-D10</t>
        </is>
      </c>
      <c r="N90" s="18" t="inlineStr">
        <is>
          <t>Mecánicas: climatización y ventilación (HVAC)</t>
        </is>
      </c>
      <c r="O90" s="18" t="inlineStr">
        <is>
          <t>Estimado DION · criterio de mercado Guayaquil 2026 (no verificado en tienda)</t>
        </is>
      </c>
      <c r="P90" s="18" t="inlineStr">
        <is>
          <t>oct-2026 (est.)</t>
        </is>
      </c>
      <c r="Q90" s="18" t="n">
        <v>5</v>
      </c>
    </row>
    <row r="91">
      <c r="A91" s="254" t="n">
        <v>72</v>
      </c>
      <c r="B91" s="255" t="inlineStr">
        <is>
          <t xml:space="preserve">        Ducto Flexible Aislado Ø12" (m)</t>
        </is>
      </c>
      <c r="C91" s="256" t="inlineStr">
        <is>
          <t>Residencial / Comercial / Ind</t>
        </is>
      </c>
      <c r="D91" s="254" t="inlineStr">
        <is>
          <t>Ductos Flexibles</t>
        </is>
      </c>
      <c r="E91" s="254" t="inlineStr">
        <is>
          <t>m</t>
        </is>
      </c>
      <c r="F91" s="257" t="n">
        <v>20</v>
      </c>
      <c r="G91" s="258" t="n">
        <v>6.8</v>
      </c>
      <c r="H91" s="258" t="n">
        <v>6.94</v>
      </c>
      <c r="I91" s="254" t="inlineStr">
        <is>
          <t>Megametales</t>
        </is>
      </c>
      <c r="J91" s="258" t="n">
        <v>7.34</v>
      </c>
      <c r="K91" s="254" t="inlineStr">
        <is>
          <t>Kywi / Megakywi</t>
        </is>
      </c>
      <c r="L91" s="259">
        <f>F91*G91</f>
        <v/>
      </c>
      <c r="M91" s="260" t="inlineStr">
        <is>
          <t>MEC-D30-DUC-FLX-D12</t>
        </is>
      </c>
      <c r="N91" s="254" t="inlineStr">
        <is>
          <t>Mecánicas: climatización y ventilación (HVAC)</t>
        </is>
      </c>
      <c r="O91" s="254" t="inlineStr">
        <is>
          <t>Estimado DION · criterio de mercado Guayaquil 2026 (no verificado en tienda)</t>
        </is>
      </c>
      <c r="P91" s="254" t="inlineStr">
        <is>
          <t>oct-2026 (est.)</t>
        </is>
      </c>
      <c r="Q91" s="254" t="n">
        <v>5</v>
      </c>
    </row>
    <row r="92">
      <c r="A92" s="18" t="n">
        <v>73</v>
      </c>
      <c r="B92" s="19" t="inlineStr">
        <is>
          <t xml:space="preserve">        Ducto Panel Preaislado PIR (m²)</t>
        </is>
      </c>
      <c r="C92" s="20" t="inlineStr">
        <is>
          <t>Comercial / Industrial</t>
        </is>
      </c>
      <c r="D92" s="18" t="inlineStr">
        <is>
          <t>Ductos Preaislados</t>
        </is>
      </c>
      <c r="E92" s="18" t="inlineStr">
        <is>
          <t>U</t>
        </is>
      </c>
      <c r="F92" s="21" t="n">
        <v>20</v>
      </c>
      <c r="G92" s="22" t="n">
        <v>24</v>
      </c>
      <c r="H92" s="22" t="n">
        <v>24.96</v>
      </c>
      <c r="I92" s="18" t="inlineStr">
        <is>
          <t>Megametales</t>
        </is>
      </c>
      <c r="J92" s="22" t="n">
        <v>26.64</v>
      </c>
      <c r="K92" s="18" t="inlineStr">
        <is>
          <t>Kywi / Megakywi</t>
        </is>
      </c>
      <c r="L92" s="8">
        <f>F92*G92</f>
        <v/>
      </c>
      <c r="M92" s="145" t="inlineStr">
        <is>
          <t>MEC-D30-DUC-PIR-PAN</t>
        </is>
      </c>
      <c r="N92" s="18" t="inlineStr">
        <is>
          <t>Mecánicas: climatización y ventilación (HVAC)</t>
        </is>
      </c>
      <c r="O92" s="18" t="inlineStr">
        <is>
          <t>Estimado DION · criterio de mercado Guayaquil 2026 (no verificado en tienda)</t>
        </is>
      </c>
      <c r="P92" s="18" t="inlineStr">
        <is>
          <t>oct-2026 (est.)</t>
        </is>
      </c>
      <c r="Q92" s="18" t="n"/>
    </row>
    <row r="93">
      <c r="A93" s="254" t="n">
        <v>74</v>
      </c>
      <c r="B93" s="255" t="inlineStr">
        <is>
          <t xml:space="preserve">        Codo Radio Largo Ducto (Unidad Fabricada)</t>
        </is>
      </c>
      <c r="C93" s="256" t="inlineStr">
        <is>
          <t>Comercial / Industrial</t>
        </is>
      </c>
      <c r="D93" s="254" t="inlineStr">
        <is>
          <t>Accesorios Ducto</t>
        </is>
      </c>
      <c r="E93" s="254" t="inlineStr">
        <is>
          <t>U</t>
        </is>
      </c>
      <c r="F93" s="257" t="n">
        <v>4</v>
      </c>
      <c r="G93" s="258" t="n">
        <v>28</v>
      </c>
      <c r="H93" s="258" t="n">
        <v>29.4</v>
      </c>
      <c r="I93" s="254" t="inlineStr">
        <is>
          <t>Megametales</t>
        </is>
      </c>
      <c r="J93" s="258" t="n">
        <v>30.8</v>
      </c>
      <c r="K93" s="254" t="inlineStr">
        <is>
          <t>Kywi / Megakywi</t>
        </is>
      </c>
      <c r="L93" s="259">
        <f>F93*G93</f>
        <v/>
      </c>
      <c r="M93" s="260" t="inlineStr">
        <is>
          <t>MEC-D30-ACD-COD-RAD</t>
        </is>
      </c>
      <c r="N93" s="254" t="inlineStr">
        <is>
          <t>Mecánicas: climatización y ventilación (HVAC)</t>
        </is>
      </c>
      <c r="O93" s="254" t="inlineStr">
        <is>
          <t>Estimado DION · criterio de mercado Guayaquil 2026 (no verificado en tienda)</t>
        </is>
      </c>
      <c r="P93" s="254" t="inlineStr">
        <is>
          <t>oct-2026 (est.)</t>
        </is>
      </c>
      <c r="Q93" s="254" t="n"/>
    </row>
    <row r="94">
      <c r="A94" s="18" t="n">
        <v>75</v>
      </c>
      <c r="B94" s="19" t="inlineStr">
        <is>
          <t xml:space="preserve">        Transición de Ducto (Unidad)</t>
        </is>
      </c>
      <c r="C94" s="20" t="inlineStr">
        <is>
          <t>Comercial / Industrial</t>
        </is>
      </c>
      <c r="D94" s="18" t="inlineStr">
        <is>
          <t>Accesorios Ducto</t>
        </is>
      </c>
      <c r="E94" s="18" t="inlineStr">
        <is>
          <t>U</t>
        </is>
      </c>
      <c r="F94" s="21" t="n">
        <v>2</v>
      </c>
      <c r="G94" s="22" t="n">
        <v>32</v>
      </c>
      <c r="H94" s="22" t="n">
        <v>32.96</v>
      </c>
      <c r="I94" s="18" t="inlineStr">
        <is>
          <t>Megametales</t>
        </is>
      </c>
      <c r="J94" s="22" t="n">
        <v>35.2</v>
      </c>
      <c r="K94" s="18" t="inlineStr">
        <is>
          <t>Kywi / Megakywi</t>
        </is>
      </c>
      <c r="L94" s="8">
        <f>F94*G94</f>
        <v/>
      </c>
      <c r="M94" s="145" t="inlineStr">
        <is>
          <t>MEC-D30-ACD-TRA</t>
        </is>
      </c>
      <c r="N94" s="18" t="inlineStr">
        <is>
          <t>Mecánicas: climatización y ventilación (HVAC)</t>
        </is>
      </c>
      <c r="O94" s="18" t="inlineStr">
        <is>
          <t>Estimado DION · criterio de mercado Guayaquil 2026 (no verificado en tienda)</t>
        </is>
      </c>
      <c r="P94" s="18" t="inlineStr">
        <is>
          <t>oct-2026 (est.)</t>
        </is>
      </c>
      <c r="Q94" s="18" t="n"/>
    </row>
    <row r="95">
      <c r="A95" s="254" t="n">
        <v>76</v>
      </c>
      <c r="B95" s="255" t="inlineStr">
        <is>
          <t xml:space="preserve">        Tapa de Acceso / Registro de Ducto</t>
        </is>
      </c>
      <c r="C95" s="256" t="inlineStr">
        <is>
          <t>Comercial / Industrial</t>
        </is>
      </c>
      <c r="D95" s="254" t="inlineStr">
        <is>
          <t>Accesorios Ducto</t>
        </is>
      </c>
      <c r="E95" s="254" t="inlineStr">
        <is>
          <t>U</t>
        </is>
      </c>
      <c r="F95" s="257" t="n">
        <v>2</v>
      </c>
      <c r="G95" s="258" t="n">
        <v>22</v>
      </c>
      <c r="H95" s="258" t="n">
        <v>22.44</v>
      </c>
      <c r="I95" s="254" t="inlineStr">
        <is>
          <t>Megametales</t>
        </is>
      </c>
      <c r="J95" s="258" t="n">
        <v>24.2</v>
      </c>
      <c r="K95" s="254" t="inlineStr">
        <is>
          <t>Kywi / Megakywi</t>
        </is>
      </c>
      <c r="L95" s="259">
        <f>F95*G95</f>
        <v/>
      </c>
      <c r="M95" s="260" t="inlineStr">
        <is>
          <t>MEC-D30-ACD-TAP-ACC</t>
        </is>
      </c>
      <c r="N95" s="254" t="inlineStr">
        <is>
          <t>Mecánicas: climatización y ventilación (HVAC)</t>
        </is>
      </c>
      <c r="O95" s="254" t="inlineStr">
        <is>
          <t>Estimado DION · criterio de mercado Guayaquil 2026 (no verificado en tienda)</t>
        </is>
      </c>
      <c r="P95" s="254" t="inlineStr">
        <is>
          <t>oct-2026 (est.)</t>
        </is>
      </c>
      <c r="Q95" s="254" t="n"/>
    </row>
    <row r="96">
      <c r="A96" s="18" t="n">
        <v>77</v>
      </c>
      <c r="B96" s="19" t="inlineStr">
        <is>
          <t xml:space="preserve">        Conexión Flexible de Lona</t>
        </is>
      </c>
      <c r="C96" s="20" t="inlineStr">
        <is>
          <t>Comercial / Industrial</t>
        </is>
      </c>
      <c r="D96" s="18" t="inlineStr">
        <is>
          <t>Accesorios Ducto</t>
        </is>
      </c>
      <c r="E96" s="18" t="inlineStr">
        <is>
          <t>U</t>
        </is>
      </c>
      <c r="F96" s="21" t="n">
        <v>2</v>
      </c>
      <c r="G96" s="22" t="n">
        <v>26</v>
      </c>
      <c r="H96" s="22" t="n">
        <v>27.04</v>
      </c>
      <c r="I96" s="18" t="inlineStr">
        <is>
          <t>Megametales</t>
        </is>
      </c>
      <c r="J96" s="22" t="n">
        <v>28.08</v>
      </c>
      <c r="K96" s="18" t="inlineStr">
        <is>
          <t>Kywi / Megakywi</t>
        </is>
      </c>
      <c r="L96" s="8">
        <f>F96*G96</f>
        <v/>
      </c>
      <c r="M96" s="145" t="inlineStr">
        <is>
          <t>MEC-D30-ACD-CON-LON</t>
        </is>
      </c>
      <c r="N96" s="18" t="inlineStr">
        <is>
          <t>Mecánicas: climatización y ventilación (HVAC)</t>
        </is>
      </c>
      <c r="O96" s="18" t="inlineStr">
        <is>
          <t>Estimado DION · criterio de mercado Guayaquil 2026 (no verificado en tienda)</t>
        </is>
      </c>
      <c r="P96" s="18" t="inlineStr">
        <is>
          <t>oct-2026 (est.)</t>
        </is>
      </c>
      <c r="Q96" s="18" t="n"/>
    </row>
    <row r="97">
      <c r="A97" s="254" t="n">
        <v>78</v>
      </c>
      <c r="B97" s="255" t="inlineStr">
        <is>
          <t xml:space="preserve">        Compuerta de Volumen Manual</t>
        </is>
      </c>
      <c r="C97" s="256" t="inlineStr">
        <is>
          <t>Comercial / Industrial</t>
        </is>
      </c>
      <c r="D97" s="254" t="inlineStr">
        <is>
          <t>Compuertas</t>
        </is>
      </c>
      <c r="E97" s="254" t="inlineStr">
        <is>
          <t>U</t>
        </is>
      </c>
      <c r="F97" s="257" t="n">
        <v>6</v>
      </c>
      <c r="G97" s="258" t="n">
        <v>32</v>
      </c>
      <c r="H97" s="258" t="n">
        <v>33.6</v>
      </c>
      <c r="I97" s="254" t="inlineStr">
        <is>
          <t>Megametales</t>
        </is>
      </c>
      <c r="J97" s="258" t="n">
        <v>35.2</v>
      </c>
      <c r="K97" s="254" t="inlineStr">
        <is>
          <t>Kywi / Megakywi</t>
        </is>
      </c>
      <c r="L97" s="259">
        <f>F97*G97</f>
        <v/>
      </c>
      <c r="M97" s="260" t="inlineStr">
        <is>
          <t>MEC-D30-DAM-VOL</t>
        </is>
      </c>
      <c r="N97" s="254" t="inlineStr">
        <is>
          <t>Mecánicas: climatización y ventilación (HVAC)</t>
        </is>
      </c>
      <c r="O97" s="254" t="inlineStr">
        <is>
          <t>Estimado DION · criterio de mercado Guayaquil 2026 (no verificado en tienda)</t>
        </is>
      </c>
      <c r="P97" s="254" t="inlineStr">
        <is>
          <t>oct-2026 (est.)</t>
        </is>
      </c>
      <c r="Q97" s="254" t="n"/>
    </row>
    <row r="98">
      <c r="A98" s="18" t="n">
        <v>79</v>
      </c>
      <c r="B98" s="19" t="inlineStr">
        <is>
          <t xml:space="preserve">        Compuerta Cortafuego UL 1.5 h</t>
        </is>
      </c>
      <c r="C98" s="20" t="inlineStr">
        <is>
          <t>Comercial / Industrial</t>
        </is>
      </c>
      <c r="D98" s="18" t="inlineStr">
        <is>
          <t>Compuertas</t>
        </is>
      </c>
      <c r="E98" s="18" t="inlineStr">
        <is>
          <t>U</t>
        </is>
      </c>
      <c r="F98" s="21" t="n">
        <v>2</v>
      </c>
      <c r="G98" s="22" t="n">
        <v>185</v>
      </c>
      <c r="H98" s="22" t="n">
        <v>188.7</v>
      </c>
      <c r="I98" s="18" t="inlineStr">
        <is>
          <t>Megametales</t>
        </is>
      </c>
      <c r="J98" s="22" t="n">
        <v>205.35</v>
      </c>
      <c r="K98" s="18" t="inlineStr">
        <is>
          <t>Kywi / Megakywi</t>
        </is>
      </c>
      <c r="L98" s="8">
        <f>F98*G98</f>
        <v/>
      </c>
      <c r="M98" s="145" t="inlineStr">
        <is>
          <t>MEC-D30-DAM-CFU</t>
        </is>
      </c>
      <c r="N98" s="18" t="inlineStr">
        <is>
          <t>Mecánicas: climatización y ventilación (HVAC)</t>
        </is>
      </c>
      <c r="O98" s="18" t="inlineStr">
        <is>
          <t>Estimado DION · criterio de mercado Guayaquil 2026 (no verificado en tienda)</t>
        </is>
      </c>
      <c r="P98" s="18" t="inlineStr">
        <is>
          <t>oct-2026 (est.)</t>
        </is>
      </c>
      <c r="Q98" s="18" t="n"/>
    </row>
    <row r="99">
      <c r="A99" s="254" t="n">
        <v>80</v>
      </c>
      <c r="B99" s="255" t="inlineStr">
        <is>
          <t xml:space="preserve">        Compuerta Cortahumo Motorizada</t>
        </is>
      </c>
      <c r="C99" s="256" t="inlineStr">
        <is>
          <t>Comercial / Industrial</t>
        </is>
      </c>
      <c r="D99" s="254" t="inlineStr">
        <is>
          <t>Compuertas</t>
        </is>
      </c>
      <c r="E99" s="254" t="inlineStr">
        <is>
          <t>U</t>
        </is>
      </c>
      <c r="F99" s="257" t="n">
        <v>1</v>
      </c>
      <c r="G99" s="258" t="n">
        <v>420</v>
      </c>
      <c r="H99" s="258" t="n">
        <v>436.8</v>
      </c>
      <c r="I99" s="254" t="inlineStr">
        <is>
          <t>Megametales</t>
        </is>
      </c>
      <c r="J99" s="258" t="n">
        <v>462</v>
      </c>
      <c r="K99" s="254" t="inlineStr">
        <is>
          <t>Kywi / Megakywi</t>
        </is>
      </c>
      <c r="L99" s="259">
        <f>F99*G99</f>
        <v/>
      </c>
      <c r="M99" s="260" t="inlineStr">
        <is>
          <t>MEC-D30-DAM-CHU</t>
        </is>
      </c>
      <c r="N99" s="254" t="inlineStr">
        <is>
          <t>Mecánicas: climatización y ventilación (HVAC)</t>
        </is>
      </c>
      <c r="O99" s="254" t="inlineStr">
        <is>
          <t>Estimado DION · criterio de mercado Guayaquil 2026 (no verificado en tienda)</t>
        </is>
      </c>
      <c r="P99" s="254" t="inlineStr">
        <is>
          <t>oct-2026 (est.)</t>
        </is>
      </c>
      <c r="Q99" s="254" t="n"/>
    </row>
    <row r="100">
      <c r="A100" s="18" t="n">
        <v>81</v>
      </c>
      <c r="B100" s="19" t="inlineStr">
        <is>
          <t xml:space="preserve">        Compuerta de Gravedad / Contraflujo</t>
        </is>
      </c>
      <c r="C100" s="20" t="inlineStr">
        <is>
          <t>Comercial / Industrial</t>
        </is>
      </c>
      <c r="D100" s="18" t="inlineStr">
        <is>
          <t>Compuertas</t>
        </is>
      </c>
      <c r="E100" s="18" t="inlineStr">
        <is>
          <t>U</t>
        </is>
      </c>
      <c r="F100" s="21" t="n">
        <v>2</v>
      </c>
      <c r="G100" s="22" t="n">
        <v>48</v>
      </c>
      <c r="H100" s="22" t="n">
        <v>49.92</v>
      </c>
      <c r="I100" s="18" t="inlineStr">
        <is>
          <t>Megametales</t>
        </is>
      </c>
      <c r="J100" s="22" t="n">
        <v>52.8</v>
      </c>
      <c r="K100" s="18" t="inlineStr">
        <is>
          <t>Kywi / Megakywi</t>
        </is>
      </c>
      <c r="L100" s="8">
        <f>F100*G100</f>
        <v/>
      </c>
      <c r="M100" s="145" t="inlineStr">
        <is>
          <t>MEC-D30-DAM-GRA</t>
        </is>
      </c>
      <c r="N100" s="18" t="inlineStr">
        <is>
          <t>Mecánicas: climatización y ventilación (HVAC)</t>
        </is>
      </c>
      <c r="O100" s="18" t="inlineStr">
        <is>
          <t>Estimado DION · criterio de mercado Guayaquil 2026 (no verificado en tienda)</t>
        </is>
      </c>
      <c r="P100" s="18" t="inlineStr">
        <is>
          <t>oct-2026 (est.)</t>
        </is>
      </c>
      <c r="Q100" s="18" t="n"/>
    </row>
    <row r="101">
      <c r="A101" s="251" t="inlineStr">
        <is>
          <t>EQUIPOS ESPECIALIZADOS</t>
        </is>
      </c>
      <c r="B101" s="143" t="n"/>
      <c r="C101" s="143" t="n"/>
      <c r="D101" s="143" t="n"/>
      <c r="E101" s="143" t="n"/>
      <c r="F101" s="143" t="n"/>
      <c r="G101" s="143" t="n"/>
      <c r="H101" s="143" t="n"/>
      <c r="I101" s="143" t="n"/>
      <c r="J101" s="143" t="n"/>
      <c r="K101" s="143" t="n"/>
      <c r="L101" s="143" t="n"/>
      <c r="M101" s="143" t="n"/>
      <c r="N101" s="143" t="n"/>
      <c r="O101" s="143" t="n"/>
      <c r="P101" s="143" t="n"/>
      <c r="Q101" s="144" t="n"/>
    </row>
    <row r="102">
      <c r="A102" s="252" t="inlineStr">
        <is>
          <t xml:space="preserve">  ► CATEGORÍA: DIFUSORES, REJILLAS, EXTRACCIÓN Y CONTROLES</t>
        </is>
      </c>
      <c r="B102" s="143" t="n"/>
      <c r="C102" s="143" t="n"/>
      <c r="D102" s="143" t="n"/>
      <c r="E102" s="143" t="n"/>
      <c r="F102" s="143" t="n"/>
      <c r="G102" s="143" t="n"/>
      <c r="H102" s="143" t="n"/>
      <c r="I102" s="143" t="n"/>
      <c r="J102" s="143" t="n"/>
      <c r="K102" s="143" t="n"/>
      <c r="L102" s="143" t="n"/>
      <c r="M102" s="143" t="n"/>
      <c r="N102" s="143" t="n"/>
      <c r="O102" s="143" t="n"/>
      <c r="P102" s="143" t="n"/>
      <c r="Q102" s="144" t="n"/>
    </row>
    <row r="103">
      <c r="A103" s="253" t="inlineStr">
        <is>
          <t xml:space="preserve">      • Subcategoría Especificada: Terminales de Aire, Ventiladores y Controles</t>
        </is>
      </c>
      <c r="B103" s="143" t="n"/>
      <c r="C103" s="143" t="n"/>
      <c r="D103" s="143" t="n"/>
      <c r="E103" s="143" t="n"/>
      <c r="F103" s="143" t="n"/>
      <c r="G103" s="143" t="n"/>
      <c r="H103" s="143" t="n"/>
      <c r="I103" s="143" t="n"/>
      <c r="J103" s="143" t="n"/>
      <c r="K103" s="143" t="n"/>
      <c r="L103" s="143" t="n"/>
      <c r="M103" s="143" t="n"/>
      <c r="N103" s="143" t="n"/>
      <c r="O103" s="143" t="n"/>
      <c r="P103" s="143" t="n"/>
      <c r="Q103" s="144" t="n"/>
    </row>
    <row r="104">
      <c r="A104" s="254" t="n">
        <v>82</v>
      </c>
      <c r="B104" s="255" t="inlineStr">
        <is>
          <t xml:space="preserve">        Difusor 4 Vías 8"x8"</t>
        </is>
      </c>
      <c r="C104" s="256" t="inlineStr">
        <is>
          <t>Residencial / Comercial / Ind</t>
        </is>
      </c>
      <c r="D104" s="254" t="inlineStr">
        <is>
          <t>Difusores</t>
        </is>
      </c>
      <c r="E104" s="254" t="inlineStr">
        <is>
          <t>U</t>
        </is>
      </c>
      <c r="F104" s="257" t="n">
        <v>10</v>
      </c>
      <c r="G104" s="258" t="n">
        <v>22</v>
      </c>
      <c r="H104" s="258" t="n">
        <v>22.88</v>
      </c>
      <c r="I104" s="254" t="inlineStr">
        <is>
          <t>Megametales</t>
        </is>
      </c>
      <c r="J104" s="258" t="n">
        <v>23.76</v>
      </c>
      <c r="K104" s="254" t="inlineStr">
        <is>
          <t>Kywi / Megakywi</t>
        </is>
      </c>
      <c r="L104" s="259">
        <f>F104*G104</f>
        <v/>
      </c>
      <c r="M104" s="260" t="inlineStr">
        <is>
          <t>MEC-D30-TER-DIF-4V-08</t>
        </is>
      </c>
      <c r="N104" s="254" t="inlineStr">
        <is>
          <t>Mecánicas: climatización y ventilación (HVAC)</t>
        </is>
      </c>
      <c r="O104" s="254" t="inlineStr">
        <is>
          <t>Estimado DION · criterio de mercado Guayaquil 2026 (no verificado en tienda)</t>
        </is>
      </c>
      <c r="P104" s="254" t="inlineStr">
        <is>
          <t>oct-2026 (est.)</t>
        </is>
      </c>
      <c r="Q104" s="254" t="n"/>
    </row>
    <row r="105">
      <c r="A105" s="18" t="n">
        <v>83</v>
      </c>
      <c r="B105" s="19" t="inlineStr">
        <is>
          <t xml:space="preserve">        Difusor 4 Vías 12"x12"</t>
        </is>
      </c>
      <c r="C105" s="20" t="inlineStr">
        <is>
          <t>Residencial / Comercial / Ind</t>
        </is>
      </c>
      <c r="D105" s="18" t="inlineStr">
        <is>
          <t>Difusores</t>
        </is>
      </c>
      <c r="E105" s="18" t="inlineStr">
        <is>
          <t>U</t>
        </is>
      </c>
      <c r="F105" s="21" t="n">
        <v>10</v>
      </c>
      <c r="G105" s="22" t="n">
        <v>32</v>
      </c>
      <c r="H105" s="22" t="n">
        <v>33.28</v>
      </c>
      <c r="I105" s="18" t="inlineStr">
        <is>
          <t>Megametales</t>
        </is>
      </c>
      <c r="J105" s="22" t="n">
        <v>34.24</v>
      </c>
      <c r="K105" s="18" t="inlineStr">
        <is>
          <t>Kywi / Megakywi</t>
        </is>
      </c>
      <c r="L105" s="8">
        <f>F105*G105</f>
        <v/>
      </c>
      <c r="M105" s="145" t="inlineStr">
        <is>
          <t>MEC-D30-TER-DIF-4V-12</t>
        </is>
      </c>
      <c r="N105" s="18" t="inlineStr">
        <is>
          <t>Mecánicas: climatización y ventilación (HVAC)</t>
        </is>
      </c>
      <c r="O105" s="18" t="inlineStr">
        <is>
          <t>Estimado DION · criterio de mercado Guayaquil 2026 (no verificado en tienda)</t>
        </is>
      </c>
      <c r="P105" s="18" t="inlineStr">
        <is>
          <t>oct-2026 (est.)</t>
        </is>
      </c>
      <c r="Q105" s="18" t="n"/>
    </row>
    <row r="106">
      <c r="A106" s="254" t="n">
        <v>84</v>
      </c>
      <c r="B106" s="255" t="inlineStr">
        <is>
          <t xml:space="preserve">        Difusor Redondo 10"</t>
        </is>
      </c>
      <c r="C106" s="256" t="inlineStr">
        <is>
          <t>Residencial / Comercial / Ind</t>
        </is>
      </c>
      <c r="D106" s="254" t="inlineStr">
        <is>
          <t>Difusores</t>
        </is>
      </c>
      <c r="E106" s="254" t="inlineStr">
        <is>
          <t>U</t>
        </is>
      </c>
      <c r="F106" s="257" t="n">
        <v>6</v>
      </c>
      <c r="G106" s="258" t="n">
        <v>28</v>
      </c>
      <c r="H106" s="258" t="n">
        <v>28.56</v>
      </c>
      <c r="I106" s="254" t="inlineStr">
        <is>
          <t>Megametales</t>
        </is>
      </c>
      <c r="J106" s="258" t="n">
        <v>30.52</v>
      </c>
      <c r="K106" s="254" t="inlineStr">
        <is>
          <t>Kywi / Megakywi</t>
        </is>
      </c>
      <c r="L106" s="259">
        <f>F106*G106</f>
        <v/>
      </c>
      <c r="M106" s="260" t="inlineStr">
        <is>
          <t>MEC-D30-TER-DIF-RED-10</t>
        </is>
      </c>
      <c r="N106" s="254" t="inlineStr">
        <is>
          <t>Mecánicas: climatización y ventilación (HVAC)</t>
        </is>
      </c>
      <c r="O106" s="254" t="inlineStr">
        <is>
          <t>Estimado DION · criterio de mercado Guayaquil 2026 (no verificado en tienda)</t>
        </is>
      </c>
      <c r="P106" s="254" t="inlineStr">
        <is>
          <t>oct-2026 (est.)</t>
        </is>
      </c>
      <c r="Q106" s="254" t="n"/>
    </row>
    <row r="107">
      <c r="A107" s="18" t="n">
        <v>85</v>
      </c>
      <c r="B107" s="19" t="inlineStr">
        <is>
          <t xml:space="preserve">        Difusor Lineal Slot 2 Vías 120 cm</t>
        </is>
      </c>
      <c r="C107" s="20" t="inlineStr">
        <is>
          <t>Residencial / Comercial / Ind</t>
        </is>
      </c>
      <c r="D107" s="18" t="inlineStr">
        <is>
          <t>Difusores Lineales</t>
        </is>
      </c>
      <c r="E107" s="18" t="inlineStr">
        <is>
          <t>U</t>
        </is>
      </c>
      <c r="F107" s="21" t="n">
        <v>4</v>
      </c>
      <c r="G107" s="22" t="n">
        <v>68</v>
      </c>
      <c r="H107" s="22" t="n">
        <v>69.36</v>
      </c>
      <c r="I107" s="18" t="inlineStr">
        <is>
          <t>Megametales</t>
        </is>
      </c>
      <c r="J107" s="22" t="n">
        <v>73.44</v>
      </c>
      <c r="K107" s="18" t="inlineStr">
        <is>
          <t>Kywi / Megakywi</t>
        </is>
      </c>
      <c r="L107" s="8">
        <f>F107*G107</f>
        <v/>
      </c>
      <c r="M107" s="145" t="inlineStr">
        <is>
          <t>MEC-D30-TER-SLO-2S-120</t>
        </is>
      </c>
      <c r="N107" s="18" t="inlineStr">
        <is>
          <t>Mecánicas: climatización y ventilación (HVAC)</t>
        </is>
      </c>
      <c r="O107" s="18" t="inlineStr">
        <is>
          <t>Estimado DION · criterio de mercado Guayaquil 2026 (no verificado en tienda)</t>
        </is>
      </c>
      <c r="P107" s="18" t="inlineStr">
        <is>
          <t>oct-2026 (est.)</t>
        </is>
      </c>
      <c r="Q107" s="18" t="n"/>
    </row>
    <row r="108">
      <c r="A108" s="254" t="n">
        <v>86</v>
      </c>
      <c r="B108" s="255" t="inlineStr">
        <is>
          <t xml:space="preserve">        Rejilla de Retorno 24x24"</t>
        </is>
      </c>
      <c r="C108" s="256" t="inlineStr">
        <is>
          <t>Residencial / Comercial / Ind</t>
        </is>
      </c>
      <c r="D108" s="254" t="inlineStr">
        <is>
          <t>Rejillas</t>
        </is>
      </c>
      <c r="E108" s="254" t="inlineStr">
        <is>
          <t>U</t>
        </is>
      </c>
      <c r="F108" s="257" t="n">
        <v>6</v>
      </c>
      <c r="G108" s="258" t="n">
        <v>38</v>
      </c>
      <c r="H108" s="258" t="n">
        <v>38.76</v>
      </c>
      <c r="I108" s="254" t="inlineStr">
        <is>
          <t>Megametales</t>
        </is>
      </c>
      <c r="J108" s="258" t="n">
        <v>42.18</v>
      </c>
      <c r="K108" s="254" t="inlineStr">
        <is>
          <t>Kywi / Megakywi</t>
        </is>
      </c>
      <c r="L108" s="259">
        <f>F108*G108</f>
        <v/>
      </c>
      <c r="M108" s="260" t="inlineStr">
        <is>
          <t>MEC-D30-TER-REJ-RET-24X24</t>
        </is>
      </c>
      <c r="N108" s="254" t="inlineStr">
        <is>
          <t>Mecánicas: climatización y ventilación (HVAC)</t>
        </is>
      </c>
      <c r="O108" s="254" t="inlineStr">
        <is>
          <t>Estimado DION · criterio de mercado Guayaquil 2026 (no verificado en tienda)</t>
        </is>
      </c>
      <c r="P108" s="254" t="inlineStr">
        <is>
          <t>oct-2026 (est.)</t>
        </is>
      </c>
      <c r="Q108" s="254" t="n"/>
    </row>
    <row r="109">
      <c r="A109" s="18" t="n">
        <v>87</v>
      </c>
      <c r="B109" s="19" t="inlineStr">
        <is>
          <t xml:space="preserve">        Rejilla de Suministro 12x6"</t>
        </is>
      </c>
      <c r="C109" s="20" t="inlineStr">
        <is>
          <t>Residencial / Comercial / Ind</t>
        </is>
      </c>
      <c r="D109" s="18" t="inlineStr">
        <is>
          <t>Rejillas</t>
        </is>
      </c>
      <c r="E109" s="18" t="inlineStr">
        <is>
          <t>U</t>
        </is>
      </c>
      <c r="F109" s="21" t="n">
        <v>6</v>
      </c>
      <c r="G109" s="22" t="n">
        <v>16</v>
      </c>
      <c r="H109" s="22" t="n">
        <v>16.8</v>
      </c>
      <c r="I109" s="18" t="inlineStr">
        <is>
          <t>Megametales</t>
        </is>
      </c>
      <c r="J109" s="22" t="n">
        <v>17.76</v>
      </c>
      <c r="K109" s="18" t="inlineStr">
        <is>
          <t>Kywi / Megakywi</t>
        </is>
      </c>
      <c r="L109" s="8">
        <f>F109*G109</f>
        <v/>
      </c>
      <c r="M109" s="145" t="inlineStr">
        <is>
          <t>MEC-D30-TER-REJ-SUM-12X6</t>
        </is>
      </c>
      <c r="N109" s="18" t="inlineStr">
        <is>
          <t>Mecánicas: climatización y ventilación (HVAC)</t>
        </is>
      </c>
      <c r="O109" s="18" t="inlineStr">
        <is>
          <t>Estimado DION · criterio de mercado Guayaquil 2026 (no verificado en tienda)</t>
        </is>
      </c>
      <c r="P109" s="18" t="inlineStr">
        <is>
          <t>oct-2026 (est.)</t>
        </is>
      </c>
      <c r="Q109" s="18" t="n"/>
    </row>
    <row r="110">
      <c r="A110" s="254" t="n">
        <v>88</v>
      </c>
      <c r="B110" s="255" t="inlineStr">
        <is>
          <t xml:space="preserve">        Louver Exterior Antilluvia (m²)</t>
        </is>
      </c>
      <c r="C110" s="256" t="inlineStr">
        <is>
          <t>Residencial / Comercial / Ind</t>
        </is>
      </c>
      <c r="D110" s="254" t="inlineStr">
        <is>
          <t>Louvers</t>
        </is>
      </c>
      <c r="E110" s="254" t="inlineStr">
        <is>
          <t>U</t>
        </is>
      </c>
      <c r="F110" s="257" t="n">
        <v>2</v>
      </c>
      <c r="G110" s="258" t="n">
        <v>165</v>
      </c>
      <c r="H110" s="258" t="n">
        <v>173.25</v>
      </c>
      <c r="I110" s="254" t="inlineStr">
        <is>
          <t>Megametales</t>
        </is>
      </c>
      <c r="J110" s="258" t="n">
        <v>181.5</v>
      </c>
      <c r="K110" s="254" t="inlineStr">
        <is>
          <t>Kywi / Megakywi</t>
        </is>
      </c>
      <c r="L110" s="259">
        <f>F110*G110</f>
        <v/>
      </c>
      <c r="M110" s="260" t="inlineStr">
        <is>
          <t>MEC-D30-TER-LOU-EXT</t>
        </is>
      </c>
      <c r="N110" s="254" t="inlineStr">
        <is>
          <t>Mecánicas: climatización y ventilación (HVAC)</t>
        </is>
      </c>
      <c r="O110" s="254" t="inlineStr">
        <is>
          <t>Estimado DION · criterio de mercado Guayaquil 2026 (no verificado en tienda)</t>
        </is>
      </c>
      <c r="P110" s="254" t="inlineStr">
        <is>
          <t>oct-2026 (est.)</t>
        </is>
      </c>
      <c r="Q110" s="254" t="n"/>
    </row>
    <row r="111">
      <c r="A111" s="18" t="n">
        <v>89</v>
      </c>
      <c r="B111" s="19" t="inlineStr">
        <is>
          <t xml:space="preserve">        Difusor con Filtro HEPA Terminal (Quirófano)</t>
        </is>
      </c>
      <c r="C111" s="20" t="inlineStr">
        <is>
          <t>Residencial / Comercial / Ind</t>
        </is>
      </c>
      <c r="D111" s="18" t="inlineStr">
        <is>
          <t>Difusores HEPA</t>
        </is>
      </c>
      <c r="E111" s="18" t="inlineStr">
        <is>
          <t>U</t>
        </is>
      </c>
      <c r="F111" s="21" t="n">
        <v>0</v>
      </c>
      <c r="G111" s="22" t="n">
        <v>780</v>
      </c>
      <c r="H111" s="22" t="n">
        <v>811.2</v>
      </c>
      <c r="I111" s="18" t="inlineStr">
        <is>
          <t>Megametales</t>
        </is>
      </c>
      <c r="J111" s="22" t="n">
        <v>865.8</v>
      </c>
      <c r="K111" s="18" t="inlineStr">
        <is>
          <t>Kywi / Megakywi</t>
        </is>
      </c>
      <c r="L111" s="8">
        <f>F111*G111</f>
        <v/>
      </c>
      <c r="M111" s="145" t="inlineStr">
        <is>
          <t>MEC-D30-TER-DIF-HEP</t>
        </is>
      </c>
      <c r="N111" s="18" t="inlineStr">
        <is>
          <t>Mecánicas: climatización y ventilación (HVAC)</t>
        </is>
      </c>
      <c r="O111" s="18" t="inlineStr">
        <is>
          <t>Estimado DION · criterio de mercado Guayaquil 2026 (no verificado en tienda)</t>
        </is>
      </c>
      <c r="P111" s="18" t="inlineStr">
        <is>
          <t>oct-2026 (est.)</t>
        </is>
      </c>
      <c r="Q111" s="18" t="n"/>
    </row>
    <row r="112">
      <c r="A112" s="254" t="n">
        <v>90</v>
      </c>
      <c r="B112" s="255" t="inlineStr">
        <is>
          <t xml:space="preserve">        Difusor de Flujo Laminar Quirófano</t>
        </is>
      </c>
      <c r="C112" s="256" t="inlineStr">
        <is>
          <t>Residencial / Comercial / Ind</t>
        </is>
      </c>
      <c r="D112" s="254" t="inlineStr">
        <is>
          <t>Difusores HEPA</t>
        </is>
      </c>
      <c r="E112" s="254" t="inlineStr">
        <is>
          <t>U</t>
        </is>
      </c>
      <c r="F112" s="257" t="n">
        <v>0</v>
      </c>
      <c r="G112" s="258" t="n">
        <v>4800</v>
      </c>
      <c r="H112" s="258" t="n">
        <v>4992</v>
      </c>
      <c r="I112" s="254" t="inlineStr">
        <is>
          <t>Megametales</t>
        </is>
      </c>
      <c r="J112" s="258" t="n">
        <v>5232</v>
      </c>
      <c r="K112" s="254" t="inlineStr">
        <is>
          <t>Kywi / Megakywi</t>
        </is>
      </c>
      <c r="L112" s="259">
        <f>F112*G112</f>
        <v/>
      </c>
      <c r="M112" s="260" t="inlineStr">
        <is>
          <t>MEC-D30-TER-DIF-LAM</t>
        </is>
      </c>
      <c r="N112" s="254" t="inlineStr">
        <is>
          <t>Mecánicas: climatización y ventilación (HVAC)</t>
        </is>
      </c>
      <c r="O112" s="254" t="inlineStr">
        <is>
          <t>Estimado DION · criterio de mercado Guayaquil 2026 (no verificado en tienda)</t>
        </is>
      </c>
      <c r="P112" s="254" t="inlineStr">
        <is>
          <t>oct-2026 (est.)</t>
        </is>
      </c>
      <c r="Q112" s="254" t="n"/>
    </row>
    <row r="113">
      <c r="A113" s="18" t="n">
        <v>91</v>
      </c>
      <c r="B113" s="19" t="inlineStr">
        <is>
          <t xml:space="preserve">        Extractor de Baño 80 CFM</t>
        </is>
      </c>
      <c r="C113" s="20" t="inlineStr">
        <is>
          <t>Residencial / Comercial / Ind</t>
        </is>
      </c>
      <c r="D113" s="18" t="inlineStr">
        <is>
          <t>Extractores</t>
        </is>
      </c>
      <c r="E113" s="18" t="inlineStr">
        <is>
          <t>U</t>
        </is>
      </c>
      <c r="F113" s="21" t="n">
        <v>6</v>
      </c>
      <c r="G113" s="22" t="n">
        <v>48</v>
      </c>
      <c r="H113" s="22" t="n">
        <v>48.96</v>
      </c>
      <c r="I113" s="18" t="inlineStr">
        <is>
          <t>Megametales</t>
        </is>
      </c>
      <c r="J113" s="22" t="n">
        <v>51.36</v>
      </c>
      <c r="K113" s="18" t="inlineStr">
        <is>
          <t>Kywi / Megakywi</t>
        </is>
      </c>
      <c r="L113" s="8">
        <f>F113*G113</f>
        <v/>
      </c>
      <c r="M113" s="145" t="inlineStr">
        <is>
          <t>MEC-D30-VEN-BAN-080CFM</t>
        </is>
      </c>
      <c r="N113" s="18" t="inlineStr">
        <is>
          <t>Mecánicas: climatización y ventilación (HVAC)</t>
        </is>
      </c>
      <c r="O113" s="18" t="inlineStr">
        <is>
          <t>Estimado DION · criterio de mercado Guayaquil 2026 (no verificado en tienda)</t>
        </is>
      </c>
      <c r="P113" s="18" t="inlineStr">
        <is>
          <t>oct-2026 (est.)</t>
        </is>
      </c>
      <c r="Q113" s="18" t="n"/>
    </row>
    <row r="114">
      <c r="A114" s="254" t="n">
        <v>92</v>
      </c>
      <c r="B114" s="255" t="inlineStr">
        <is>
          <t xml:space="preserve">        Extractor de Baño 150 CFM</t>
        </is>
      </c>
      <c r="C114" s="256" t="inlineStr">
        <is>
          <t>Residencial / Comercial / Ind</t>
        </is>
      </c>
      <c r="D114" s="254" t="inlineStr">
        <is>
          <t>Extractores</t>
        </is>
      </c>
      <c r="E114" s="254" t="inlineStr">
        <is>
          <t>U</t>
        </is>
      </c>
      <c r="F114" s="257" t="n">
        <v>4</v>
      </c>
      <c r="G114" s="258" t="n">
        <v>78</v>
      </c>
      <c r="H114" s="258" t="n">
        <v>80.34</v>
      </c>
      <c r="I114" s="254" t="inlineStr">
        <is>
          <t>Megametales</t>
        </is>
      </c>
      <c r="J114" s="258" t="n">
        <v>85.02</v>
      </c>
      <c r="K114" s="254" t="inlineStr">
        <is>
          <t>Kywi / Megakywi</t>
        </is>
      </c>
      <c r="L114" s="259">
        <f>F114*G114</f>
        <v/>
      </c>
      <c r="M114" s="260" t="inlineStr">
        <is>
          <t>MEC-D30-VEN-BAN-150CFM</t>
        </is>
      </c>
      <c r="N114" s="254" t="inlineStr">
        <is>
          <t>Mecánicas: climatización y ventilación (HVAC)</t>
        </is>
      </c>
      <c r="O114" s="254" t="inlineStr">
        <is>
          <t>Estimado DION · criterio de mercado Guayaquil 2026 (no verificado en tienda)</t>
        </is>
      </c>
      <c r="P114" s="254" t="inlineStr">
        <is>
          <t>oct-2026 (est.)</t>
        </is>
      </c>
      <c r="Q114" s="254" t="n"/>
    </row>
    <row r="115">
      <c r="A115" s="18" t="n">
        <v>93</v>
      </c>
      <c r="B115" s="19" t="inlineStr">
        <is>
          <t xml:space="preserve">        Ventilador en Línea 500 CFM</t>
        </is>
      </c>
      <c r="C115" s="20" t="inlineStr">
        <is>
          <t>Residencial / Comercial / Ind</t>
        </is>
      </c>
      <c r="D115" s="18" t="inlineStr">
        <is>
          <t>Ventiladores</t>
        </is>
      </c>
      <c r="E115" s="18" t="inlineStr">
        <is>
          <t>U</t>
        </is>
      </c>
      <c r="F115" s="21" t="n">
        <v>2</v>
      </c>
      <c r="G115" s="22" t="n">
        <v>260</v>
      </c>
      <c r="H115" s="22" t="n">
        <v>267.8</v>
      </c>
      <c r="I115" s="18" t="inlineStr">
        <is>
          <t>Megametales</t>
        </is>
      </c>
      <c r="J115" s="22" t="n">
        <v>280.8</v>
      </c>
      <c r="K115" s="18" t="inlineStr">
        <is>
          <t>Kywi / Megakywi</t>
        </is>
      </c>
      <c r="L115" s="8">
        <f>F115*G115</f>
        <v/>
      </c>
      <c r="M115" s="145" t="inlineStr">
        <is>
          <t>MEC-D30-VEN-LIN-0500CFM</t>
        </is>
      </c>
      <c r="N115" s="18" t="inlineStr">
        <is>
          <t>Mecánicas: climatización y ventilación (HVAC)</t>
        </is>
      </c>
      <c r="O115" s="18" t="inlineStr">
        <is>
          <t>Estimado DION · criterio de mercado Guayaquil 2026 (no verificado en tienda)</t>
        </is>
      </c>
      <c r="P115" s="18" t="inlineStr">
        <is>
          <t>oct-2026 (est.)</t>
        </is>
      </c>
      <c r="Q115" s="18" t="n"/>
    </row>
    <row r="116">
      <c r="A116" s="254" t="n">
        <v>94</v>
      </c>
      <c r="B116" s="255" t="inlineStr">
        <is>
          <t xml:space="preserve">        Ventilador en Línea 2 000 CFM</t>
        </is>
      </c>
      <c r="C116" s="256" t="inlineStr">
        <is>
          <t>Residencial / Comercial / Ind</t>
        </is>
      </c>
      <c r="D116" s="254" t="inlineStr">
        <is>
          <t>Ventiladores</t>
        </is>
      </c>
      <c r="E116" s="254" t="inlineStr">
        <is>
          <t>U</t>
        </is>
      </c>
      <c r="F116" s="257" t="n">
        <v>0</v>
      </c>
      <c r="G116" s="258" t="n">
        <v>680</v>
      </c>
      <c r="H116" s="258" t="n">
        <v>700.4</v>
      </c>
      <c r="I116" s="254" t="inlineStr">
        <is>
          <t>Megametales</t>
        </is>
      </c>
      <c r="J116" s="258" t="n">
        <v>734.4</v>
      </c>
      <c r="K116" s="254" t="inlineStr">
        <is>
          <t>Kywi / Megakywi</t>
        </is>
      </c>
      <c r="L116" s="259">
        <f>F116*G116</f>
        <v/>
      </c>
      <c r="M116" s="260" t="inlineStr">
        <is>
          <t>MEC-D30-VEN-LIN-2000CFM</t>
        </is>
      </c>
      <c r="N116" s="254" t="inlineStr">
        <is>
          <t>Mecánicas: climatización y ventilación (HVAC)</t>
        </is>
      </c>
      <c r="O116" s="254" t="inlineStr">
        <is>
          <t>Estimado DION · criterio de mercado Guayaquil 2026 (no verificado en tienda)</t>
        </is>
      </c>
      <c r="P116" s="254" t="inlineStr">
        <is>
          <t>oct-2026 (est.)</t>
        </is>
      </c>
      <c r="Q116" s="254" t="n"/>
    </row>
    <row r="117">
      <c r="A117" s="18" t="n">
        <v>95</v>
      </c>
      <c r="B117" s="19" t="inlineStr">
        <is>
          <t xml:space="preserve">        Ventilador Axial de Pared 24"</t>
        </is>
      </c>
      <c r="C117" s="20" t="inlineStr">
        <is>
          <t>Residencial / Comercial / Ind</t>
        </is>
      </c>
      <c r="D117" s="18" t="inlineStr">
        <is>
          <t>Ventiladores</t>
        </is>
      </c>
      <c r="E117" s="18" t="inlineStr">
        <is>
          <t>U</t>
        </is>
      </c>
      <c r="F117" s="21" t="n">
        <v>2</v>
      </c>
      <c r="G117" s="22" t="n">
        <v>320</v>
      </c>
      <c r="H117" s="22" t="n">
        <v>326.4</v>
      </c>
      <c r="I117" s="18" t="inlineStr">
        <is>
          <t>Megametales</t>
        </is>
      </c>
      <c r="J117" s="22" t="n">
        <v>348.8</v>
      </c>
      <c r="K117" s="18" t="inlineStr">
        <is>
          <t>Kywi / Megakywi</t>
        </is>
      </c>
      <c r="L117" s="8">
        <f>F117*G117</f>
        <v/>
      </c>
      <c r="M117" s="145" t="inlineStr">
        <is>
          <t>MEC-D30-VEN-AXI-24IN</t>
        </is>
      </c>
      <c r="N117" s="18" t="inlineStr">
        <is>
          <t>Mecánicas: climatización y ventilación (HVAC)</t>
        </is>
      </c>
      <c r="O117" s="18" t="inlineStr">
        <is>
          <t>Estimado DION · criterio de mercado Guayaquil 2026 (no verificado en tienda)</t>
        </is>
      </c>
      <c r="P117" s="18" t="inlineStr">
        <is>
          <t>oct-2026 (est.)</t>
        </is>
      </c>
      <c r="Q117" s="18" t="n"/>
    </row>
    <row r="118">
      <c r="A118" s="254" t="n">
        <v>96</v>
      </c>
      <c r="B118" s="255" t="inlineStr">
        <is>
          <t xml:space="preserve">        Extractor de Cocina Centrífugo 5 000 CFM</t>
        </is>
      </c>
      <c r="C118" s="256" t="inlineStr">
        <is>
          <t>Residencial / Comercial / Ind</t>
        </is>
      </c>
      <c r="D118" s="254" t="inlineStr">
        <is>
          <t>Extractores Cocina</t>
        </is>
      </c>
      <c r="E118" s="254" t="inlineStr">
        <is>
          <t>U</t>
        </is>
      </c>
      <c r="F118" s="257" t="n">
        <v>0</v>
      </c>
      <c r="G118" s="258" t="n">
        <v>2400</v>
      </c>
      <c r="H118" s="258" t="n">
        <v>2472</v>
      </c>
      <c r="I118" s="254" t="inlineStr">
        <is>
          <t>Megametales</t>
        </is>
      </c>
      <c r="J118" s="258" t="n">
        <v>2664</v>
      </c>
      <c r="K118" s="254" t="inlineStr">
        <is>
          <t>Kywi / Megakywi</t>
        </is>
      </c>
      <c r="L118" s="259">
        <f>F118*G118</f>
        <v/>
      </c>
      <c r="M118" s="260" t="inlineStr">
        <is>
          <t>MEC-D30-VEN-COC-05000CFM</t>
        </is>
      </c>
      <c r="N118" s="254" t="inlineStr">
        <is>
          <t>Mecánicas: climatización y ventilación (HVAC)</t>
        </is>
      </c>
      <c r="O118" s="254" t="inlineStr">
        <is>
          <t>Estimado DION · criterio de mercado Guayaquil 2026 (no verificado en tienda)</t>
        </is>
      </c>
      <c r="P118" s="254" t="inlineStr">
        <is>
          <t>oct-2026 (est.)</t>
        </is>
      </c>
      <c r="Q118" s="254" t="n"/>
    </row>
    <row r="119">
      <c r="A119" s="18" t="n">
        <v>97</v>
      </c>
      <c r="B119" s="19" t="inlineStr">
        <is>
          <t xml:space="preserve">        Ventilador de Presurización de Escaleras 5 000 CFM</t>
        </is>
      </c>
      <c r="C119" s="20" t="inlineStr">
        <is>
          <t>Residencial / Comercial / Ind</t>
        </is>
      </c>
      <c r="D119" s="18" t="inlineStr">
        <is>
          <t>Presurización</t>
        </is>
      </c>
      <c r="E119" s="18" t="inlineStr">
        <is>
          <t>U</t>
        </is>
      </c>
      <c r="F119" s="21" t="n">
        <v>0</v>
      </c>
      <c r="G119" s="22" t="n">
        <v>3800</v>
      </c>
      <c r="H119" s="22" t="n">
        <v>3990</v>
      </c>
      <c r="I119" s="18" t="inlineStr">
        <is>
          <t>Megametales</t>
        </is>
      </c>
      <c r="J119" s="22" t="n">
        <v>4104</v>
      </c>
      <c r="K119" s="18" t="inlineStr">
        <is>
          <t>Kywi / Megakywi</t>
        </is>
      </c>
      <c r="L119" s="8">
        <f>F119*G119</f>
        <v/>
      </c>
      <c r="M119" s="145" t="inlineStr">
        <is>
          <t>MEC-D30-VEN-PRE-05000CFM</t>
        </is>
      </c>
      <c r="N119" s="18" t="inlineStr">
        <is>
          <t>Mecánicas: climatización y ventilación (HVAC)</t>
        </is>
      </c>
      <c r="O119" s="18" t="inlineStr">
        <is>
          <t>Estimado DION · criterio de mercado Guayaquil 2026 (no verificado en tienda)</t>
        </is>
      </c>
      <c r="P119" s="18" t="inlineStr">
        <is>
          <t>oct-2026 (est.)</t>
        </is>
      </c>
      <c r="Q119" s="18" t="n"/>
    </row>
    <row r="120">
      <c r="A120" s="254" t="n">
        <v>98</v>
      </c>
      <c r="B120" s="255" t="inlineStr">
        <is>
          <t xml:space="preserve">        Ventilador de Techo 52"</t>
        </is>
      </c>
      <c r="C120" s="256" t="inlineStr">
        <is>
          <t>Residencial / Comercial / Ind</t>
        </is>
      </c>
      <c r="D120" s="254" t="inlineStr">
        <is>
          <t>Ventiladores Techo</t>
        </is>
      </c>
      <c r="E120" s="254" t="inlineStr">
        <is>
          <t>U</t>
        </is>
      </c>
      <c r="F120" s="257" t="n">
        <v>4</v>
      </c>
      <c r="G120" s="258" t="n">
        <v>95</v>
      </c>
      <c r="H120" s="258" t="n">
        <v>98.8</v>
      </c>
      <c r="I120" s="254" t="inlineStr">
        <is>
          <t>Megametales</t>
        </is>
      </c>
      <c r="J120" s="258" t="n">
        <v>105.45</v>
      </c>
      <c r="K120" s="254" t="inlineStr">
        <is>
          <t>Kywi / Megakywi</t>
        </is>
      </c>
      <c r="L120" s="259">
        <f>F120*G120</f>
        <v/>
      </c>
      <c r="M120" s="260" t="inlineStr">
        <is>
          <t>MEC-D30-VEN-TEC-52IN</t>
        </is>
      </c>
      <c r="N120" s="254" t="inlineStr">
        <is>
          <t>Mecánicas: climatización y ventilación (HVAC)</t>
        </is>
      </c>
      <c r="O120" s="254" t="inlineStr">
        <is>
          <t>Estimado DION · criterio de mercado Guayaquil 2026 (no verificado en tienda)</t>
        </is>
      </c>
      <c r="P120" s="254" t="inlineStr">
        <is>
          <t>oct-2026 (est.)</t>
        </is>
      </c>
      <c r="Q120" s="254" t="n"/>
    </row>
    <row r="121">
      <c r="A121" s="18" t="n">
        <v>99</v>
      </c>
      <c r="B121" s="19" t="inlineStr">
        <is>
          <t xml:space="preserve">        Termostato Digital Programable</t>
        </is>
      </c>
      <c r="C121" s="20" t="inlineStr">
        <is>
          <t>Residencial / Comercial / Ind</t>
        </is>
      </c>
      <c r="D121" s="18" t="inlineStr">
        <is>
          <t>Controles</t>
        </is>
      </c>
      <c r="E121" s="18" t="inlineStr">
        <is>
          <t>U</t>
        </is>
      </c>
      <c r="F121" s="21" t="n">
        <v>4</v>
      </c>
      <c r="G121" s="22" t="n">
        <v>85</v>
      </c>
      <c r="H121" s="22" t="n">
        <v>87.55</v>
      </c>
      <c r="I121" s="18" t="inlineStr">
        <is>
          <t>Megametales</t>
        </is>
      </c>
      <c r="J121" s="22" t="n">
        <v>91.8</v>
      </c>
      <c r="K121" s="18" t="inlineStr">
        <is>
          <t>Kywi / Megakywi</t>
        </is>
      </c>
      <c r="L121" s="8">
        <f>F121*G121</f>
        <v/>
      </c>
      <c r="M121" s="145" t="inlineStr">
        <is>
          <t>MEC-D30-CTL-TER-DIG</t>
        </is>
      </c>
      <c r="N121" s="18" t="inlineStr">
        <is>
          <t>Mecánicas: climatización y ventilación (HVAC)</t>
        </is>
      </c>
      <c r="O121" s="18" t="inlineStr">
        <is>
          <t>Estimado DION · criterio de mercado Guayaquil 2026 (no verificado en tienda)</t>
        </is>
      </c>
      <c r="P121" s="18" t="inlineStr">
        <is>
          <t>oct-2026 (est.)</t>
        </is>
      </c>
      <c r="Q121" s="18" t="n"/>
    </row>
    <row r="122">
      <c r="A122" s="254" t="n">
        <v>100</v>
      </c>
      <c r="B122" s="255" t="inlineStr">
        <is>
          <t xml:space="preserve">        Sensor de CO2 Ambiente</t>
        </is>
      </c>
      <c r="C122" s="256" t="inlineStr">
        <is>
          <t>Residencial / Comercial / Ind</t>
        </is>
      </c>
      <c r="D122" s="254" t="inlineStr">
        <is>
          <t>Controles</t>
        </is>
      </c>
      <c r="E122" s="254" t="inlineStr">
        <is>
          <t>U</t>
        </is>
      </c>
      <c r="F122" s="257" t="n">
        <v>2</v>
      </c>
      <c r="G122" s="258" t="n">
        <v>165</v>
      </c>
      <c r="H122" s="258" t="n">
        <v>171.6</v>
      </c>
      <c r="I122" s="254" t="inlineStr">
        <is>
          <t>Megametales</t>
        </is>
      </c>
      <c r="J122" s="258" t="n">
        <v>176.55</v>
      </c>
      <c r="K122" s="254" t="inlineStr">
        <is>
          <t>Kywi / Megakywi</t>
        </is>
      </c>
      <c r="L122" s="259">
        <f>F122*G122</f>
        <v/>
      </c>
      <c r="M122" s="260" t="inlineStr">
        <is>
          <t>MEC-D30-CTL-SEN-CO2</t>
        </is>
      </c>
      <c r="N122" s="254" t="inlineStr">
        <is>
          <t>Mecánicas: climatización y ventilación (HVAC)</t>
        </is>
      </c>
      <c r="O122" s="254" t="inlineStr">
        <is>
          <t>Estimado DION · criterio de mercado Guayaquil 2026 (no verificado en tienda)</t>
        </is>
      </c>
      <c r="P122" s="254" t="inlineStr">
        <is>
          <t>oct-2026 (est.)</t>
        </is>
      </c>
      <c r="Q122" s="254" t="n"/>
    </row>
    <row r="123">
      <c r="A123" s="18" t="n">
        <v>101</v>
      </c>
      <c r="B123" s="19" t="inlineStr">
        <is>
          <t xml:space="preserve">        Monitor de Presión Diferencial de Sala</t>
        </is>
      </c>
      <c r="C123" s="20" t="inlineStr">
        <is>
          <t>Residencial / Comercial / Ind</t>
        </is>
      </c>
      <c r="D123" s="18" t="inlineStr">
        <is>
          <t>Controles</t>
        </is>
      </c>
      <c r="E123" s="18" t="inlineStr">
        <is>
          <t>U</t>
        </is>
      </c>
      <c r="F123" s="21" t="n">
        <v>0</v>
      </c>
      <c r="G123" s="22" t="n">
        <v>680</v>
      </c>
      <c r="H123" s="22" t="n">
        <v>714</v>
      </c>
      <c r="I123" s="18" t="inlineStr">
        <is>
          <t>Megametales</t>
        </is>
      </c>
      <c r="J123" s="22" t="n">
        <v>748</v>
      </c>
      <c r="K123" s="18" t="inlineStr">
        <is>
          <t>Kywi / Megakywi</t>
        </is>
      </c>
      <c r="L123" s="8">
        <f>F123*G123</f>
        <v/>
      </c>
      <c r="M123" s="145" t="inlineStr">
        <is>
          <t>MEC-D30-CTL-MON-PRE</t>
        </is>
      </c>
      <c r="N123" s="18" t="inlineStr">
        <is>
          <t>Mecánicas: climatización y ventilación (HVAC)</t>
        </is>
      </c>
      <c r="O123" s="18" t="inlineStr">
        <is>
          <t>Estimado DION · criterio de mercado Guayaquil 2026 (no verificado en tienda)</t>
        </is>
      </c>
      <c r="P123" s="18" t="inlineStr">
        <is>
          <t>oct-2026 (est.)</t>
        </is>
      </c>
      <c r="Q123" s="18" t="n"/>
    </row>
    <row r="124">
      <c r="A124" s="10" t="n"/>
      <c r="B124" s="147" t="inlineStr">
        <is>
          <t>TOTAL BASE DE DATOS HVAC Y CLIMATIZACIÓN (ESTIMADO)</t>
        </is>
      </c>
      <c r="C124" s="148" t="n"/>
      <c r="D124" s="148" t="n"/>
      <c r="E124" s="148" t="n"/>
      <c r="F124" s="148" t="n"/>
      <c r="G124" s="148" t="n"/>
      <c r="H124" s="148" t="n"/>
      <c r="I124" s="148" t="n"/>
      <c r="J124" s="148" t="n"/>
      <c r="K124" s="148" t="n"/>
      <c r="L124" s="30">
        <f>SUM(L6:L123)</f>
        <v/>
      </c>
      <c r="M124" s="30" t="n"/>
      <c r="N124" s="30" t="n"/>
      <c r="O124" s="30" t="n"/>
      <c r="P124" s="30" t="n"/>
      <c r="Q124" s="30" t="n"/>
    </row>
  </sheetData>
  <mergeCells count="18">
    <mergeCell ref="A8:Q8"/>
    <mergeCell ref="A6:Q6"/>
    <mergeCell ref="A77:Q77"/>
    <mergeCell ref="B124:K124"/>
    <mergeCell ref="A7:Q7"/>
    <mergeCell ref="A59:Q59"/>
    <mergeCell ref="A43:Q43"/>
    <mergeCell ref="A24:Q24"/>
    <mergeCell ref="A78:Q78"/>
    <mergeCell ref="A101:Q101"/>
    <mergeCell ref="A25:Q25"/>
    <mergeCell ref="A42:Q42"/>
    <mergeCell ref="A41:Q41"/>
    <mergeCell ref="A60:Q60"/>
    <mergeCell ref="A102:Q102"/>
    <mergeCell ref="A103:Q103"/>
    <mergeCell ref="A23:Q23"/>
    <mergeCell ref="A76:Q76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6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8" customWidth="1" min="2" max="2"/>
    <col width="30" customWidth="1" min="3" max="3"/>
    <col width="32" customWidth="1" min="4" max="4"/>
    <col width="8" customWidth="1" min="5" max="5"/>
    <col width="10" customWidth="1" min="6" max="6"/>
    <col width="15" customWidth="1" min="7" max="7"/>
    <col width="16" customWidth="1" min="8" max="8"/>
    <col width="22" customWidth="1" min="9" max="9"/>
    <col width="16" customWidth="1" min="10" max="10"/>
    <col width="20" customWidth="1" min="11" max="11"/>
    <col width="16" customWidth="1" min="12" max="12"/>
    <col width="27" customWidth="1" min="13" max="13"/>
    <col width="30" customWidth="1" min="14" max="14"/>
    <col width="44" customWidth="1" min="15" max="15"/>
    <col width="15" customWidth="1" min="16" max="16"/>
    <col width="14" customWidth="1" min="17" max="17"/>
  </cols>
  <sheetData>
    <row r="1">
      <c r="A1" s="1" t="inlineStr">
        <is>
          <t>BASE DE DATOS COMPLETA DE CATALOGACIÓN: MOV. TIERRAS Y PRELIMINARES</t>
        </is>
      </c>
    </row>
    <row r="2">
      <c r="A2" s="2" t="inlineStr">
        <is>
          <t>Estructura Jerárquica Homogénea: Accesorios &gt; Tuberías &gt; Equipos &gt; Conexiones &gt; Equipos Especializados | Degradé por Niveles (Ecuador - USD)</t>
        </is>
      </c>
    </row>
    <row r="3">
      <c r="A3" s="13" t="inlineStr">
        <is>
          <t>« Volver al Índice General</t>
        </is>
      </c>
    </row>
    <row r="5" ht="30" customHeight="1">
      <c r="A5" s="4" t="inlineStr">
        <is>
          <t>Item</t>
        </is>
      </c>
      <c r="B5" s="4" t="inlineStr">
        <is>
          <t>Descripción de Accesorio / Ítem Especificado</t>
        </is>
      </c>
      <c r="C5" s="4" t="inlineStr">
        <is>
          <t>Clasificación / Ámbito de Uso
(Residencial/Comercial/Industrial)</t>
        </is>
      </c>
      <c r="D5" s="4" t="inlineStr">
        <is>
          <t>Tipo / Familia</t>
        </is>
      </c>
      <c r="E5" s="4" t="inlineStr">
        <is>
          <t>Unidad</t>
        </is>
      </c>
      <c r="F5" s="4" t="inlineStr">
        <is>
          <t>Cant.</t>
        </is>
      </c>
      <c r="G5" s="4" t="inlineStr">
        <is>
          <t>P. Ref. Est. ($)</t>
        </is>
      </c>
      <c r="H5" s="4" t="inlineStr">
        <is>
          <t>P. Unit. Local A ($)
(Contratista local)</t>
        </is>
      </c>
      <c r="I5" s="4" t="inlineStr">
        <is>
          <t>Local A
Especificado</t>
        </is>
      </c>
      <c r="J5" s="4" t="inlineStr">
        <is>
          <t>P. Unit. Local B ($)
(Alquiler equipos GYE)</t>
        </is>
      </c>
      <c r="K5" s="4" t="inlineStr">
        <is>
          <t>Local B
Especificado</t>
        </is>
      </c>
      <c r="L5" s="4" t="inlineStr">
        <is>
          <t>Subtotal Est. ($)</t>
        </is>
      </c>
      <c r="M5" s="4" t="inlineStr">
        <is>
          <t>Código DION</t>
        </is>
      </c>
      <c r="N5" s="4" t="inlineStr">
        <is>
          <t>Disciplina</t>
        </is>
      </c>
      <c r="O5" s="4" t="inlineStr">
        <is>
          <t>Fuente del precio</t>
        </is>
      </c>
      <c r="P5" s="4" t="inlineStr">
        <is>
          <t>Fecha precio</t>
        </is>
      </c>
      <c r="Q5" s="4" t="inlineStr">
        <is>
          <t>Rendimiento /
desperdicio %</t>
        </is>
      </c>
    </row>
    <row r="6">
      <c r="A6" s="261" t="inlineStr">
        <is>
          <t>ACCESORIOS</t>
        </is>
      </c>
      <c r="B6" s="143" t="n"/>
      <c r="C6" s="143" t="n"/>
      <c r="D6" s="143" t="n"/>
      <c r="E6" s="143" t="n"/>
      <c r="F6" s="143" t="n"/>
      <c r="G6" s="143" t="n"/>
      <c r="H6" s="143" t="n"/>
      <c r="I6" s="143" t="n"/>
      <c r="J6" s="143" t="n"/>
      <c r="K6" s="143" t="n"/>
      <c r="L6" s="143" t="n"/>
      <c r="M6" s="143" t="n"/>
      <c r="N6" s="143" t="n"/>
      <c r="O6" s="143" t="n"/>
      <c r="P6" s="143" t="n"/>
      <c r="Q6" s="144" t="n"/>
    </row>
    <row r="7">
      <c r="A7" s="262" t="inlineStr">
        <is>
          <t xml:space="preserve">  ► CATEGORÍA: OBRAS PRELIMINARES</t>
        </is>
      </c>
      <c r="B7" s="143" t="n"/>
      <c r="C7" s="143" t="n"/>
      <c r="D7" s="143" t="n"/>
      <c r="E7" s="143" t="n"/>
      <c r="F7" s="143" t="n"/>
      <c r="G7" s="143" t="n"/>
      <c r="H7" s="143" t="n"/>
      <c r="I7" s="143" t="n"/>
      <c r="J7" s="143" t="n"/>
      <c r="K7" s="143" t="n"/>
      <c r="L7" s="143" t="n"/>
      <c r="M7" s="143" t="n"/>
      <c r="N7" s="143" t="n"/>
      <c r="O7" s="143" t="n"/>
      <c r="P7" s="143" t="n"/>
      <c r="Q7" s="144" t="n"/>
    </row>
    <row r="8">
      <c r="A8" s="263" t="inlineStr">
        <is>
          <t xml:space="preserve">      • Subcategoría Especificada: Limpieza, Replanteo, Cerramientos y Señalización</t>
        </is>
      </c>
      <c r="B8" s="143" t="n"/>
      <c r="C8" s="143" t="n"/>
      <c r="D8" s="143" t="n"/>
      <c r="E8" s="143" t="n"/>
      <c r="F8" s="143" t="n"/>
      <c r="G8" s="143" t="n"/>
      <c r="H8" s="143" t="n"/>
      <c r="I8" s="143" t="n"/>
      <c r="J8" s="143" t="n"/>
      <c r="K8" s="143" t="n"/>
      <c r="L8" s="143" t="n"/>
      <c r="M8" s="143" t="n"/>
      <c r="N8" s="143" t="n"/>
      <c r="O8" s="143" t="n"/>
      <c r="P8" s="143" t="n"/>
      <c r="Q8" s="144" t="n"/>
    </row>
    <row r="9">
      <c r="A9" s="18" t="n">
        <v>1</v>
      </c>
      <c r="B9" s="19" t="inlineStr">
        <is>
          <t xml:space="preserve">        Desbroce y Limpieza de Terreno (m²)</t>
        </is>
      </c>
      <c r="C9" s="20" t="inlineStr">
        <is>
          <t>Residencial / Comercial</t>
        </is>
      </c>
      <c r="D9" s="18" t="inlineStr">
        <is>
          <t>Limpieza</t>
        </is>
      </c>
      <c r="E9" s="18" t="inlineStr">
        <is>
          <t>m2</t>
        </is>
      </c>
      <c r="F9" s="21" t="n">
        <v>1000</v>
      </c>
      <c r="G9" s="22" t="n">
        <v>0.85</v>
      </c>
      <c r="H9" s="22" t="n">
        <v>0.88</v>
      </c>
      <c r="I9" s="18" t="inlineStr">
        <is>
          <t>Contratista local</t>
        </is>
      </c>
      <c r="J9" s="22" t="n">
        <v>0.9399999999999999</v>
      </c>
      <c r="K9" s="18" t="inlineStr">
        <is>
          <t>Alquiler equipos GYE</t>
        </is>
      </c>
      <c r="L9" s="8">
        <f>F9*G9</f>
        <v/>
      </c>
      <c r="M9" s="145" t="inlineStr">
        <is>
          <t>AP-G10-MTI-DES-BRO</t>
        </is>
      </c>
      <c r="N9" s="18" t="inlineStr">
        <is>
          <t>Paisajismo y obras exteriores</t>
        </is>
      </c>
      <c r="O9" s="18" t="inlineStr">
        <is>
          <t>Estimado DION · criterio de mercado Guayaquil 2026 (no verificado en tienda)</t>
        </is>
      </c>
      <c r="P9" s="18" t="inlineStr">
        <is>
          <t>oct-2026 (est.)</t>
        </is>
      </c>
      <c r="Q9" s="18" t="n"/>
    </row>
    <row r="10">
      <c r="A10" s="264" t="n">
        <v>2</v>
      </c>
      <c r="B10" s="265" t="inlineStr">
        <is>
          <t xml:space="preserve">        Replanteo y Nivelación con Equipo Topográfico (m²)</t>
        </is>
      </c>
      <c r="C10" s="266" t="inlineStr">
        <is>
          <t>Residencial / Comercial</t>
        </is>
      </c>
      <c r="D10" s="264" t="inlineStr">
        <is>
          <t>Replanteo</t>
        </is>
      </c>
      <c r="E10" s="264" t="inlineStr">
        <is>
          <t>m2</t>
        </is>
      </c>
      <c r="F10" s="267" t="n">
        <v>1000</v>
      </c>
      <c r="G10" s="268" t="n">
        <v>1.2</v>
      </c>
      <c r="H10" s="268" t="n">
        <v>1.25</v>
      </c>
      <c r="I10" s="264" t="inlineStr">
        <is>
          <t>Contratista local</t>
        </is>
      </c>
      <c r="J10" s="268" t="n">
        <v>1.31</v>
      </c>
      <c r="K10" s="264" t="inlineStr">
        <is>
          <t>Alquiler equipos GYE</t>
        </is>
      </c>
      <c r="L10" s="269">
        <f>F10*G10</f>
        <v/>
      </c>
      <c r="M10" s="270" t="inlineStr">
        <is>
          <t>AP-G10-PRE-REP-NIV</t>
        </is>
      </c>
      <c r="N10" s="264" t="inlineStr">
        <is>
          <t>Paisajismo y obras exteriores</t>
        </is>
      </c>
      <c r="O10" s="264" t="inlineStr">
        <is>
          <t>Estimado DION · criterio de mercado Guayaquil 2026 (no verificado en tienda)</t>
        </is>
      </c>
      <c r="P10" s="264" t="inlineStr">
        <is>
          <t>oct-2026 (est.)</t>
        </is>
      </c>
      <c r="Q10" s="264" t="n"/>
    </row>
    <row r="11">
      <c r="A11" s="18" t="n">
        <v>3</v>
      </c>
      <c r="B11" s="19" t="inlineStr">
        <is>
          <t xml:space="preserve">        Levantamiento Topográfico (m², terreno ≤1 ha)</t>
        </is>
      </c>
      <c r="C11" s="20" t="inlineStr">
        <is>
          <t>Residencial / Comercial</t>
        </is>
      </c>
      <c r="D11" s="18" t="inlineStr">
        <is>
          <t>Topografía</t>
        </is>
      </c>
      <c r="E11" s="18" t="inlineStr">
        <is>
          <t>m2</t>
        </is>
      </c>
      <c r="F11" s="21" t="n">
        <v>1000</v>
      </c>
      <c r="G11" s="22" t="n">
        <v>0.35</v>
      </c>
      <c r="H11" s="22" t="n">
        <v>0.36</v>
      </c>
      <c r="I11" s="18" t="inlineStr">
        <is>
          <t>Contratista local</t>
        </is>
      </c>
      <c r="J11" s="22" t="n">
        <v>0.38</v>
      </c>
      <c r="K11" s="18" t="inlineStr">
        <is>
          <t>Alquiler equipos GYE</t>
        </is>
      </c>
      <c r="L11" s="8">
        <f>F11*G11</f>
        <v/>
      </c>
      <c r="M11" s="145" t="inlineStr">
        <is>
          <t>AP-G10-PRE-LEV-TOP</t>
        </is>
      </c>
      <c r="N11" s="18" t="inlineStr">
        <is>
          <t>Paisajismo y obras exteriores</t>
        </is>
      </c>
      <c r="O11" s="18" t="inlineStr">
        <is>
          <t>Estimado DION · criterio de mercado Guayaquil 2026 (no verificado en tienda)</t>
        </is>
      </c>
      <c r="P11" s="18" t="inlineStr">
        <is>
          <t>oct-2026 (est.)</t>
        </is>
      </c>
      <c r="Q11" s="18" t="n"/>
    </row>
    <row r="12">
      <c r="A12" s="264" t="n">
        <v>4</v>
      </c>
      <c r="B12" s="265" t="inlineStr">
        <is>
          <t xml:space="preserve">        Estudio de Suelos (SPT 3 Perforaciones 6 m, Global)</t>
        </is>
      </c>
      <c r="C12" s="266" t="inlineStr">
        <is>
          <t>Residencial / Comercial</t>
        </is>
      </c>
      <c r="D12" s="264" t="inlineStr">
        <is>
          <t>Estudios</t>
        </is>
      </c>
      <c r="E12" s="264" t="inlineStr">
        <is>
          <t>Glb</t>
        </is>
      </c>
      <c r="F12" s="267" t="n">
        <v>0</v>
      </c>
      <c r="G12" s="268" t="n">
        <v>1650</v>
      </c>
      <c r="H12" s="268" t="n">
        <v>1683</v>
      </c>
      <c r="I12" s="264" t="inlineStr">
        <is>
          <t>Contratista local</t>
        </is>
      </c>
      <c r="J12" s="268" t="n">
        <v>1782</v>
      </c>
      <c r="K12" s="264" t="inlineStr">
        <is>
          <t>Alquiler equipos GYE</t>
        </is>
      </c>
      <c r="L12" s="269">
        <f>F12*G12</f>
        <v/>
      </c>
      <c r="M12" s="270" t="inlineStr">
        <is>
          <t>AP-G10-PRE-EST-SUE</t>
        </is>
      </c>
      <c r="N12" s="264" t="inlineStr">
        <is>
          <t>Paisajismo y obras exteriores</t>
        </is>
      </c>
      <c r="O12" s="264" t="inlineStr">
        <is>
          <t>Estimado DION · criterio de mercado Guayaquil 2026 (no verificado en tienda)</t>
        </is>
      </c>
      <c r="P12" s="264" t="inlineStr">
        <is>
          <t>oct-2026 (est.)</t>
        </is>
      </c>
      <c r="Q12" s="264" t="n"/>
    </row>
    <row r="13">
      <c r="A13" s="18" t="n">
        <v>5</v>
      </c>
      <c r="B13" s="19" t="inlineStr">
        <is>
          <t xml:space="preserve">        Cerramiento Provisional Zinc y Pingos h=2.4 m (m)</t>
        </is>
      </c>
      <c r="C13" s="20" t="inlineStr">
        <is>
          <t>Residencial / Comercial</t>
        </is>
      </c>
      <c r="D13" s="18" t="inlineStr">
        <is>
          <t>Cerramientos</t>
        </is>
      </c>
      <c r="E13" s="18" t="inlineStr">
        <is>
          <t>m</t>
        </is>
      </c>
      <c r="F13" s="21" t="n">
        <v>100</v>
      </c>
      <c r="G13" s="22" t="n">
        <v>14.5</v>
      </c>
      <c r="H13" s="22" t="n">
        <v>14.79</v>
      </c>
      <c r="I13" s="18" t="inlineStr">
        <is>
          <t>Contratista local</t>
        </is>
      </c>
      <c r="J13" s="22" t="n">
        <v>15.95</v>
      </c>
      <c r="K13" s="18" t="inlineStr">
        <is>
          <t>Alquiler equipos GYE</t>
        </is>
      </c>
      <c r="L13" s="8">
        <f>F13*G13</f>
        <v/>
      </c>
      <c r="M13" s="145" t="inlineStr">
        <is>
          <t>AP-G10-PRE-CER-ZIN</t>
        </is>
      </c>
      <c r="N13" s="18" t="inlineStr">
        <is>
          <t>Paisajismo y obras exteriores</t>
        </is>
      </c>
      <c r="O13" s="18" t="inlineStr">
        <is>
          <t>Estimado DION · criterio de mercado Guayaquil 2026 (no verificado en tienda)</t>
        </is>
      </c>
      <c r="P13" s="18" t="inlineStr">
        <is>
          <t>oct-2026 (est.)</t>
        </is>
      </c>
      <c r="Q13" s="18" t="n"/>
    </row>
    <row r="14">
      <c r="A14" s="264" t="n">
        <v>6</v>
      </c>
      <c r="B14" s="265" t="inlineStr">
        <is>
          <t xml:space="preserve">        Cerramiento Provisional Malla Sarán (m)</t>
        </is>
      </c>
      <c r="C14" s="266" t="inlineStr">
        <is>
          <t>Residencial / Comercial</t>
        </is>
      </c>
      <c r="D14" s="264" t="inlineStr">
        <is>
          <t>Cerramientos</t>
        </is>
      </c>
      <c r="E14" s="264" t="inlineStr">
        <is>
          <t>m</t>
        </is>
      </c>
      <c r="F14" s="267" t="n">
        <v>100</v>
      </c>
      <c r="G14" s="268" t="n">
        <v>4.5</v>
      </c>
      <c r="H14" s="268" t="n">
        <v>4.73</v>
      </c>
      <c r="I14" s="264" t="inlineStr">
        <is>
          <t>Contratista local</t>
        </is>
      </c>
      <c r="J14" s="268" t="n">
        <v>4.82</v>
      </c>
      <c r="K14" s="264" t="inlineStr">
        <is>
          <t>Alquiler equipos GYE</t>
        </is>
      </c>
      <c r="L14" s="269">
        <f>F14*G14</f>
        <v/>
      </c>
      <c r="M14" s="270" t="inlineStr">
        <is>
          <t>AP-G10-PRE-CER-MAL</t>
        </is>
      </c>
      <c r="N14" s="264" t="inlineStr">
        <is>
          <t>Paisajismo y obras exteriores</t>
        </is>
      </c>
      <c r="O14" s="264" t="inlineStr">
        <is>
          <t>Estimado DION · criterio de mercado Guayaquil 2026 (no verificado en tienda)</t>
        </is>
      </c>
      <c r="P14" s="264" t="inlineStr">
        <is>
          <t>oct-2026 (est.)</t>
        </is>
      </c>
      <c r="Q14" s="264" t="n"/>
    </row>
    <row r="15">
      <c r="A15" s="18" t="n">
        <v>7</v>
      </c>
      <c r="B15" s="19" t="inlineStr">
        <is>
          <t xml:space="preserve">        Rótulo de Obra 2.40x1.20 m (Lona + Estructura)</t>
        </is>
      </c>
      <c r="C15" s="20" t="inlineStr">
        <is>
          <t>Residencial / Comercial</t>
        </is>
      </c>
      <c r="D15" s="18" t="inlineStr">
        <is>
          <t>Rótulos</t>
        </is>
      </c>
      <c r="E15" s="18" t="inlineStr">
        <is>
          <t>U</t>
        </is>
      </c>
      <c r="F15" s="21" t="n">
        <v>1</v>
      </c>
      <c r="G15" s="22" t="n">
        <v>165</v>
      </c>
      <c r="H15" s="22" t="n">
        <v>173.25</v>
      </c>
      <c r="I15" s="18" t="inlineStr">
        <is>
          <t>Contratista local</t>
        </is>
      </c>
      <c r="J15" s="22" t="n">
        <v>183.15</v>
      </c>
      <c r="K15" s="18" t="inlineStr">
        <is>
          <t>Alquiler equipos GYE</t>
        </is>
      </c>
      <c r="L15" s="8">
        <f>F15*G15</f>
        <v/>
      </c>
      <c r="M15" s="145" t="inlineStr">
        <is>
          <t>AP-G10-PRE-ROT-OBR</t>
        </is>
      </c>
      <c r="N15" s="18" t="inlineStr">
        <is>
          <t>Paisajismo y obras exteriores</t>
        </is>
      </c>
      <c r="O15" s="18" t="inlineStr">
        <is>
          <t>Estimado DION · criterio de mercado Guayaquil 2026 (no verificado en tienda)</t>
        </is>
      </c>
      <c r="P15" s="18" t="inlineStr">
        <is>
          <t>oct-2026 (est.)</t>
        </is>
      </c>
      <c r="Q15" s="18" t="n"/>
    </row>
    <row r="16">
      <c r="A16" s="264" t="n">
        <v>8</v>
      </c>
      <c r="B16" s="265" t="inlineStr">
        <is>
          <t xml:space="preserve">        Señalización de Seguridad Preventiva (Global)</t>
        </is>
      </c>
      <c r="C16" s="266" t="inlineStr">
        <is>
          <t>Residencial / Comercial</t>
        </is>
      </c>
      <c r="D16" s="264" t="inlineStr">
        <is>
          <t>Seguridad</t>
        </is>
      </c>
      <c r="E16" s="264" t="inlineStr">
        <is>
          <t>Glb</t>
        </is>
      </c>
      <c r="F16" s="267" t="n">
        <v>1</v>
      </c>
      <c r="G16" s="268" t="n">
        <v>250</v>
      </c>
      <c r="H16" s="268" t="n">
        <v>257.5</v>
      </c>
      <c r="I16" s="264" t="inlineStr">
        <is>
          <t>Contratista local</t>
        </is>
      </c>
      <c r="J16" s="268" t="n">
        <v>277.5</v>
      </c>
      <c r="K16" s="264" t="inlineStr">
        <is>
          <t>Alquiler equipos GYE</t>
        </is>
      </c>
      <c r="L16" s="269">
        <f>F16*G16</f>
        <v/>
      </c>
      <c r="M16" s="270" t="inlineStr">
        <is>
          <t>AP-G10-PRE-SEN-SEG</t>
        </is>
      </c>
      <c r="N16" s="264" t="inlineStr">
        <is>
          <t>Paisajismo y obras exteriores</t>
        </is>
      </c>
      <c r="O16" s="264" t="inlineStr">
        <is>
          <t>Estimado DION · criterio de mercado Guayaquil 2026 (no verificado en tienda)</t>
        </is>
      </c>
      <c r="P16" s="264" t="inlineStr">
        <is>
          <t>oct-2026 (est.)</t>
        </is>
      </c>
      <c r="Q16" s="264" t="n"/>
    </row>
    <row r="17">
      <c r="A17" s="18" t="n">
        <v>9</v>
      </c>
      <c r="B17" s="19" t="inlineStr">
        <is>
          <t xml:space="preserve">        Cinta de Peligro (Rollo 100 m)</t>
        </is>
      </c>
      <c r="C17" s="20" t="inlineStr">
        <is>
          <t>Residencial / Comercial</t>
        </is>
      </c>
      <c r="D17" s="18" t="inlineStr">
        <is>
          <t>Seguridad</t>
        </is>
      </c>
      <c r="E17" s="18" t="inlineStr">
        <is>
          <t>Rollo</t>
        </is>
      </c>
      <c r="F17" s="21" t="n">
        <v>4</v>
      </c>
      <c r="G17" s="22" t="n">
        <v>4.5</v>
      </c>
      <c r="H17" s="22" t="n">
        <v>4.63</v>
      </c>
      <c r="I17" s="18" t="inlineStr">
        <is>
          <t>Contratista local</t>
        </is>
      </c>
      <c r="J17" s="22" t="n">
        <v>4.82</v>
      </c>
      <c r="K17" s="18" t="inlineStr">
        <is>
          <t>Alquiler equipos GYE</t>
        </is>
      </c>
      <c r="L17" s="8">
        <f>F17*G17</f>
        <v/>
      </c>
      <c r="M17" s="145" t="inlineStr">
        <is>
          <t>AP-G10-PRE-CIN-PEL</t>
        </is>
      </c>
      <c r="N17" s="18" t="inlineStr">
        <is>
          <t>Paisajismo y obras exteriores</t>
        </is>
      </c>
      <c r="O17" s="18" t="inlineStr">
        <is>
          <t>Estimado DION · criterio de mercado Guayaquil 2026 (no verificado en tienda)</t>
        </is>
      </c>
      <c r="P17" s="18" t="inlineStr">
        <is>
          <t>oct-2026 (est.)</t>
        </is>
      </c>
      <c r="Q17" s="18" t="n"/>
    </row>
    <row r="18">
      <c r="A18" s="264" t="n">
        <v>10</v>
      </c>
      <c r="B18" s="265" t="inlineStr">
        <is>
          <t xml:space="preserve">        Cono de Seguridad Vial 70 cm</t>
        </is>
      </c>
      <c r="C18" s="266" t="inlineStr">
        <is>
          <t>Residencial / Comercial</t>
        </is>
      </c>
      <c r="D18" s="264" t="inlineStr">
        <is>
          <t>Seguridad</t>
        </is>
      </c>
      <c r="E18" s="264" t="inlineStr">
        <is>
          <t>U</t>
        </is>
      </c>
      <c r="F18" s="267" t="n">
        <v>10</v>
      </c>
      <c r="G18" s="268" t="n">
        <v>9.5</v>
      </c>
      <c r="H18" s="268" t="n">
        <v>9.789999999999999</v>
      </c>
      <c r="I18" s="264" t="inlineStr">
        <is>
          <t>Contratista local</t>
        </is>
      </c>
      <c r="J18" s="268" t="n">
        <v>10.17</v>
      </c>
      <c r="K18" s="264" t="inlineStr">
        <is>
          <t>Alquiler equipos GYE</t>
        </is>
      </c>
      <c r="L18" s="269">
        <f>F18*G18</f>
        <v/>
      </c>
      <c r="M18" s="270" t="inlineStr">
        <is>
          <t>AP-G10-PRE-CON-VIA</t>
        </is>
      </c>
      <c r="N18" s="264" t="inlineStr">
        <is>
          <t>Paisajismo y obras exteriores</t>
        </is>
      </c>
      <c r="O18" s="264" t="inlineStr">
        <is>
          <t>Estimado DION · criterio de mercado Guayaquil 2026 (no verificado en tienda)</t>
        </is>
      </c>
      <c r="P18" s="264" t="inlineStr">
        <is>
          <t>oct-2026 (est.)</t>
        </is>
      </c>
      <c r="Q18" s="264" t="n"/>
    </row>
    <row r="19">
      <c r="A19" s="18" t="n">
        <v>11</v>
      </c>
      <c r="B19" s="19" t="inlineStr">
        <is>
          <t xml:space="preserve">        Demolición de Mampostería (m³)</t>
        </is>
      </c>
      <c r="C19" s="20" t="inlineStr">
        <is>
          <t>Residencial / Comercial</t>
        </is>
      </c>
      <c r="D19" s="18" t="inlineStr">
        <is>
          <t>Demoliciones</t>
        </is>
      </c>
      <c r="E19" s="18" t="inlineStr">
        <is>
          <t>m3</t>
        </is>
      </c>
      <c r="F19" s="21" t="n">
        <v>20</v>
      </c>
      <c r="G19" s="22" t="n">
        <v>14</v>
      </c>
      <c r="H19" s="22" t="n">
        <v>14.28</v>
      </c>
      <c r="I19" s="18" t="inlineStr">
        <is>
          <t>Contratista local</t>
        </is>
      </c>
      <c r="J19" s="22" t="n">
        <v>15.12</v>
      </c>
      <c r="K19" s="18" t="inlineStr">
        <is>
          <t>Alquiler equipos GYE</t>
        </is>
      </c>
      <c r="L19" s="8">
        <f>F19*G19</f>
        <v/>
      </c>
      <c r="M19" s="145" t="inlineStr">
        <is>
          <t>AP-G10-PRE-DEM-MAM</t>
        </is>
      </c>
      <c r="N19" s="18" t="inlineStr">
        <is>
          <t>Paisajismo y obras exteriores</t>
        </is>
      </c>
      <c r="O19" s="18" t="inlineStr">
        <is>
          <t>Estimado DION · criterio de mercado Guayaquil 2026 (no verificado en tienda)</t>
        </is>
      </c>
      <c r="P19" s="18" t="inlineStr">
        <is>
          <t>oct-2026 (est.)</t>
        </is>
      </c>
      <c r="Q19" s="18" t="n"/>
    </row>
    <row r="20">
      <c r="A20" s="264" t="n">
        <v>12</v>
      </c>
      <c r="B20" s="265" t="inlineStr">
        <is>
          <t xml:space="preserve">        Demolición de Hormigón Armado (m³)</t>
        </is>
      </c>
      <c r="C20" s="266" t="inlineStr">
        <is>
          <t>Residencial / Comercial</t>
        </is>
      </c>
      <c r="D20" s="264" t="inlineStr">
        <is>
          <t>Demoliciones</t>
        </is>
      </c>
      <c r="E20" s="264" t="inlineStr">
        <is>
          <t>m3</t>
        </is>
      </c>
      <c r="F20" s="267" t="n">
        <v>10</v>
      </c>
      <c r="G20" s="268" t="n">
        <v>65</v>
      </c>
      <c r="H20" s="268" t="n">
        <v>67.59999999999999</v>
      </c>
      <c r="I20" s="264" t="inlineStr">
        <is>
          <t>Contratista local</t>
        </is>
      </c>
      <c r="J20" s="268" t="n">
        <v>72.15000000000001</v>
      </c>
      <c r="K20" s="264" t="inlineStr">
        <is>
          <t>Alquiler equipos GYE</t>
        </is>
      </c>
      <c r="L20" s="269">
        <f>F20*G20</f>
        <v/>
      </c>
      <c r="M20" s="270" t="inlineStr">
        <is>
          <t>AP-G10-PRE-DEM-HOR</t>
        </is>
      </c>
      <c r="N20" s="264" t="inlineStr">
        <is>
          <t>Paisajismo y obras exteriores</t>
        </is>
      </c>
      <c r="O20" s="264" t="inlineStr">
        <is>
          <t>Estimado DION · criterio de mercado Guayaquil 2026 (no verificado en tienda)</t>
        </is>
      </c>
      <c r="P20" s="264" t="inlineStr">
        <is>
          <t>oct-2026 (est.)</t>
        </is>
      </c>
      <c r="Q20" s="264" t="n"/>
    </row>
    <row r="21">
      <c r="A21" s="18" t="n">
        <v>13</v>
      </c>
      <c r="B21" s="19" t="inlineStr">
        <is>
          <t xml:space="preserve">        Picado y Retiro de Piso Existente (m²)</t>
        </is>
      </c>
      <c r="C21" s="20" t="inlineStr">
        <is>
          <t>Residencial / Comercial</t>
        </is>
      </c>
      <c r="D21" s="18" t="inlineStr">
        <is>
          <t>Demoliciones</t>
        </is>
      </c>
      <c r="E21" s="18" t="inlineStr">
        <is>
          <t>m2</t>
        </is>
      </c>
      <c r="F21" s="21" t="n">
        <v>100</v>
      </c>
      <c r="G21" s="22" t="n">
        <v>3.6</v>
      </c>
      <c r="H21" s="22" t="n">
        <v>3.74</v>
      </c>
      <c r="I21" s="18" t="inlineStr">
        <is>
          <t>Contratista local</t>
        </is>
      </c>
      <c r="J21" s="22" t="n">
        <v>3.96</v>
      </c>
      <c r="K21" s="18" t="inlineStr">
        <is>
          <t>Alquiler equipos GYE</t>
        </is>
      </c>
      <c r="L21" s="8">
        <f>F21*G21</f>
        <v/>
      </c>
      <c r="M21" s="145" t="inlineStr">
        <is>
          <t>AP-G10-PRE-DEM-PIS</t>
        </is>
      </c>
      <c r="N21" s="18" t="inlineStr">
        <is>
          <t>Paisajismo y obras exteriores</t>
        </is>
      </c>
      <c r="O21" s="18" t="inlineStr">
        <is>
          <t>Estimado DION · criterio de mercado Guayaquil 2026 (no verificado en tienda)</t>
        </is>
      </c>
      <c r="P21" s="18" t="inlineStr">
        <is>
          <t>oct-2026 (est.)</t>
        </is>
      </c>
      <c r="Q21" s="18" t="n"/>
    </row>
    <row r="22">
      <c r="A22" s="261" t="inlineStr">
        <is>
          <t>TUBERÍAS</t>
        </is>
      </c>
      <c r="B22" s="143" t="n"/>
      <c r="C22" s="143" t="n"/>
      <c r="D22" s="143" t="n"/>
      <c r="E22" s="143" t="n"/>
      <c r="F22" s="143" t="n"/>
      <c r="G22" s="143" t="n"/>
      <c r="H22" s="143" t="n"/>
      <c r="I22" s="143" t="n"/>
      <c r="J22" s="143" t="n"/>
      <c r="K22" s="143" t="n"/>
      <c r="L22" s="143" t="n"/>
      <c r="M22" s="143" t="n"/>
      <c r="N22" s="143" t="n"/>
      <c r="O22" s="143" t="n"/>
      <c r="P22" s="143" t="n"/>
      <c r="Q22" s="144" t="n"/>
    </row>
    <row r="23">
      <c r="A23" s="262" t="inlineStr">
        <is>
          <t xml:space="preserve">  ► CATEGORÍA: INSTALACIONES PROVISIONALES</t>
        </is>
      </c>
      <c r="B23" s="143" t="n"/>
      <c r="C23" s="143" t="n"/>
      <c r="D23" s="143" t="n"/>
      <c r="E23" s="143" t="n"/>
      <c r="F23" s="143" t="n"/>
      <c r="G23" s="143" t="n"/>
      <c r="H23" s="143" t="n"/>
      <c r="I23" s="143" t="n"/>
      <c r="J23" s="143" t="n"/>
      <c r="K23" s="143" t="n"/>
      <c r="L23" s="143" t="n"/>
      <c r="M23" s="143" t="n"/>
      <c r="N23" s="143" t="n"/>
      <c r="O23" s="143" t="n"/>
      <c r="P23" s="143" t="n"/>
      <c r="Q23" s="144" t="n"/>
    </row>
    <row r="24">
      <c r="A24" s="263" t="inlineStr">
        <is>
          <t xml:space="preserve">      • Subcategoría Especificada: Agua, Energía, Sanitarios y Bodega de Obra</t>
        </is>
      </c>
      <c r="B24" s="143" t="n"/>
      <c r="C24" s="143" t="n"/>
      <c r="D24" s="143" t="n"/>
      <c r="E24" s="143" t="n"/>
      <c r="F24" s="143" t="n"/>
      <c r="G24" s="143" t="n"/>
      <c r="H24" s="143" t="n"/>
      <c r="I24" s="143" t="n"/>
      <c r="J24" s="143" t="n"/>
      <c r="K24" s="143" t="n"/>
      <c r="L24" s="143" t="n"/>
      <c r="M24" s="143" t="n"/>
      <c r="N24" s="143" t="n"/>
      <c r="O24" s="143" t="n"/>
      <c r="P24" s="143" t="n"/>
      <c r="Q24" s="144" t="n"/>
    </row>
    <row r="25">
      <c r="A25" s="264" t="n">
        <v>14</v>
      </c>
      <c r="B25" s="265" t="inlineStr">
        <is>
          <t xml:space="preserve">        Acometida Provisional de Agua (Global)</t>
        </is>
      </c>
      <c r="C25" s="266" t="inlineStr">
        <is>
          <t>Residencial / Comercial</t>
        </is>
      </c>
      <c r="D25" s="264" t="inlineStr">
        <is>
          <t>Provisionales</t>
        </is>
      </c>
      <c r="E25" s="264" t="inlineStr">
        <is>
          <t>Glb</t>
        </is>
      </c>
      <c r="F25" s="267" t="n">
        <v>1</v>
      </c>
      <c r="G25" s="268" t="n">
        <v>280</v>
      </c>
      <c r="H25" s="268" t="n">
        <v>291.2</v>
      </c>
      <c r="I25" s="264" t="inlineStr">
        <is>
          <t>Contratista local</t>
        </is>
      </c>
      <c r="J25" s="268" t="n">
        <v>302.4</v>
      </c>
      <c r="K25" s="264" t="inlineStr">
        <is>
          <t>Alquiler equipos GYE</t>
        </is>
      </c>
      <c r="L25" s="269">
        <f>F25*G25</f>
        <v/>
      </c>
      <c r="M25" s="270" t="inlineStr">
        <is>
          <t>AP-G10-PRE-ACO-AGU</t>
        </is>
      </c>
      <c r="N25" s="264" t="inlineStr">
        <is>
          <t>Paisajismo y obras exteriores</t>
        </is>
      </c>
      <c r="O25" s="264" t="inlineStr">
        <is>
          <t>Estimado DION · criterio de mercado Guayaquil 2026 (no verificado en tienda)</t>
        </is>
      </c>
      <c r="P25" s="264" t="inlineStr">
        <is>
          <t>oct-2026 (est.)</t>
        </is>
      </c>
      <c r="Q25" s="264" t="n"/>
    </row>
    <row r="26">
      <c r="A26" s="18" t="n">
        <v>15</v>
      </c>
      <c r="B26" s="19" t="inlineStr">
        <is>
          <t xml:space="preserve">        Acometida Provisional Eléctrica con Tablero (Global)</t>
        </is>
      </c>
      <c r="C26" s="20" t="inlineStr">
        <is>
          <t>Residencial / Comercial</t>
        </is>
      </c>
      <c r="D26" s="18" t="inlineStr">
        <is>
          <t>Provisionales</t>
        </is>
      </c>
      <c r="E26" s="18" t="inlineStr">
        <is>
          <t>Glb</t>
        </is>
      </c>
      <c r="F26" s="21" t="n">
        <v>1</v>
      </c>
      <c r="G26" s="22" t="n">
        <v>450</v>
      </c>
      <c r="H26" s="22" t="n">
        <v>459</v>
      </c>
      <c r="I26" s="18" t="inlineStr">
        <is>
          <t>Contratista local</t>
        </is>
      </c>
      <c r="J26" s="22" t="n">
        <v>495</v>
      </c>
      <c r="K26" s="18" t="inlineStr">
        <is>
          <t>Alquiler equipos GYE</t>
        </is>
      </c>
      <c r="L26" s="8">
        <f>F26*G26</f>
        <v/>
      </c>
      <c r="M26" s="145" t="inlineStr">
        <is>
          <t>AP-G10-PRE-ACO-ELE</t>
        </is>
      </c>
      <c r="N26" s="18" t="inlineStr">
        <is>
          <t>Paisajismo y obras exteriores</t>
        </is>
      </c>
      <c r="O26" s="18" t="inlineStr">
        <is>
          <t>Estimado DION · criterio de mercado Guayaquil 2026 (no verificado en tienda)</t>
        </is>
      </c>
      <c r="P26" s="18" t="inlineStr">
        <is>
          <t>oct-2026 (est.)</t>
        </is>
      </c>
      <c r="Q26" s="18" t="n"/>
    </row>
    <row r="27">
      <c r="A27" s="264" t="n">
        <v>16</v>
      </c>
      <c r="B27" s="265" t="inlineStr">
        <is>
          <t xml:space="preserve">        Batería Sanitaria Portátil (Alquiler Mensual)</t>
        </is>
      </c>
      <c r="C27" s="266" t="inlineStr">
        <is>
          <t>Residencial / Comercial</t>
        </is>
      </c>
      <c r="D27" s="264" t="inlineStr">
        <is>
          <t>Sanitarios Portátiles</t>
        </is>
      </c>
      <c r="E27" s="264" t="inlineStr">
        <is>
          <t>mes</t>
        </is>
      </c>
      <c r="F27" s="267" t="n">
        <v>2</v>
      </c>
      <c r="G27" s="268" t="n">
        <v>120</v>
      </c>
      <c r="H27" s="268" t="n">
        <v>126</v>
      </c>
      <c r="I27" s="264" t="inlineStr">
        <is>
          <t>Contratista local</t>
        </is>
      </c>
      <c r="J27" s="268" t="n">
        <v>128.4</v>
      </c>
      <c r="K27" s="264" t="inlineStr">
        <is>
          <t>Alquiler equipos GYE</t>
        </is>
      </c>
      <c r="L27" s="269">
        <f>F27*G27</f>
        <v/>
      </c>
      <c r="M27" s="270" t="inlineStr">
        <is>
          <t>AP-G10-PRE-BAT-POR</t>
        </is>
      </c>
      <c r="N27" s="264" t="inlineStr">
        <is>
          <t>Paisajismo y obras exteriores</t>
        </is>
      </c>
      <c r="O27" s="264" t="inlineStr">
        <is>
          <t>Estimado DION · criterio de mercado Guayaquil 2026 (no verificado en tienda)</t>
        </is>
      </c>
      <c r="P27" s="264" t="inlineStr">
        <is>
          <t>oct-2026 (est.)</t>
        </is>
      </c>
      <c r="Q27" s="264" t="n"/>
    </row>
    <row r="28">
      <c r="A28" s="18" t="n">
        <v>17</v>
      </c>
      <c r="B28" s="19" t="inlineStr">
        <is>
          <t xml:space="preserve">        Bodega y Guardianía de Obra Provisional (m²)</t>
        </is>
      </c>
      <c r="C28" s="20" t="inlineStr">
        <is>
          <t>Residencial / Comercial</t>
        </is>
      </c>
      <c r="D28" s="18" t="inlineStr">
        <is>
          <t>Bodegas</t>
        </is>
      </c>
      <c r="E28" s="18" t="inlineStr">
        <is>
          <t>m2</t>
        </is>
      </c>
      <c r="F28" s="21" t="n">
        <v>30</v>
      </c>
      <c r="G28" s="22" t="n">
        <v>38</v>
      </c>
      <c r="H28" s="22" t="n">
        <v>39.9</v>
      </c>
      <c r="I28" s="18" t="inlineStr">
        <is>
          <t>Contratista local</t>
        </is>
      </c>
      <c r="J28" s="22" t="n">
        <v>41.04</v>
      </c>
      <c r="K28" s="18" t="inlineStr">
        <is>
          <t>Alquiler equipos GYE</t>
        </is>
      </c>
      <c r="L28" s="8">
        <f>F28*G28</f>
        <v/>
      </c>
      <c r="M28" s="145" t="inlineStr">
        <is>
          <t>AP-G10-PRE-BOD-OBR</t>
        </is>
      </c>
      <c r="N28" s="18" t="inlineStr">
        <is>
          <t>Paisajismo y obras exteriores</t>
        </is>
      </c>
      <c r="O28" s="18" t="inlineStr">
        <is>
          <t>Estimado DION · criterio de mercado Guayaquil 2026 (no verificado en tienda)</t>
        </is>
      </c>
      <c r="P28" s="18" t="inlineStr">
        <is>
          <t>oct-2026 (est.)</t>
        </is>
      </c>
      <c r="Q28" s="18" t="n"/>
    </row>
    <row r="29">
      <c r="A29" s="264" t="n">
        <v>18</v>
      </c>
      <c r="B29" s="265" t="inlineStr">
        <is>
          <t xml:space="preserve">        Oficina de Obra Contenedor 20' (Alquiler Mensual)</t>
        </is>
      </c>
      <c r="C29" s="266" t="inlineStr">
        <is>
          <t>Residencial / Comercial</t>
        </is>
      </c>
      <c r="D29" s="264" t="inlineStr">
        <is>
          <t>Oficinas Obra</t>
        </is>
      </c>
      <c r="E29" s="264" t="inlineStr">
        <is>
          <t>mes</t>
        </is>
      </c>
      <c r="F29" s="267" t="n">
        <v>1</v>
      </c>
      <c r="G29" s="268" t="n">
        <v>280</v>
      </c>
      <c r="H29" s="268" t="n">
        <v>294</v>
      </c>
      <c r="I29" s="264" t="inlineStr">
        <is>
          <t>Contratista local</t>
        </is>
      </c>
      <c r="J29" s="268" t="n">
        <v>299.6</v>
      </c>
      <c r="K29" s="264" t="inlineStr">
        <is>
          <t>Alquiler equipos GYE</t>
        </is>
      </c>
      <c r="L29" s="269">
        <f>F29*G29</f>
        <v/>
      </c>
      <c r="M29" s="270" t="inlineStr">
        <is>
          <t>AP-G10-PRE-OFI-CON</t>
        </is>
      </c>
      <c r="N29" s="264" t="inlineStr">
        <is>
          <t>Paisajismo y obras exteriores</t>
        </is>
      </c>
      <c r="O29" s="264" t="inlineStr">
        <is>
          <t>Estimado DION · criterio de mercado Guayaquil 2026 (no verificado en tienda)</t>
        </is>
      </c>
      <c r="P29" s="264" t="inlineStr">
        <is>
          <t>oct-2026 (est.)</t>
        </is>
      </c>
      <c r="Q29" s="264" t="n"/>
    </row>
    <row r="30">
      <c r="A30" s="18" t="n">
        <v>19</v>
      </c>
      <c r="B30" s="19" t="inlineStr">
        <is>
          <t xml:space="preserve">        Tanquero de Agua 10 m³ (Viaje)</t>
        </is>
      </c>
      <c r="C30" s="20" t="inlineStr">
        <is>
          <t>Residencial / Comercial</t>
        </is>
      </c>
      <c r="D30" s="18" t="inlineStr">
        <is>
          <t>Agua de Obra</t>
        </is>
      </c>
      <c r="E30" s="18" t="inlineStr">
        <is>
          <t>U</t>
        </is>
      </c>
      <c r="F30" s="21" t="n">
        <v>4</v>
      </c>
      <c r="G30" s="22" t="n">
        <v>45</v>
      </c>
      <c r="H30" s="22" t="n">
        <v>46.8</v>
      </c>
      <c r="I30" s="18" t="inlineStr">
        <is>
          <t>Contratista local</t>
        </is>
      </c>
      <c r="J30" s="22" t="n">
        <v>48.6</v>
      </c>
      <c r="K30" s="18" t="inlineStr">
        <is>
          <t>Alquiler equipos GYE</t>
        </is>
      </c>
      <c r="L30" s="8">
        <f>F30*G30</f>
        <v/>
      </c>
      <c r="M30" s="145" t="inlineStr">
        <is>
          <t>AP-G10-PRE-AGU-TAN</t>
        </is>
      </c>
      <c r="N30" s="18" t="inlineStr">
        <is>
          <t>Paisajismo y obras exteriores</t>
        </is>
      </c>
      <c r="O30" s="18" t="inlineStr">
        <is>
          <t>Estimado DION · criterio de mercado Guayaquil 2026 (no verificado en tienda)</t>
        </is>
      </c>
      <c r="P30" s="18" t="inlineStr">
        <is>
          <t>oct-2026 (est.)</t>
        </is>
      </c>
      <c r="Q30" s="18" t="n"/>
    </row>
    <row r="31">
      <c r="A31" s="261" t="inlineStr">
        <is>
          <t>EQUIPOS</t>
        </is>
      </c>
      <c r="B31" s="143" t="n"/>
      <c r="C31" s="143" t="n"/>
      <c r="D31" s="143" t="n"/>
      <c r="E31" s="143" t="n"/>
      <c r="F31" s="143" t="n"/>
      <c r="G31" s="143" t="n"/>
      <c r="H31" s="143" t="n"/>
      <c r="I31" s="143" t="n"/>
      <c r="J31" s="143" t="n"/>
      <c r="K31" s="143" t="n"/>
      <c r="L31" s="143" t="n"/>
      <c r="M31" s="143" t="n"/>
      <c r="N31" s="143" t="n"/>
      <c r="O31" s="143" t="n"/>
      <c r="P31" s="143" t="n"/>
      <c r="Q31" s="144" t="n"/>
    </row>
    <row r="32">
      <c r="A32" s="262" t="inlineStr">
        <is>
          <t xml:space="preserve">  ► CATEGORÍA: EQUIPO PESADO (ALQUILER HORARIO CON OPERADOR)</t>
        </is>
      </c>
      <c r="B32" s="143" t="n"/>
      <c r="C32" s="143" t="n"/>
      <c r="D32" s="143" t="n"/>
      <c r="E32" s="143" t="n"/>
      <c r="F32" s="143" t="n"/>
      <c r="G32" s="143" t="n"/>
      <c r="H32" s="143" t="n"/>
      <c r="I32" s="143" t="n"/>
      <c r="J32" s="143" t="n"/>
      <c r="K32" s="143" t="n"/>
      <c r="L32" s="143" t="n"/>
      <c r="M32" s="143" t="n"/>
      <c r="N32" s="143" t="n"/>
      <c r="O32" s="143" t="n"/>
      <c r="P32" s="143" t="n"/>
      <c r="Q32" s="144" t="n"/>
    </row>
    <row r="33">
      <c r="A33" s="263" t="inlineStr">
        <is>
          <t xml:space="preserve">      • Subcategoría Especificada: Tarifas Referenciales Guayaquil</t>
        </is>
      </c>
      <c r="B33" s="143" t="n"/>
      <c r="C33" s="143" t="n"/>
      <c r="D33" s="143" t="n"/>
      <c r="E33" s="143" t="n"/>
      <c r="F33" s="143" t="n"/>
      <c r="G33" s="143" t="n"/>
      <c r="H33" s="143" t="n"/>
      <c r="I33" s="143" t="n"/>
      <c r="J33" s="143" t="n"/>
      <c r="K33" s="143" t="n"/>
      <c r="L33" s="143" t="n"/>
      <c r="M33" s="143" t="n"/>
      <c r="N33" s="143" t="n"/>
      <c r="O33" s="143" t="n"/>
      <c r="P33" s="143" t="n"/>
      <c r="Q33" s="144" t="n"/>
    </row>
    <row r="34">
      <c r="A34" s="264" t="n">
        <v>20</v>
      </c>
      <c r="B34" s="265" t="inlineStr">
        <is>
          <t xml:space="preserve">        Retroexcavadora 85 HP</t>
        </is>
      </c>
      <c r="C34" s="266" t="inlineStr">
        <is>
          <t>Comercial / Industrial</t>
        </is>
      </c>
      <c r="D34" s="264" t="inlineStr">
        <is>
          <t>Excavación</t>
        </is>
      </c>
      <c r="E34" s="264" t="inlineStr">
        <is>
          <t>h</t>
        </is>
      </c>
      <c r="F34" s="267" t="n">
        <v>40</v>
      </c>
      <c r="G34" s="268" t="n">
        <v>40</v>
      </c>
      <c r="H34" s="268" t="n">
        <v>40.8</v>
      </c>
      <c r="I34" s="264" t="inlineStr">
        <is>
          <t>Contratista local</t>
        </is>
      </c>
      <c r="J34" s="268" t="n">
        <v>43.6</v>
      </c>
      <c r="K34" s="264" t="inlineStr">
        <is>
          <t>Alquiler equipos GYE</t>
        </is>
      </c>
      <c r="L34" s="269">
        <f>F34*G34</f>
        <v/>
      </c>
      <c r="M34" s="270" t="inlineStr">
        <is>
          <t>Z-Z10-EQH-RET-EXC</t>
        </is>
      </c>
      <c r="N34" s="264" t="inlineStr">
        <is>
          <t>General / coordinación multidisciplinar</t>
        </is>
      </c>
      <c r="O34" s="264" t="inlineStr">
        <is>
          <t>Estimado DION · criterio de mercado Guayaquil 2026 (no verificado en tienda)</t>
        </is>
      </c>
      <c r="P34" s="264" t="inlineStr">
        <is>
          <t>oct-2026 (est.)</t>
        </is>
      </c>
      <c r="Q34" s="264" t="n"/>
    </row>
    <row r="35">
      <c r="A35" s="18" t="n">
        <v>21</v>
      </c>
      <c r="B35" s="19" t="inlineStr">
        <is>
          <t xml:space="preserve">        Excavadora de Orugas 20 t</t>
        </is>
      </c>
      <c r="C35" s="20" t="inlineStr">
        <is>
          <t>Comercial / Industrial</t>
        </is>
      </c>
      <c r="D35" s="18" t="inlineStr">
        <is>
          <t>Excavación</t>
        </is>
      </c>
      <c r="E35" s="18" t="inlineStr">
        <is>
          <t>h</t>
        </is>
      </c>
      <c r="F35" s="21" t="n">
        <v>40</v>
      </c>
      <c r="G35" s="22" t="n">
        <v>62</v>
      </c>
      <c r="H35" s="22" t="n">
        <v>64.48</v>
      </c>
      <c r="I35" s="18" t="inlineStr">
        <is>
          <t>Contratista local</t>
        </is>
      </c>
      <c r="J35" s="22" t="n">
        <v>68.81999999999999</v>
      </c>
      <c r="K35" s="18" t="inlineStr">
        <is>
          <t>Alquiler equipos GYE</t>
        </is>
      </c>
      <c r="L35" s="8">
        <f>F35*G35</f>
        <v/>
      </c>
      <c r="M35" s="145" t="inlineStr">
        <is>
          <t>Z-Z10-EQH-EXC-ORU</t>
        </is>
      </c>
      <c r="N35" s="18" t="inlineStr">
        <is>
          <t>General / coordinación multidisciplinar</t>
        </is>
      </c>
      <c r="O35" s="18" t="inlineStr">
        <is>
          <t>Estimado DION · criterio de mercado Guayaquil 2026 (no verificado en tienda)</t>
        </is>
      </c>
      <c r="P35" s="18" t="inlineStr">
        <is>
          <t>oct-2026 (est.)</t>
        </is>
      </c>
      <c r="Q35" s="18" t="n"/>
    </row>
    <row r="36">
      <c r="A36" s="264" t="n">
        <v>22</v>
      </c>
      <c r="B36" s="265" t="inlineStr">
        <is>
          <t xml:space="preserve">        Minicargadora (Bobcat)</t>
        </is>
      </c>
      <c r="C36" s="266" t="inlineStr">
        <is>
          <t>Comercial / Industrial</t>
        </is>
      </c>
      <c r="D36" s="264" t="inlineStr">
        <is>
          <t>Carga</t>
        </is>
      </c>
      <c r="E36" s="264" t="inlineStr">
        <is>
          <t>h</t>
        </is>
      </c>
      <c r="F36" s="267" t="n">
        <v>20</v>
      </c>
      <c r="G36" s="268" t="n">
        <v>32</v>
      </c>
      <c r="H36" s="268" t="n">
        <v>33.28</v>
      </c>
      <c r="I36" s="264" t="inlineStr">
        <is>
          <t>Contratista local</t>
        </is>
      </c>
      <c r="J36" s="268" t="n">
        <v>34.24</v>
      </c>
      <c r="K36" s="264" t="inlineStr">
        <is>
          <t>Alquiler equipos GYE</t>
        </is>
      </c>
      <c r="L36" s="269">
        <f>F36*G36</f>
        <v/>
      </c>
      <c r="M36" s="270" t="inlineStr">
        <is>
          <t>Z-Z10-EQH-MIN-CAR</t>
        </is>
      </c>
      <c r="N36" s="264" t="inlineStr">
        <is>
          <t>General / coordinación multidisciplinar</t>
        </is>
      </c>
      <c r="O36" s="264" t="inlineStr">
        <is>
          <t>Estimado DION · criterio de mercado Guayaquil 2026 (no verificado en tienda)</t>
        </is>
      </c>
      <c r="P36" s="264" t="inlineStr">
        <is>
          <t>oct-2026 (est.)</t>
        </is>
      </c>
      <c r="Q36" s="264" t="n"/>
    </row>
    <row r="37">
      <c r="A37" s="18" t="n">
        <v>23</v>
      </c>
      <c r="B37" s="19" t="inlineStr">
        <is>
          <t xml:space="preserve">        Volqueta 8 m³</t>
        </is>
      </c>
      <c r="C37" s="20" t="inlineStr">
        <is>
          <t>Comercial / Industrial</t>
        </is>
      </c>
      <c r="D37" s="18" t="inlineStr">
        <is>
          <t>Transporte</t>
        </is>
      </c>
      <c r="E37" s="18" t="inlineStr">
        <is>
          <t>h</t>
        </is>
      </c>
      <c r="F37" s="21" t="n">
        <v>40</v>
      </c>
      <c r="G37" s="22" t="n">
        <v>30</v>
      </c>
      <c r="H37" s="22" t="n">
        <v>30.9</v>
      </c>
      <c r="I37" s="18" t="inlineStr">
        <is>
          <t>Contratista local</t>
        </is>
      </c>
      <c r="J37" s="22" t="n">
        <v>32.4</v>
      </c>
      <c r="K37" s="18" t="inlineStr">
        <is>
          <t>Alquiler equipos GYE</t>
        </is>
      </c>
      <c r="L37" s="8">
        <f>F37*G37</f>
        <v/>
      </c>
      <c r="M37" s="145" t="inlineStr">
        <is>
          <t>Z-Z10-EQH-VOL-08M3</t>
        </is>
      </c>
      <c r="N37" s="18" t="inlineStr">
        <is>
          <t>General / coordinación multidisciplinar</t>
        </is>
      </c>
      <c r="O37" s="18" t="inlineStr">
        <is>
          <t>Estimado DION · criterio de mercado Guayaquil 2026 (no verificado en tienda)</t>
        </is>
      </c>
      <c r="P37" s="18" t="inlineStr">
        <is>
          <t>oct-2026 (est.)</t>
        </is>
      </c>
      <c r="Q37" s="18" t="n"/>
    </row>
    <row r="38">
      <c r="A38" s="264" t="n">
        <v>24</v>
      </c>
      <c r="B38" s="265" t="inlineStr">
        <is>
          <t xml:space="preserve">        Volqueta 14 m³</t>
        </is>
      </c>
      <c r="C38" s="266" t="inlineStr">
        <is>
          <t>Comercial / Industrial</t>
        </is>
      </c>
      <c r="D38" s="264" t="inlineStr">
        <is>
          <t>Transporte</t>
        </is>
      </c>
      <c r="E38" s="264" t="inlineStr">
        <is>
          <t>h</t>
        </is>
      </c>
      <c r="F38" s="267" t="n">
        <v>40</v>
      </c>
      <c r="G38" s="268" t="n">
        <v>42</v>
      </c>
      <c r="H38" s="268" t="n">
        <v>44.1</v>
      </c>
      <c r="I38" s="264" t="inlineStr">
        <is>
          <t>Contratista local</t>
        </is>
      </c>
      <c r="J38" s="268" t="n">
        <v>44.94</v>
      </c>
      <c r="K38" s="264" t="inlineStr">
        <is>
          <t>Alquiler equipos GYE</t>
        </is>
      </c>
      <c r="L38" s="269">
        <f>F38*G38</f>
        <v/>
      </c>
      <c r="M38" s="270" t="inlineStr">
        <is>
          <t>Z-Z10-EQH-VOL-14M3</t>
        </is>
      </c>
      <c r="N38" s="264" t="inlineStr">
        <is>
          <t>General / coordinación multidisciplinar</t>
        </is>
      </c>
      <c r="O38" s="264" t="inlineStr">
        <is>
          <t>Estimado DION · criterio de mercado Guayaquil 2026 (no verificado en tienda)</t>
        </is>
      </c>
      <c r="P38" s="264" t="inlineStr">
        <is>
          <t>oct-2026 (est.)</t>
        </is>
      </c>
      <c r="Q38" s="264" t="n"/>
    </row>
    <row r="39">
      <c r="A39" s="18" t="n">
        <v>25</v>
      </c>
      <c r="B39" s="19" t="inlineStr">
        <is>
          <t xml:space="preserve">        Rodillo Vibratorio Liso 10 t</t>
        </is>
      </c>
      <c r="C39" s="20" t="inlineStr">
        <is>
          <t>Comercial / Industrial</t>
        </is>
      </c>
      <c r="D39" s="18" t="inlineStr">
        <is>
          <t>Compactación</t>
        </is>
      </c>
      <c r="E39" s="18" t="inlineStr">
        <is>
          <t>h</t>
        </is>
      </c>
      <c r="F39" s="21" t="n">
        <v>20</v>
      </c>
      <c r="G39" s="22" t="n">
        <v>48</v>
      </c>
      <c r="H39" s="22" t="n">
        <v>49.92</v>
      </c>
      <c r="I39" s="18" t="inlineStr">
        <is>
          <t>Contratista local</t>
        </is>
      </c>
      <c r="J39" s="22" t="n">
        <v>51.36</v>
      </c>
      <c r="K39" s="18" t="inlineStr">
        <is>
          <t>Alquiler equipos GYE</t>
        </is>
      </c>
      <c r="L39" s="8">
        <f>F39*G39</f>
        <v/>
      </c>
      <c r="M39" s="145" t="inlineStr">
        <is>
          <t>Z-Z10-EQH-ROD-VIB</t>
        </is>
      </c>
      <c r="N39" s="18" t="inlineStr">
        <is>
          <t>General / coordinación multidisciplinar</t>
        </is>
      </c>
      <c r="O39" s="18" t="inlineStr">
        <is>
          <t>Estimado DION · criterio de mercado Guayaquil 2026 (no verificado en tienda)</t>
        </is>
      </c>
      <c r="P39" s="18" t="inlineStr">
        <is>
          <t>oct-2026 (est.)</t>
        </is>
      </c>
      <c r="Q39" s="18" t="n"/>
    </row>
    <row r="40">
      <c r="A40" s="264" t="n">
        <v>26</v>
      </c>
      <c r="B40" s="265" t="inlineStr">
        <is>
          <t xml:space="preserve">        Motoniveladora 140 HP</t>
        </is>
      </c>
      <c r="C40" s="266" t="inlineStr">
        <is>
          <t>Comercial / Industrial</t>
        </is>
      </c>
      <c r="D40" s="264" t="inlineStr">
        <is>
          <t>Nivelación</t>
        </is>
      </c>
      <c r="E40" s="264" t="inlineStr">
        <is>
          <t>h</t>
        </is>
      </c>
      <c r="F40" s="267" t="n">
        <v>10</v>
      </c>
      <c r="G40" s="268" t="n">
        <v>65</v>
      </c>
      <c r="H40" s="268" t="n">
        <v>66.95</v>
      </c>
      <c r="I40" s="264" t="inlineStr">
        <is>
          <t>Contratista local</t>
        </is>
      </c>
      <c r="J40" s="268" t="n">
        <v>72.15000000000001</v>
      </c>
      <c r="K40" s="264" t="inlineStr">
        <is>
          <t>Alquiler equipos GYE</t>
        </is>
      </c>
      <c r="L40" s="269">
        <f>F40*G40</f>
        <v/>
      </c>
      <c r="M40" s="270" t="inlineStr">
        <is>
          <t>Z-Z10-EQH-MOT-NIV</t>
        </is>
      </c>
      <c r="N40" s="264" t="inlineStr">
        <is>
          <t>General / coordinación multidisciplinar</t>
        </is>
      </c>
      <c r="O40" s="264" t="inlineStr">
        <is>
          <t>Estimado DION · criterio de mercado Guayaquil 2026 (no verificado en tienda)</t>
        </is>
      </c>
      <c r="P40" s="264" t="inlineStr">
        <is>
          <t>oct-2026 (est.)</t>
        </is>
      </c>
      <c r="Q40" s="264" t="n"/>
    </row>
    <row r="41">
      <c r="A41" s="18" t="n">
        <v>27</v>
      </c>
      <c r="B41" s="19" t="inlineStr">
        <is>
          <t xml:space="preserve">        Tractor de Orugas D6</t>
        </is>
      </c>
      <c r="C41" s="20" t="inlineStr">
        <is>
          <t>Comercial / Industrial</t>
        </is>
      </c>
      <c r="D41" s="18" t="inlineStr">
        <is>
          <t>Empuje</t>
        </is>
      </c>
      <c r="E41" s="18" t="inlineStr">
        <is>
          <t>h</t>
        </is>
      </c>
      <c r="F41" s="21" t="n">
        <v>10</v>
      </c>
      <c r="G41" s="22" t="n">
        <v>75</v>
      </c>
      <c r="H41" s="22" t="n">
        <v>76.5</v>
      </c>
      <c r="I41" s="18" t="inlineStr">
        <is>
          <t>Contratista local</t>
        </is>
      </c>
      <c r="J41" s="22" t="n">
        <v>80.25</v>
      </c>
      <c r="K41" s="18" t="inlineStr">
        <is>
          <t>Alquiler equipos GYE</t>
        </is>
      </c>
      <c r="L41" s="8">
        <f>F41*G41</f>
        <v/>
      </c>
      <c r="M41" s="145" t="inlineStr">
        <is>
          <t>Z-Z10-EQH-TRA-ORU</t>
        </is>
      </c>
      <c r="N41" s="18" t="inlineStr">
        <is>
          <t>General / coordinación multidisciplinar</t>
        </is>
      </c>
      <c r="O41" s="18" t="inlineStr">
        <is>
          <t>Estimado DION · criterio de mercado Guayaquil 2026 (no verificado en tienda)</t>
        </is>
      </c>
      <c r="P41" s="18" t="inlineStr">
        <is>
          <t>oct-2026 (est.)</t>
        </is>
      </c>
      <c r="Q41" s="18" t="n"/>
    </row>
    <row r="42">
      <c r="A42" s="264" t="n">
        <v>28</v>
      </c>
      <c r="B42" s="265" t="inlineStr">
        <is>
          <t xml:space="preserve">        Cargadora Frontal 2.5 m³</t>
        </is>
      </c>
      <c r="C42" s="266" t="inlineStr">
        <is>
          <t>Comercial / Industrial</t>
        </is>
      </c>
      <c r="D42" s="264" t="inlineStr">
        <is>
          <t>Carga</t>
        </is>
      </c>
      <c r="E42" s="264" t="inlineStr">
        <is>
          <t>h</t>
        </is>
      </c>
      <c r="F42" s="267" t="n">
        <v>20</v>
      </c>
      <c r="G42" s="268" t="n">
        <v>55</v>
      </c>
      <c r="H42" s="268" t="n">
        <v>56.65</v>
      </c>
      <c r="I42" s="264" t="inlineStr">
        <is>
          <t>Contratista local</t>
        </is>
      </c>
      <c r="J42" s="268" t="n">
        <v>59.4</v>
      </c>
      <c r="K42" s="264" t="inlineStr">
        <is>
          <t>Alquiler equipos GYE</t>
        </is>
      </c>
      <c r="L42" s="269">
        <f>F42*G42</f>
        <v/>
      </c>
      <c r="M42" s="270" t="inlineStr">
        <is>
          <t>Z-Z10-EQH-CAR-FRO</t>
        </is>
      </c>
      <c r="N42" s="264" t="inlineStr">
        <is>
          <t>General / coordinación multidisciplinar</t>
        </is>
      </c>
      <c r="O42" s="264" t="inlineStr">
        <is>
          <t>Estimado DION · criterio de mercado Guayaquil 2026 (no verificado en tienda)</t>
        </is>
      </c>
      <c r="P42" s="264" t="inlineStr">
        <is>
          <t>oct-2026 (est.)</t>
        </is>
      </c>
      <c r="Q42" s="264" t="n"/>
    </row>
    <row r="43">
      <c r="A43" s="18" t="n">
        <v>29</v>
      </c>
      <c r="B43" s="19" t="inlineStr">
        <is>
          <t xml:space="preserve">        Tanquero de Agua 2 000 gal (Riego)</t>
        </is>
      </c>
      <c r="C43" s="20" t="inlineStr">
        <is>
          <t>Comercial / Industrial</t>
        </is>
      </c>
      <c r="D43" s="18" t="inlineStr">
        <is>
          <t>Riego</t>
        </is>
      </c>
      <c r="E43" s="18" t="inlineStr">
        <is>
          <t>h</t>
        </is>
      </c>
      <c r="F43" s="21" t="n">
        <v>10</v>
      </c>
      <c r="G43" s="22" t="n">
        <v>28</v>
      </c>
      <c r="H43" s="22" t="n">
        <v>29.12</v>
      </c>
      <c r="I43" s="18" t="inlineStr">
        <is>
          <t>Contratista local</t>
        </is>
      </c>
      <c r="J43" s="22" t="n">
        <v>30.8</v>
      </c>
      <c r="K43" s="18" t="inlineStr">
        <is>
          <t>Alquiler equipos GYE</t>
        </is>
      </c>
      <c r="L43" s="8">
        <f>F43*G43</f>
        <v/>
      </c>
      <c r="M43" s="145" t="inlineStr">
        <is>
          <t>Z-Z10-EQH-TAN-AGU</t>
        </is>
      </c>
      <c r="N43" s="18" t="inlineStr">
        <is>
          <t>General / coordinación multidisciplinar</t>
        </is>
      </c>
      <c r="O43" s="18" t="inlineStr">
        <is>
          <t>Estimado DION · criterio de mercado Guayaquil 2026 (no verificado en tienda)</t>
        </is>
      </c>
      <c r="P43" s="18" t="inlineStr">
        <is>
          <t>oct-2026 (est.)</t>
        </is>
      </c>
      <c r="Q43" s="18" t="n"/>
    </row>
    <row r="44">
      <c r="A44" s="261" t="inlineStr">
        <is>
          <t>CONEXIONES</t>
        </is>
      </c>
      <c r="B44" s="143" t="n"/>
      <c r="C44" s="143" t="n"/>
      <c r="D44" s="143" t="n"/>
      <c r="E44" s="143" t="n"/>
      <c r="F44" s="143" t="n"/>
      <c r="G44" s="143" t="n"/>
      <c r="H44" s="143" t="n"/>
      <c r="I44" s="143" t="n"/>
      <c r="J44" s="143" t="n"/>
      <c r="K44" s="143" t="n"/>
      <c r="L44" s="143" t="n"/>
      <c r="M44" s="143" t="n"/>
      <c r="N44" s="143" t="n"/>
      <c r="O44" s="143" t="n"/>
      <c r="P44" s="143" t="n"/>
      <c r="Q44" s="144" t="n"/>
    </row>
    <row r="45">
      <c r="A45" s="262" t="inlineStr">
        <is>
          <t xml:space="preserve">  ► CATEGORÍA: EXCAVACIONES, RELLENOS Y DESALOJO</t>
        </is>
      </c>
      <c r="B45" s="143" t="n"/>
      <c r="C45" s="143" t="n"/>
      <c r="D45" s="143" t="n"/>
      <c r="E45" s="143" t="n"/>
      <c r="F45" s="143" t="n"/>
      <c r="G45" s="143" t="n"/>
      <c r="H45" s="143" t="n"/>
      <c r="I45" s="143" t="n"/>
      <c r="J45" s="143" t="n"/>
      <c r="K45" s="143" t="n"/>
      <c r="L45" s="143" t="n"/>
      <c r="M45" s="143" t="n"/>
      <c r="N45" s="143" t="n"/>
      <c r="O45" s="143" t="n"/>
      <c r="P45" s="143" t="n"/>
      <c r="Q45" s="144" t="n"/>
    </row>
    <row r="46">
      <c r="A46" s="263" t="inlineStr">
        <is>
          <t xml:space="preserve">      • Subcategoría Especificada: Rubros por m³ (Referenciales, Incluyen Equipo y Mano de Obra)</t>
        </is>
      </c>
      <c r="B46" s="143" t="n"/>
      <c r="C46" s="143" t="n"/>
      <c r="D46" s="143" t="n"/>
      <c r="E46" s="143" t="n"/>
      <c r="F46" s="143" t="n"/>
      <c r="G46" s="143" t="n"/>
      <c r="H46" s="143" t="n"/>
      <c r="I46" s="143" t="n"/>
      <c r="J46" s="143" t="n"/>
      <c r="K46" s="143" t="n"/>
      <c r="L46" s="143" t="n"/>
      <c r="M46" s="143" t="n"/>
      <c r="N46" s="143" t="n"/>
      <c r="O46" s="143" t="n"/>
      <c r="P46" s="143" t="n"/>
      <c r="Q46" s="144" t="n"/>
    </row>
    <row r="47">
      <c r="A47" s="264" t="n">
        <v>30</v>
      </c>
      <c r="B47" s="265" t="inlineStr">
        <is>
          <t xml:space="preserve">        Excavación Manual en Suelo Natural h≤2 m (m³)</t>
        </is>
      </c>
      <c r="C47" s="266" t="inlineStr">
        <is>
          <t>Residencial / Comercial</t>
        </is>
      </c>
      <c r="D47" s="264" t="inlineStr">
        <is>
          <t>Excavaciones</t>
        </is>
      </c>
      <c r="E47" s="264" t="inlineStr">
        <is>
          <t>m3</t>
        </is>
      </c>
      <c r="F47" s="267" t="n">
        <v>50</v>
      </c>
      <c r="G47" s="268" t="n">
        <v>9.5</v>
      </c>
      <c r="H47" s="268" t="n">
        <v>9.789999999999999</v>
      </c>
      <c r="I47" s="264" t="inlineStr">
        <is>
          <t>Contratista local</t>
        </is>
      </c>
      <c r="J47" s="268" t="n">
        <v>10.36</v>
      </c>
      <c r="K47" s="264" t="inlineStr">
        <is>
          <t>Alquiler equipos GYE</t>
        </is>
      </c>
      <c r="L47" s="269">
        <f>F47*G47</f>
        <v/>
      </c>
      <c r="M47" s="270" t="inlineStr">
        <is>
          <t>AP-G10-MTI-EXC-MAN</t>
        </is>
      </c>
      <c r="N47" s="264" t="inlineStr">
        <is>
          <t>Paisajismo y obras exteriores</t>
        </is>
      </c>
      <c r="O47" s="264" t="inlineStr">
        <is>
          <t>Estimado DION · criterio de mercado Guayaquil 2026 (no verificado en tienda)</t>
        </is>
      </c>
      <c r="P47" s="264" t="inlineStr">
        <is>
          <t>oct-2026 (est.)</t>
        </is>
      </c>
      <c r="Q47" s="264" t="n"/>
    </row>
    <row r="48">
      <c r="A48" s="18" t="n">
        <v>31</v>
      </c>
      <c r="B48" s="19" t="inlineStr">
        <is>
          <t xml:space="preserve">        Excavación a Máquina en Suelo Natural (m³)</t>
        </is>
      </c>
      <c r="C48" s="20" t="inlineStr">
        <is>
          <t>Residencial / Comercial</t>
        </is>
      </c>
      <c r="D48" s="18" t="inlineStr">
        <is>
          <t>Excavaciones</t>
        </is>
      </c>
      <c r="E48" s="18" t="inlineStr">
        <is>
          <t>m3</t>
        </is>
      </c>
      <c r="F48" s="21" t="n">
        <v>500</v>
      </c>
      <c r="G48" s="22" t="n">
        <v>3.4</v>
      </c>
      <c r="H48" s="22" t="n">
        <v>3.54</v>
      </c>
      <c r="I48" s="18" t="inlineStr">
        <is>
          <t>Contratista local</t>
        </is>
      </c>
      <c r="J48" s="22" t="n">
        <v>3.77</v>
      </c>
      <c r="K48" s="18" t="inlineStr">
        <is>
          <t>Alquiler equipos GYE</t>
        </is>
      </c>
      <c r="L48" s="8">
        <f>F48*G48</f>
        <v/>
      </c>
      <c r="M48" s="145" t="inlineStr">
        <is>
          <t>AP-G10-MTI-EXC-MAQ</t>
        </is>
      </c>
      <c r="N48" s="18" t="inlineStr">
        <is>
          <t>Paisajismo y obras exteriores</t>
        </is>
      </c>
      <c r="O48" s="18" t="inlineStr">
        <is>
          <t>Estimado DION · criterio de mercado Guayaquil 2026 (no verificado en tienda)</t>
        </is>
      </c>
      <c r="P48" s="18" t="inlineStr">
        <is>
          <t>oct-2026 (est.)</t>
        </is>
      </c>
      <c r="Q48" s="18" t="n"/>
    </row>
    <row r="49">
      <c r="A49" s="264" t="n">
        <v>32</v>
      </c>
      <c r="B49" s="265" t="inlineStr">
        <is>
          <t xml:space="preserve">        Excavación en Roca / Conglomerado con Martillo (m³)</t>
        </is>
      </c>
      <c r="C49" s="266" t="inlineStr">
        <is>
          <t>Residencial / Comercial</t>
        </is>
      </c>
      <c r="D49" s="264" t="inlineStr">
        <is>
          <t>Excavaciones</t>
        </is>
      </c>
      <c r="E49" s="264" t="inlineStr">
        <is>
          <t>m3</t>
        </is>
      </c>
      <c r="F49" s="267" t="n">
        <v>20</v>
      </c>
      <c r="G49" s="268" t="n">
        <v>28</v>
      </c>
      <c r="H49" s="268" t="n">
        <v>29.4</v>
      </c>
      <c r="I49" s="264" t="inlineStr">
        <is>
          <t>Contratista local</t>
        </is>
      </c>
      <c r="J49" s="268" t="n">
        <v>30.8</v>
      </c>
      <c r="K49" s="264" t="inlineStr">
        <is>
          <t>Alquiler equipos GYE</t>
        </is>
      </c>
      <c r="L49" s="269">
        <f>F49*G49</f>
        <v/>
      </c>
      <c r="M49" s="270" t="inlineStr">
        <is>
          <t>AP-G10-MTI-EXC-ROC</t>
        </is>
      </c>
      <c r="N49" s="264" t="inlineStr">
        <is>
          <t>Paisajismo y obras exteriores</t>
        </is>
      </c>
      <c r="O49" s="264" t="inlineStr">
        <is>
          <t>Estimado DION · criterio de mercado Guayaquil 2026 (no verificado en tienda)</t>
        </is>
      </c>
      <c r="P49" s="264" t="inlineStr">
        <is>
          <t>oct-2026 (est.)</t>
        </is>
      </c>
      <c r="Q49" s="264" t="n"/>
    </row>
    <row r="50">
      <c r="A50" s="18" t="n">
        <v>33</v>
      </c>
      <c r="B50" s="19" t="inlineStr">
        <is>
          <t xml:space="preserve">        Excavación de Zanja para Tuberías h≤1.5 m (m³)</t>
        </is>
      </c>
      <c r="C50" s="20" t="inlineStr">
        <is>
          <t>Residencial / Comercial</t>
        </is>
      </c>
      <c r="D50" s="18" t="inlineStr">
        <is>
          <t>Excavaciones</t>
        </is>
      </c>
      <c r="E50" s="18" t="inlineStr">
        <is>
          <t>m3</t>
        </is>
      </c>
      <c r="F50" s="21" t="n">
        <v>100</v>
      </c>
      <c r="G50" s="22" t="n">
        <v>5.8</v>
      </c>
      <c r="H50" s="22" t="n">
        <v>5.92</v>
      </c>
      <c r="I50" s="18" t="inlineStr">
        <is>
          <t>Contratista local</t>
        </is>
      </c>
      <c r="J50" s="22" t="n">
        <v>6.21</v>
      </c>
      <c r="K50" s="18" t="inlineStr">
        <is>
          <t>Alquiler equipos GYE</t>
        </is>
      </c>
      <c r="L50" s="8">
        <f>F50*G50</f>
        <v/>
      </c>
      <c r="M50" s="145" t="inlineStr">
        <is>
          <t>AP-G10-MTI-EXC-ZAN</t>
        </is>
      </c>
      <c r="N50" s="18" t="inlineStr">
        <is>
          <t>Paisajismo y obras exteriores</t>
        </is>
      </c>
      <c r="O50" s="18" t="inlineStr">
        <is>
          <t>Estimado DION · criterio de mercado Guayaquil 2026 (no verificado en tienda)</t>
        </is>
      </c>
      <c r="P50" s="18" t="inlineStr">
        <is>
          <t>oct-2026 (est.)</t>
        </is>
      </c>
      <c r="Q50" s="18" t="n"/>
    </row>
    <row r="51">
      <c r="A51" s="264" t="n">
        <v>34</v>
      </c>
      <c r="B51" s="265" t="inlineStr">
        <is>
          <t xml:space="preserve">        Relleno Compactado con Material del Sitio (m³)</t>
        </is>
      </c>
      <c r="C51" s="266" t="inlineStr">
        <is>
          <t>Residencial / Comercial</t>
        </is>
      </c>
      <c r="D51" s="264" t="inlineStr">
        <is>
          <t>Rellenos</t>
        </is>
      </c>
      <c r="E51" s="264" t="inlineStr">
        <is>
          <t>m3</t>
        </is>
      </c>
      <c r="F51" s="267" t="n">
        <v>200</v>
      </c>
      <c r="G51" s="268" t="n">
        <v>6.5</v>
      </c>
      <c r="H51" s="268" t="n">
        <v>6.7</v>
      </c>
      <c r="I51" s="264" t="inlineStr">
        <is>
          <t>Contratista local</t>
        </is>
      </c>
      <c r="J51" s="268" t="n">
        <v>7.09</v>
      </c>
      <c r="K51" s="264" t="inlineStr">
        <is>
          <t>Alquiler equipos GYE</t>
        </is>
      </c>
      <c r="L51" s="269">
        <f>F51*G51</f>
        <v/>
      </c>
      <c r="M51" s="270" t="inlineStr">
        <is>
          <t>AP-G10-MTI-REL-COM</t>
        </is>
      </c>
      <c r="N51" s="264" t="inlineStr">
        <is>
          <t>Paisajismo y obras exteriores</t>
        </is>
      </c>
      <c r="O51" s="264" t="inlineStr">
        <is>
          <t>Estimado DION · criterio de mercado Guayaquil 2026 (no verificado en tienda)</t>
        </is>
      </c>
      <c r="P51" s="264" t="inlineStr">
        <is>
          <t>oct-2026 (est.)</t>
        </is>
      </c>
      <c r="Q51" s="264" t="n"/>
    </row>
    <row r="52">
      <c r="A52" s="18" t="n">
        <v>35</v>
      </c>
      <c r="B52" s="19" t="inlineStr">
        <is>
          <t xml:space="preserve">        Relleno Compactado con Material de Préstamo / Lastre (m³)</t>
        </is>
      </c>
      <c r="C52" s="20" t="inlineStr">
        <is>
          <t>Residencial / Comercial</t>
        </is>
      </c>
      <c r="D52" s="18" t="inlineStr">
        <is>
          <t>Rellenos</t>
        </is>
      </c>
      <c r="E52" s="18" t="inlineStr">
        <is>
          <t>m3</t>
        </is>
      </c>
      <c r="F52" s="21" t="n">
        <v>300</v>
      </c>
      <c r="G52" s="22" t="n">
        <v>16.5</v>
      </c>
      <c r="H52" s="22" t="n">
        <v>17</v>
      </c>
      <c r="I52" s="18" t="inlineStr">
        <is>
          <t>Contratista local</t>
        </is>
      </c>
      <c r="J52" s="22" t="n">
        <v>18.15</v>
      </c>
      <c r="K52" s="18" t="inlineStr">
        <is>
          <t>Alquiler equipos GYE</t>
        </is>
      </c>
      <c r="L52" s="8">
        <f>F52*G52</f>
        <v/>
      </c>
      <c r="M52" s="145" t="inlineStr">
        <is>
          <t>AP-G10-MTI-REL-LAS</t>
        </is>
      </c>
      <c r="N52" s="18" t="inlineStr">
        <is>
          <t>Paisajismo y obras exteriores</t>
        </is>
      </c>
      <c r="O52" s="18" t="inlineStr">
        <is>
          <t>Estimado DION · criterio de mercado Guayaquil 2026 (no verificado en tienda)</t>
        </is>
      </c>
      <c r="P52" s="18" t="inlineStr">
        <is>
          <t>oct-2026 (est.)</t>
        </is>
      </c>
      <c r="Q52" s="18" t="n">
        <v>25</v>
      </c>
    </row>
    <row r="53">
      <c r="A53" s="264" t="n">
        <v>36</v>
      </c>
      <c r="B53" s="265" t="inlineStr">
        <is>
          <t xml:space="preserve">        Mejoramiento de Suelo con Piedra Bola + Lastre (m³)</t>
        </is>
      </c>
      <c r="C53" s="266" t="inlineStr">
        <is>
          <t>Residencial / Comercial</t>
        </is>
      </c>
      <c r="D53" s="264" t="inlineStr">
        <is>
          <t>Mejoramientos</t>
        </is>
      </c>
      <c r="E53" s="264" t="inlineStr">
        <is>
          <t>m3</t>
        </is>
      </c>
      <c r="F53" s="267" t="n">
        <v>100</v>
      </c>
      <c r="G53" s="268" t="n">
        <v>21</v>
      </c>
      <c r="H53" s="268" t="n">
        <v>21.42</v>
      </c>
      <c r="I53" s="264" t="inlineStr">
        <is>
          <t>Contratista local</t>
        </is>
      </c>
      <c r="J53" s="268" t="n">
        <v>22.68</v>
      </c>
      <c r="K53" s="264" t="inlineStr">
        <is>
          <t>Alquiler equipos GYE</t>
        </is>
      </c>
      <c r="L53" s="269">
        <f>F53*G53</f>
        <v/>
      </c>
      <c r="M53" s="270" t="inlineStr">
        <is>
          <t>AP-G10-MTI-SUB-MEJ</t>
        </is>
      </c>
      <c r="N53" s="264" t="inlineStr">
        <is>
          <t>Paisajismo y obras exteriores</t>
        </is>
      </c>
      <c r="O53" s="264" t="inlineStr">
        <is>
          <t>Estimado DION · criterio de mercado Guayaquil 2026 (no verificado en tienda)</t>
        </is>
      </c>
      <c r="P53" s="264" t="inlineStr">
        <is>
          <t>oct-2026 (est.)</t>
        </is>
      </c>
      <c r="Q53" s="264" t="n">
        <v>20</v>
      </c>
    </row>
    <row r="54">
      <c r="A54" s="18" t="n">
        <v>37</v>
      </c>
      <c r="B54" s="19" t="inlineStr">
        <is>
          <t xml:space="preserve">        Sub-base Clase 3 Compactada (m³)</t>
        </is>
      </c>
      <c r="C54" s="20" t="inlineStr">
        <is>
          <t>Residencial / Comercial</t>
        </is>
      </c>
      <c r="D54" s="18" t="inlineStr">
        <is>
          <t>Bases Granulares</t>
        </is>
      </c>
      <c r="E54" s="18" t="inlineStr">
        <is>
          <t>m3</t>
        </is>
      </c>
      <c r="F54" s="21" t="n">
        <v>100</v>
      </c>
      <c r="G54" s="22" t="n">
        <v>22</v>
      </c>
      <c r="H54" s="22" t="n">
        <v>22.44</v>
      </c>
      <c r="I54" s="18" t="inlineStr">
        <is>
          <t>Contratista local</t>
        </is>
      </c>
      <c r="J54" s="22" t="n">
        <v>23.54</v>
      </c>
      <c r="K54" s="18" t="inlineStr">
        <is>
          <t>Alquiler equipos GYE</t>
        </is>
      </c>
      <c r="L54" s="8">
        <f>F54*G54</f>
        <v/>
      </c>
      <c r="M54" s="145" t="inlineStr">
        <is>
          <t>AP-G10-MTI-SUB-REF</t>
        </is>
      </c>
      <c r="N54" s="18" t="inlineStr">
        <is>
          <t>Paisajismo y obras exteriores</t>
        </is>
      </c>
      <c r="O54" s="18" t="inlineStr">
        <is>
          <t>Estimado DION · criterio de mercado Guayaquil 2026 (no verificado en tienda)</t>
        </is>
      </c>
      <c r="P54" s="18" t="inlineStr">
        <is>
          <t>oct-2026 (est.)</t>
        </is>
      </c>
      <c r="Q54" s="18" t="n">
        <v>20</v>
      </c>
    </row>
    <row r="55">
      <c r="A55" s="264" t="n">
        <v>38</v>
      </c>
      <c r="B55" s="265" t="inlineStr">
        <is>
          <t xml:space="preserve">        Base Clase 1 Compactada (m³)</t>
        </is>
      </c>
      <c r="C55" s="266" t="inlineStr">
        <is>
          <t>Residencial / Comercial</t>
        </is>
      </c>
      <c r="D55" s="264" t="inlineStr">
        <is>
          <t>Bases Granulares</t>
        </is>
      </c>
      <c r="E55" s="264" t="inlineStr">
        <is>
          <t>m3</t>
        </is>
      </c>
      <c r="F55" s="267" t="n">
        <v>100</v>
      </c>
      <c r="G55" s="268" t="n">
        <v>27</v>
      </c>
      <c r="H55" s="268" t="n">
        <v>28.08</v>
      </c>
      <c r="I55" s="264" t="inlineStr">
        <is>
          <t>Contratista local</t>
        </is>
      </c>
      <c r="J55" s="268" t="n">
        <v>29.97</v>
      </c>
      <c r="K55" s="264" t="inlineStr">
        <is>
          <t>Alquiler equipos GYE</t>
        </is>
      </c>
      <c r="L55" s="269">
        <f>F55*G55</f>
        <v/>
      </c>
      <c r="M55" s="270" t="inlineStr">
        <is>
          <t>AP-G10-MTI-BAS-CL1</t>
        </is>
      </c>
      <c r="N55" s="264" t="inlineStr">
        <is>
          <t>Paisajismo y obras exteriores</t>
        </is>
      </c>
      <c r="O55" s="264" t="inlineStr">
        <is>
          <t>Estimado DION · criterio de mercado Guayaquil 2026 (no verificado en tienda)</t>
        </is>
      </c>
      <c r="P55" s="264" t="inlineStr">
        <is>
          <t>oct-2026 (est.)</t>
        </is>
      </c>
      <c r="Q55" s="264" t="n">
        <v>20</v>
      </c>
    </row>
    <row r="56">
      <c r="A56" s="18" t="n">
        <v>39</v>
      </c>
      <c r="B56" s="19" t="inlineStr">
        <is>
          <t xml:space="preserve">        Desalojo de Material a Escombrera ≤10 km (m³)</t>
        </is>
      </c>
      <c r="C56" s="20" t="inlineStr">
        <is>
          <t>Residencial / Comercial</t>
        </is>
      </c>
      <c r="D56" s="18" t="inlineStr">
        <is>
          <t>Desalojos</t>
        </is>
      </c>
      <c r="E56" s="18" t="inlineStr">
        <is>
          <t>m3</t>
        </is>
      </c>
      <c r="F56" s="21" t="n">
        <v>300</v>
      </c>
      <c r="G56" s="22" t="n">
        <v>5.8</v>
      </c>
      <c r="H56" s="22" t="n">
        <v>5.92</v>
      </c>
      <c r="I56" s="18" t="inlineStr">
        <is>
          <t>Contratista local</t>
        </is>
      </c>
      <c r="J56" s="22" t="n">
        <v>6.26</v>
      </c>
      <c r="K56" s="18" t="inlineStr">
        <is>
          <t>Alquiler equipos GYE</t>
        </is>
      </c>
      <c r="L56" s="8">
        <f>F56*G56</f>
        <v/>
      </c>
      <c r="M56" s="145" t="inlineStr">
        <is>
          <t>AP-G10-MTI-DES-ALO</t>
        </is>
      </c>
      <c r="N56" s="18" t="inlineStr">
        <is>
          <t>Paisajismo y obras exteriores</t>
        </is>
      </c>
      <c r="O56" s="18" t="inlineStr">
        <is>
          <t>Estimado DION · criterio de mercado Guayaquil 2026 (no verificado en tienda)</t>
        </is>
      </c>
      <c r="P56" s="18" t="inlineStr">
        <is>
          <t>oct-2026 (est.)</t>
        </is>
      </c>
      <c r="Q56" s="18" t="n">
        <v>25</v>
      </c>
    </row>
    <row r="57">
      <c r="A57" s="264" t="n">
        <v>40</v>
      </c>
      <c r="B57" s="265" t="inlineStr">
        <is>
          <t xml:space="preserve">        Entibado / Tablestacado de Madera (m²)</t>
        </is>
      </c>
      <c r="C57" s="266" t="inlineStr">
        <is>
          <t>Residencial / Comercial</t>
        </is>
      </c>
      <c r="D57" s="264" t="inlineStr">
        <is>
          <t>Entibados</t>
        </is>
      </c>
      <c r="E57" s="264" t="inlineStr">
        <is>
          <t>m2</t>
        </is>
      </c>
      <c r="F57" s="267" t="n">
        <v>50</v>
      </c>
      <c r="G57" s="268" t="n">
        <v>12</v>
      </c>
      <c r="H57" s="268" t="n">
        <v>12.48</v>
      </c>
      <c r="I57" s="264" t="inlineStr">
        <is>
          <t>Contratista local</t>
        </is>
      </c>
      <c r="J57" s="268" t="n">
        <v>12.96</v>
      </c>
      <c r="K57" s="264" t="inlineStr">
        <is>
          <t>Alquiler equipos GYE</t>
        </is>
      </c>
      <c r="L57" s="269">
        <f>F57*G57</f>
        <v/>
      </c>
      <c r="M57" s="270" t="inlineStr">
        <is>
          <t>AP-G10-MTI-ENT-ROC</t>
        </is>
      </c>
      <c r="N57" s="264" t="inlineStr">
        <is>
          <t>Paisajismo y obras exteriores</t>
        </is>
      </c>
      <c r="O57" s="264" t="inlineStr">
        <is>
          <t>Estimado DION · criterio de mercado Guayaquil 2026 (no verificado en tienda)</t>
        </is>
      </c>
      <c r="P57" s="264" t="inlineStr">
        <is>
          <t>oct-2026 (est.)</t>
        </is>
      </c>
      <c r="Q57" s="264" t="n"/>
    </row>
    <row r="58">
      <c r="A58" s="18" t="n">
        <v>41</v>
      </c>
      <c r="B58" s="19" t="inlineStr">
        <is>
          <t xml:space="preserve">        Achique de Agua con Bomba 3" (h)</t>
        </is>
      </c>
      <c r="C58" s="20" t="inlineStr">
        <is>
          <t>Residencial / Comercial</t>
        </is>
      </c>
      <c r="D58" s="18" t="inlineStr">
        <is>
          <t>Achiques</t>
        </is>
      </c>
      <c r="E58" s="18" t="inlineStr">
        <is>
          <t>h</t>
        </is>
      </c>
      <c r="F58" s="21" t="n">
        <v>50</v>
      </c>
      <c r="G58" s="22" t="n">
        <v>6.5</v>
      </c>
      <c r="H58" s="22" t="n">
        <v>6.76</v>
      </c>
      <c r="I58" s="18" t="inlineStr">
        <is>
          <t>Contratista local</t>
        </is>
      </c>
      <c r="J58" s="22" t="n">
        <v>7.09</v>
      </c>
      <c r="K58" s="18" t="inlineStr">
        <is>
          <t>Alquiler equipos GYE</t>
        </is>
      </c>
      <c r="L58" s="8">
        <f>F58*G58</f>
        <v/>
      </c>
      <c r="M58" s="145" t="inlineStr">
        <is>
          <t>AP-G10-MTI-ACH-BOM</t>
        </is>
      </c>
      <c r="N58" s="18" t="inlineStr">
        <is>
          <t>Paisajismo y obras exteriores</t>
        </is>
      </c>
      <c r="O58" s="18" t="inlineStr">
        <is>
          <t>Estimado DION · criterio de mercado Guayaquil 2026 (no verificado en tienda)</t>
        </is>
      </c>
      <c r="P58" s="18" t="inlineStr">
        <is>
          <t>oct-2026 (est.)</t>
        </is>
      </c>
      <c r="Q58" s="18" t="n"/>
    </row>
    <row r="59">
      <c r="A59" s="264" t="n">
        <v>42</v>
      </c>
      <c r="B59" s="265" t="inlineStr">
        <is>
          <t xml:space="preserve">        Geotextil Separador No Tejido (m²)</t>
        </is>
      </c>
      <c r="C59" s="266" t="inlineStr">
        <is>
          <t>Residencial / Comercial</t>
        </is>
      </c>
      <c r="D59" s="264" t="inlineStr">
        <is>
          <t>Geosintéticos</t>
        </is>
      </c>
      <c r="E59" s="264" t="inlineStr">
        <is>
          <t>m2</t>
        </is>
      </c>
      <c r="F59" s="267" t="n">
        <v>500</v>
      </c>
      <c r="G59" s="268" t="n">
        <v>1.35</v>
      </c>
      <c r="H59" s="268" t="n">
        <v>1.39</v>
      </c>
      <c r="I59" s="264" t="inlineStr">
        <is>
          <t>Contratista local</t>
        </is>
      </c>
      <c r="J59" s="268" t="n">
        <v>1.5</v>
      </c>
      <c r="K59" s="264" t="inlineStr">
        <is>
          <t>Alquiler equipos GYE</t>
        </is>
      </c>
      <c r="L59" s="269">
        <f>F59*G59</f>
        <v/>
      </c>
      <c r="M59" s="270" t="inlineStr">
        <is>
          <t>AP-G10-MTI-GEO-SEP</t>
        </is>
      </c>
      <c r="N59" s="264" t="inlineStr">
        <is>
          <t>Paisajismo y obras exteriores</t>
        </is>
      </c>
      <c r="O59" s="264" t="inlineStr">
        <is>
          <t>Estimado DION · criterio de mercado Guayaquil 2026 (no verificado en tienda)</t>
        </is>
      </c>
      <c r="P59" s="264" t="inlineStr">
        <is>
          <t>oct-2026 (est.)</t>
        </is>
      </c>
      <c r="Q59" s="264" t="n">
        <v>10</v>
      </c>
    </row>
    <row r="60">
      <c r="A60" s="18" t="n">
        <v>43</v>
      </c>
      <c r="B60" s="19" t="inlineStr">
        <is>
          <t xml:space="preserve">        Geomalla Biaxial (m²)</t>
        </is>
      </c>
      <c r="C60" s="20" t="inlineStr">
        <is>
          <t>Residencial / Comercial</t>
        </is>
      </c>
      <c r="D60" s="18" t="inlineStr">
        <is>
          <t>Geosintéticos</t>
        </is>
      </c>
      <c r="E60" s="18" t="inlineStr">
        <is>
          <t>m2</t>
        </is>
      </c>
      <c r="F60" s="21" t="n">
        <v>300</v>
      </c>
      <c r="G60" s="22" t="n">
        <v>3.6</v>
      </c>
      <c r="H60" s="22" t="n">
        <v>3.74</v>
      </c>
      <c r="I60" s="18" t="inlineStr">
        <is>
          <t>Contratista local</t>
        </is>
      </c>
      <c r="J60" s="22" t="n">
        <v>3.96</v>
      </c>
      <c r="K60" s="18" t="inlineStr">
        <is>
          <t>Alquiler equipos GYE</t>
        </is>
      </c>
      <c r="L60" s="8">
        <f>F60*G60</f>
        <v/>
      </c>
      <c r="M60" s="145" t="inlineStr">
        <is>
          <t>AP-G10-MTI-GEO-MAL</t>
        </is>
      </c>
      <c r="N60" s="18" t="inlineStr">
        <is>
          <t>Paisajismo y obras exteriores</t>
        </is>
      </c>
      <c r="O60" s="18" t="inlineStr">
        <is>
          <t>Estimado DION · criterio de mercado Guayaquil 2026 (no verificado en tienda)</t>
        </is>
      </c>
      <c r="P60" s="18" t="inlineStr">
        <is>
          <t>oct-2026 (est.)</t>
        </is>
      </c>
      <c r="Q60" s="18" t="n">
        <v>10</v>
      </c>
    </row>
    <row r="61">
      <c r="A61" s="261" t="inlineStr">
        <is>
          <t>EQUIPOS ESPECIALIZADOS</t>
        </is>
      </c>
      <c r="B61" s="143" t="n"/>
      <c r="C61" s="143" t="n"/>
      <c r="D61" s="143" t="n"/>
      <c r="E61" s="143" t="n"/>
      <c r="F61" s="143" t="n"/>
      <c r="G61" s="143" t="n"/>
      <c r="H61" s="143" t="n"/>
      <c r="I61" s="143" t="n"/>
      <c r="J61" s="143" t="n"/>
      <c r="K61" s="143" t="n"/>
      <c r="L61" s="143" t="n"/>
      <c r="M61" s="143" t="n"/>
      <c r="N61" s="143" t="n"/>
      <c r="O61" s="143" t="n"/>
      <c r="P61" s="143" t="n"/>
      <c r="Q61" s="144" t="n"/>
    </row>
    <row r="62">
      <c r="A62" s="262" t="inlineStr">
        <is>
          <t xml:space="preserve">  ► CATEGORÍA: COMPACTACIÓN Y CONTROL DE CALIDAD</t>
        </is>
      </c>
      <c r="B62" s="143" t="n"/>
      <c r="C62" s="143" t="n"/>
      <c r="D62" s="143" t="n"/>
      <c r="E62" s="143" t="n"/>
      <c r="F62" s="143" t="n"/>
      <c r="G62" s="143" t="n"/>
      <c r="H62" s="143" t="n"/>
      <c r="I62" s="143" t="n"/>
      <c r="J62" s="143" t="n"/>
      <c r="K62" s="143" t="n"/>
      <c r="L62" s="143" t="n"/>
      <c r="M62" s="143" t="n"/>
      <c r="N62" s="143" t="n"/>
      <c r="O62" s="143" t="n"/>
      <c r="P62" s="143" t="n"/>
      <c r="Q62" s="144" t="n"/>
    </row>
    <row r="63">
      <c r="A63" s="263" t="inlineStr">
        <is>
          <t xml:space="preserve">      • Subcategoría Especificada: Equipo Liviano y Ensayos</t>
        </is>
      </c>
      <c r="B63" s="143" t="n"/>
      <c r="C63" s="143" t="n"/>
      <c r="D63" s="143" t="n"/>
      <c r="E63" s="143" t="n"/>
      <c r="F63" s="143" t="n"/>
      <c r="G63" s="143" t="n"/>
      <c r="H63" s="143" t="n"/>
      <c r="I63" s="143" t="n"/>
      <c r="J63" s="143" t="n"/>
      <c r="K63" s="143" t="n"/>
      <c r="L63" s="143" t="n"/>
      <c r="M63" s="143" t="n"/>
      <c r="N63" s="143" t="n"/>
      <c r="O63" s="143" t="n"/>
      <c r="P63" s="143" t="n"/>
      <c r="Q63" s="144" t="n"/>
    </row>
    <row r="64">
      <c r="A64" s="264" t="n">
        <v>44</v>
      </c>
      <c r="B64" s="265" t="inlineStr">
        <is>
          <t xml:space="preserve">        Compactador Plancha Vibratoria (Alquiler Día)</t>
        </is>
      </c>
      <c r="C64" s="266" t="inlineStr">
        <is>
          <t>Residencial / Comercial</t>
        </is>
      </c>
      <c r="D64" s="264" t="inlineStr">
        <is>
          <t>Compactación</t>
        </is>
      </c>
      <c r="E64" s="264" t="inlineStr">
        <is>
          <t>día</t>
        </is>
      </c>
      <c r="F64" s="267" t="n">
        <v>10</v>
      </c>
      <c r="G64" s="268" t="n">
        <v>30</v>
      </c>
      <c r="H64" s="268" t="n">
        <v>31.5</v>
      </c>
      <c r="I64" s="264" t="inlineStr">
        <is>
          <t>Contratista local</t>
        </is>
      </c>
      <c r="J64" s="268" t="n">
        <v>33</v>
      </c>
      <c r="K64" s="264" t="inlineStr">
        <is>
          <t>Alquiler equipos GYE</t>
        </is>
      </c>
      <c r="L64" s="269">
        <f>F64*G64</f>
        <v/>
      </c>
      <c r="M64" s="270" t="inlineStr">
        <is>
          <t>Z-Z10-EQH-COM-PLA</t>
        </is>
      </c>
      <c r="N64" s="264" t="inlineStr">
        <is>
          <t>General / coordinación multidisciplinar</t>
        </is>
      </c>
      <c r="O64" s="264" t="inlineStr">
        <is>
          <t>Estimado DION · criterio de mercado Guayaquil 2026 (no verificado en tienda)</t>
        </is>
      </c>
      <c r="P64" s="264" t="inlineStr">
        <is>
          <t>oct-2026 (est.)</t>
        </is>
      </c>
      <c r="Q64" s="264" t="n"/>
    </row>
    <row r="65">
      <c r="A65" s="18" t="n">
        <v>45</v>
      </c>
      <c r="B65" s="19" t="inlineStr">
        <is>
          <t xml:space="preserve">        Compactador Saltarín / Canguro (Alquiler Día)</t>
        </is>
      </c>
      <c r="C65" s="20" t="inlineStr">
        <is>
          <t>Residencial / Comercial</t>
        </is>
      </c>
      <c r="D65" s="18" t="inlineStr">
        <is>
          <t>Compactación</t>
        </is>
      </c>
      <c r="E65" s="18" t="inlineStr">
        <is>
          <t>día</t>
        </is>
      </c>
      <c r="F65" s="21" t="n">
        <v>10</v>
      </c>
      <c r="G65" s="22" t="n">
        <v>35</v>
      </c>
      <c r="H65" s="22" t="n">
        <v>36.05</v>
      </c>
      <c r="I65" s="18" t="inlineStr">
        <is>
          <t>Contratista local</t>
        </is>
      </c>
      <c r="J65" s="22" t="n">
        <v>37.45</v>
      </c>
      <c r="K65" s="18" t="inlineStr">
        <is>
          <t>Alquiler equipos GYE</t>
        </is>
      </c>
      <c r="L65" s="8">
        <f>F65*G65</f>
        <v/>
      </c>
      <c r="M65" s="145" t="inlineStr">
        <is>
          <t>Z-Z10-EQH-COM-SAL</t>
        </is>
      </c>
      <c r="N65" s="18" t="inlineStr">
        <is>
          <t>General / coordinación multidisciplinar</t>
        </is>
      </c>
      <c r="O65" s="18" t="inlineStr">
        <is>
          <t>Estimado DION · criterio de mercado Guayaquil 2026 (no verificado en tienda)</t>
        </is>
      </c>
      <c r="P65" s="18" t="inlineStr">
        <is>
          <t>oct-2026 (est.)</t>
        </is>
      </c>
      <c r="Q65" s="18" t="n"/>
    </row>
    <row r="66">
      <c r="A66" s="264" t="n">
        <v>46</v>
      </c>
      <c r="B66" s="265" t="inlineStr">
        <is>
          <t xml:space="preserve">        Ensayo de Densidad de Campo (Cono de Arena / Nuclear)</t>
        </is>
      </c>
      <c r="C66" s="266" t="inlineStr">
        <is>
          <t>Residencial / Comercial</t>
        </is>
      </c>
      <c r="D66" s="264" t="inlineStr">
        <is>
          <t>Ensayos</t>
        </is>
      </c>
      <c r="E66" s="264" t="inlineStr">
        <is>
          <t>U</t>
        </is>
      </c>
      <c r="F66" s="267" t="n">
        <v>10</v>
      </c>
      <c r="G66" s="268" t="n">
        <v>18</v>
      </c>
      <c r="H66" s="268" t="n">
        <v>18.72</v>
      </c>
      <c r="I66" s="264" t="inlineStr">
        <is>
          <t>Contratista local</t>
        </is>
      </c>
      <c r="J66" s="268" t="n">
        <v>19.8</v>
      </c>
      <c r="K66" s="264" t="inlineStr">
        <is>
          <t>Alquiler equipos GYE</t>
        </is>
      </c>
      <c r="L66" s="269">
        <f>F66*G66</f>
        <v/>
      </c>
      <c r="M66" s="270" t="inlineStr">
        <is>
          <t>AP-G10-PRE-ENS-DEN</t>
        </is>
      </c>
      <c r="N66" s="264" t="inlineStr">
        <is>
          <t>Paisajismo y obras exteriores</t>
        </is>
      </c>
      <c r="O66" s="264" t="inlineStr">
        <is>
          <t>Estimado DION · criterio de mercado Guayaquil 2026 (no verificado en tienda)</t>
        </is>
      </c>
      <c r="P66" s="264" t="inlineStr">
        <is>
          <t>oct-2026 (est.)</t>
        </is>
      </c>
      <c r="Q66" s="264" t="n"/>
    </row>
    <row r="67">
      <c r="A67" s="18" t="n">
        <v>47</v>
      </c>
      <c r="B67" s="19" t="inlineStr">
        <is>
          <t xml:space="preserve">        Ensayo Proctor Modificado (Muestra)</t>
        </is>
      </c>
      <c r="C67" s="20" t="inlineStr">
        <is>
          <t>Residencial / Comercial</t>
        </is>
      </c>
      <c r="D67" s="18" t="inlineStr">
        <is>
          <t>Ensayos</t>
        </is>
      </c>
      <c r="E67" s="18" t="inlineStr">
        <is>
          <t>U</t>
        </is>
      </c>
      <c r="F67" s="21" t="n">
        <v>2</v>
      </c>
      <c r="G67" s="22" t="n">
        <v>45</v>
      </c>
      <c r="H67" s="22" t="n">
        <v>46.35</v>
      </c>
      <c r="I67" s="18" t="inlineStr">
        <is>
          <t>Contratista local</t>
        </is>
      </c>
      <c r="J67" s="22" t="n">
        <v>49.95</v>
      </c>
      <c r="K67" s="18" t="inlineStr">
        <is>
          <t>Alquiler equipos GYE</t>
        </is>
      </c>
      <c r="L67" s="8">
        <f>F67*G67</f>
        <v/>
      </c>
      <c r="M67" s="145" t="inlineStr">
        <is>
          <t>AP-G10-PRE-ENS-PRO</t>
        </is>
      </c>
      <c r="N67" s="18" t="inlineStr">
        <is>
          <t>Paisajismo y obras exteriores</t>
        </is>
      </c>
      <c r="O67" s="18" t="inlineStr">
        <is>
          <t>Estimado DION · criterio de mercado Guayaquil 2026 (no verificado en tienda)</t>
        </is>
      </c>
      <c r="P67" s="18" t="inlineStr">
        <is>
          <t>oct-2026 (est.)</t>
        </is>
      </c>
      <c r="Q67" s="18" t="n"/>
    </row>
    <row r="68">
      <c r="A68" s="264" t="n">
        <v>48</v>
      </c>
      <c r="B68" s="265" t="inlineStr">
        <is>
          <t xml:space="preserve">        Ensayo CBR (Muestra)</t>
        </is>
      </c>
      <c r="C68" s="266" t="inlineStr">
        <is>
          <t>Residencial / Comercial</t>
        </is>
      </c>
      <c r="D68" s="264" t="inlineStr">
        <is>
          <t>Ensayos</t>
        </is>
      </c>
      <c r="E68" s="264" t="inlineStr">
        <is>
          <t>U</t>
        </is>
      </c>
      <c r="F68" s="267" t="n">
        <v>1</v>
      </c>
      <c r="G68" s="268" t="n">
        <v>85</v>
      </c>
      <c r="H68" s="268" t="n">
        <v>86.7</v>
      </c>
      <c r="I68" s="264" t="inlineStr">
        <is>
          <t>Contratista local</t>
        </is>
      </c>
      <c r="J68" s="268" t="n">
        <v>92.65000000000001</v>
      </c>
      <c r="K68" s="264" t="inlineStr">
        <is>
          <t>Alquiler equipos GYE</t>
        </is>
      </c>
      <c r="L68" s="269">
        <f>F68*G68</f>
        <v/>
      </c>
      <c r="M68" s="270" t="inlineStr">
        <is>
          <t>AP-G10-PRE-ENS-CBR</t>
        </is>
      </c>
      <c r="N68" s="264" t="inlineStr">
        <is>
          <t>Paisajismo y obras exteriores</t>
        </is>
      </c>
      <c r="O68" s="264" t="inlineStr">
        <is>
          <t>Estimado DION · criterio de mercado Guayaquil 2026 (no verificado en tienda)</t>
        </is>
      </c>
      <c r="P68" s="264" t="inlineStr">
        <is>
          <t>oct-2026 (est.)</t>
        </is>
      </c>
      <c r="Q68" s="264" t="n"/>
    </row>
    <row r="69">
      <c r="A69" s="10" t="n"/>
      <c r="B69" s="147" t="inlineStr">
        <is>
          <t>TOTAL BASE DE DATOS MOV. TIERRAS Y PRELIMINARES (ESTIMADO)</t>
        </is>
      </c>
      <c r="C69" s="148" t="n"/>
      <c r="D69" s="148" t="n"/>
      <c r="E69" s="148" t="n"/>
      <c r="F69" s="148" t="n"/>
      <c r="G69" s="148" t="n"/>
      <c r="H69" s="148" t="n"/>
      <c r="I69" s="148" t="n"/>
      <c r="J69" s="148" t="n"/>
      <c r="K69" s="148" t="n"/>
      <c r="L69" s="30">
        <f>SUM(L6:L68)</f>
        <v/>
      </c>
      <c r="M69" s="30" t="n"/>
      <c r="N69" s="30" t="n"/>
      <c r="O69" s="30" t="n"/>
      <c r="P69" s="30" t="n"/>
      <c r="Q69" s="30" t="n"/>
    </row>
  </sheetData>
  <mergeCells count="16">
    <mergeCell ref="A8:Q8"/>
    <mergeCell ref="A31:Q31"/>
    <mergeCell ref="A6:Q6"/>
    <mergeCell ref="A22:Q22"/>
    <mergeCell ref="A44:Q44"/>
    <mergeCell ref="A61:Q61"/>
    <mergeCell ref="A7:Q7"/>
    <mergeCell ref="A62:Q62"/>
    <mergeCell ref="A24:Q24"/>
    <mergeCell ref="B69:K69"/>
    <mergeCell ref="A33:Q33"/>
    <mergeCell ref="A63:Q63"/>
    <mergeCell ref="A45:Q45"/>
    <mergeCell ref="A23:Q23"/>
    <mergeCell ref="A32:Q32"/>
    <mergeCell ref="A46:Q46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8" customWidth="1" min="2" max="2"/>
    <col width="30" customWidth="1" min="3" max="3"/>
    <col width="32" customWidth="1" min="4" max="4"/>
    <col width="8" customWidth="1" min="5" max="5"/>
    <col width="10" customWidth="1" min="6" max="6"/>
    <col width="15" customWidth="1" min="7" max="7"/>
    <col width="16" customWidth="1" min="8" max="8"/>
    <col width="22" customWidth="1" min="9" max="9"/>
    <col width="16" customWidth="1" min="10" max="10"/>
    <col width="20" customWidth="1" min="11" max="11"/>
    <col width="16" customWidth="1" min="12" max="12"/>
    <col width="27" customWidth="1" min="13" max="13"/>
    <col width="30" customWidth="1" min="14" max="14"/>
    <col width="44" customWidth="1" min="15" max="15"/>
    <col width="15" customWidth="1" min="16" max="16"/>
    <col width="14" customWidth="1" min="17" max="17"/>
  </cols>
  <sheetData>
    <row r="1">
      <c r="A1" s="1" t="inlineStr">
        <is>
          <t>BASE DE DATOS COMPLETA DE CATALOGACIÓN: MANO DE OBRA</t>
        </is>
      </c>
    </row>
    <row r="2">
      <c r="A2" s="2" t="inlineStr">
        <is>
          <t>Estructura Jerárquica Homogénea: Accesorios &gt; Tuberías &gt; Equipos &gt; Conexiones &gt; Equipos Especializados | Degradé por Niveles (Ecuador - USD)</t>
        </is>
      </c>
    </row>
    <row r="3">
      <c r="A3" s="13" t="inlineStr">
        <is>
          <t>« Volver al Índice General</t>
        </is>
      </c>
    </row>
    <row r="5" ht="30" customHeight="1">
      <c r="A5" s="4" t="inlineStr">
        <is>
          <t>Item</t>
        </is>
      </c>
      <c r="B5" s="4" t="inlineStr">
        <is>
          <t>Descripción de Accesorio / Ítem Especificado</t>
        </is>
      </c>
      <c r="C5" s="4" t="inlineStr">
        <is>
          <t>Clasificación / Ámbito de Uso
(Residencial/Comercial/Industrial)</t>
        </is>
      </c>
      <c r="D5" s="4" t="inlineStr">
        <is>
          <t>Tipo / Familia</t>
        </is>
      </c>
      <c r="E5" s="4" t="inlineStr">
        <is>
          <t>Unidad</t>
        </is>
      </c>
      <c r="F5" s="4" t="inlineStr">
        <is>
          <t>Cant.</t>
        </is>
      </c>
      <c r="G5" s="4" t="inlineStr">
        <is>
          <t>P. Ref. Est. ($)</t>
        </is>
      </c>
      <c r="H5" s="4" t="inlineStr">
        <is>
          <t>P. Unit. Local A ($)
(Contraloría (salario mínimo sectorial))</t>
        </is>
      </c>
      <c r="I5" s="4" t="inlineStr">
        <is>
          <t>Local A
Especificado</t>
        </is>
      </c>
      <c r="J5" s="4" t="inlineStr">
        <is>
          <t>P. Unit. Local B ($)
(Mercado GYE (jornal real))</t>
        </is>
      </c>
      <c r="K5" s="4" t="inlineStr">
        <is>
          <t>Local B
Especificado</t>
        </is>
      </c>
      <c r="L5" s="4" t="inlineStr">
        <is>
          <t>Subtotal Est. ($)</t>
        </is>
      </c>
      <c r="M5" s="4" t="inlineStr">
        <is>
          <t>Código DION</t>
        </is>
      </c>
      <c r="N5" s="4" t="inlineStr">
        <is>
          <t>Disciplina</t>
        </is>
      </c>
      <c r="O5" s="4" t="inlineStr">
        <is>
          <t>Fuente del precio</t>
        </is>
      </c>
      <c r="P5" s="4" t="inlineStr">
        <is>
          <t>Fecha precio</t>
        </is>
      </c>
      <c r="Q5" s="4" t="inlineStr">
        <is>
          <t>Rendimiento /
desperdicio %</t>
        </is>
      </c>
    </row>
    <row r="6">
      <c r="A6" s="271" t="inlineStr">
        <is>
          <t>PERSONAL OPERATIVO (E2)</t>
        </is>
      </c>
      <c r="B6" s="143" t="n"/>
      <c r="C6" s="143" t="n"/>
      <c r="D6" s="143" t="n"/>
      <c r="E6" s="143" t="n"/>
      <c r="F6" s="143" t="n"/>
      <c r="G6" s="143" t="n"/>
      <c r="H6" s="143" t="n"/>
      <c r="I6" s="143" t="n"/>
      <c r="J6" s="143" t="n"/>
      <c r="K6" s="143" t="n"/>
      <c r="L6" s="143" t="n"/>
      <c r="M6" s="143" t="n"/>
      <c r="N6" s="143" t="n"/>
      <c r="O6" s="143" t="n"/>
      <c r="P6" s="143" t="n"/>
      <c r="Q6" s="144" t="n"/>
    </row>
    <row r="7">
      <c r="A7" s="272" t="inlineStr">
        <is>
          <t xml:space="preserve">  ► CATEGORÍA: PEONES Y AYUDANTES</t>
        </is>
      </c>
      <c r="B7" s="143" t="n"/>
      <c r="C7" s="143" t="n"/>
      <c r="D7" s="143" t="n"/>
      <c r="E7" s="143" t="n"/>
      <c r="F7" s="143" t="n"/>
      <c r="G7" s="143" t="n"/>
      <c r="H7" s="143" t="n"/>
      <c r="I7" s="143" t="n"/>
      <c r="J7" s="143" t="n"/>
      <c r="K7" s="143" t="n"/>
      <c r="L7" s="143" t="n"/>
      <c r="M7" s="143" t="n"/>
      <c r="N7" s="143" t="n"/>
      <c r="O7" s="143" t="n"/>
      <c r="P7" s="143" t="n"/>
      <c r="Q7" s="144" t="n"/>
    </row>
    <row r="8">
      <c r="A8" s="273" t="inlineStr">
        <is>
          <t xml:space="preserve">      • Subcategoría Especificada: Estructura Ocupacional E2</t>
        </is>
      </c>
      <c r="B8" s="143" t="n"/>
      <c r="C8" s="143" t="n"/>
      <c r="D8" s="143" t="n"/>
      <c r="E8" s="143" t="n"/>
      <c r="F8" s="143" t="n"/>
      <c r="G8" s="143" t="n"/>
      <c r="H8" s="143" t="n"/>
      <c r="I8" s="143" t="n"/>
      <c r="J8" s="143" t="n"/>
      <c r="K8" s="143" t="n"/>
      <c r="L8" s="143" t="n"/>
      <c r="M8" s="143" t="n"/>
      <c r="N8" s="143" t="n"/>
      <c r="O8" s="143" t="n"/>
      <c r="P8" s="143" t="n"/>
      <c r="Q8" s="144" t="n"/>
    </row>
    <row r="9">
      <c r="A9" s="18" t="n">
        <v>1</v>
      </c>
      <c r="B9" s="19" t="inlineStr">
        <is>
          <t xml:space="preserve">        Peón — Estructura Ocupacional E2</t>
        </is>
      </c>
      <c r="C9" s="20" t="inlineStr">
        <is>
          <t>Construcción (Comisión Sectorial)</t>
        </is>
      </c>
      <c r="D9" s="18" t="inlineStr">
        <is>
          <t>Mano de Obra E2</t>
        </is>
      </c>
      <c r="E9" s="18" t="inlineStr">
        <is>
          <t>h</t>
        </is>
      </c>
      <c r="F9" s="21" t="n">
        <v>80</v>
      </c>
      <c r="G9" s="22" t="n">
        <v>4.29</v>
      </c>
      <c r="H9" s="22" t="n">
        <v>4.29</v>
      </c>
      <c r="I9" s="18" t="inlineStr">
        <is>
          <t>Contraloría (salario mínimo sectorial)</t>
        </is>
      </c>
      <c r="J9" s="22" t="n">
        <v>5.58</v>
      </c>
      <c r="K9" s="18" t="inlineStr">
        <is>
          <t>Mercado GYE (jornal real)</t>
        </is>
      </c>
      <c r="L9" s="8">
        <f>F9*G9</f>
        <v/>
      </c>
      <c r="M9" s="145" t="inlineStr">
        <is>
          <t>Z-Z10-MOB-E2-PEO</t>
        </is>
      </c>
      <c r="N9" s="18" t="inlineStr">
        <is>
          <t>General / coordinación multidisciplinar</t>
        </is>
      </c>
      <c r="O9" s="18" t="inlineStr">
        <is>
          <t>Estimado · SBU 2026 USD 482 × factor de costo horario; tabla Contraloría 2026 no consultable</t>
        </is>
      </c>
      <c r="P9" s="18" t="inlineStr">
        <is>
          <t>oct-2026 (est.)</t>
        </is>
      </c>
      <c r="Q9" s="18" t="n"/>
    </row>
    <row r="10">
      <c r="A10" s="274" t="n">
        <v>2</v>
      </c>
      <c r="B10" s="275" t="inlineStr">
        <is>
          <t xml:space="preserve">        Ayudante de Albañil — Estructura Ocupacional E2</t>
        </is>
      </c>
      <c r="C10" s="276" t="inlineStr">
        <is>
          <t>Construcción (Comisión Sectorial)</t>
        </is>
      </c>
      <c r="D10" s="274" t="inlineStr">
        <is>
          <t>Mano de Obra E2</t>
        </is>
      </c>
      <c r="E10" s="274" t="inlineStr">
        <is>
          <t>h</t>
        </is>
      </c>
      <c r="F10" s="277" t="n">
        <v>0</v>
      </c>
      <c r="G10" s="278" t="n">
        <v>4.29</v>
      </c>
      <c r="H10" s="278" t="n">
        <v>4.29</v>
      </c>
      <c r="I10" s="274" t="inlineStr">
        <is>
          <t>Contraloría (salario mínimo sectorial)</t>
        </is>
      </c>
      <c r="J10" s="278" t="n">
        <v>5.58</v>
      </c>
      <c r="K10" s="274" t="inlineStr">
        <is>
          <t>Mercado GYE (jornal real)</t>
        </is>
      </c>
      <c r="L10" s="279">
        <f>F10*G10</f>
        <v/>
      </c>
      <c r="M10" s="280" t="inlineStr">
        <is>
          <t>Z-Z10-MOB-E2-AYU-ALB</t>
        </is>
      </c>
      <c r="N10" s="274" t="inlineStr">
        <is>
          <t>General / coordinación multidisciplinar</t>
        </is>
      </c>
      <c r="O10" s="274" t="inlineStr">
        <is>
          <t>Estimado · SBU 2026 USD 482 × factor de costo horario; tabla Contraloría 2026 no consultable</t>
        </is>
      </c>
      <c r="P10" s="274" t="inlineStr">
        <is>
          <t>oct-2026 (est.)</t>
        </is>
      </c>
      <c r="Q10" s="274" t="n"/>
    </row>
    <row r="11">
      <c r="A11" s="18" t="n">
        <v>3</v>
      </c>
      <c r="B11" s="19" t="inlineStr">
        <is>
          <t xml:space="preserve">        Ayudante de Electricista — Estructura Ocupacional E2</t>
        </is>
      </c>
      <c r="C11" s="20" t="inlineStr">
        <is>
          <t>Construcción (Comisión Sectorial)</t>
        </is>
      </c>
      <c r="D11" s="18" t="inlineStr">
        <is>
          <t>Mano de Obra E2</t>
        </is>
      </c>
      <c r="E11" s="18" t="inlineStr">
        <is>
          <t>h</t>
        </is>
      </c>
      <c r="F11" s="21" t="n">
        <v>0</v>
      </c>
      <c r="G11" s="22" t="n">
        <v>4.29</v>
      </c>
      <c r="H11" s="22" t="n">
        <v>4.29</v>
      </c>
      <c r="I11" s="18" t="inlineStr">
        <is>
          <t>Contraloría (salario mínimo sectorial)</t>
        </is>
      </c>
      <c r="J11" s="22" t="n">
        <v>5.58</v>
      </c>
      <c r="K11" s="18" t="inlineStr">
        <is>
          <t>Mercado GYE (jornal real)</t>
        </is>
      </c>
      <c r="L11" s="8">
        <f>F11*G11</f>
        <v/>
      </c>
      <c r="M11" s="145" t="inlineStr">
        <is>
          <t>Z-Z10-MOB-E2-AYU-ELE</t>
        </is>
      </c>
      <c r="N11" s="18" t="inlineStr">
        <is>
          <t>General / coordinación multidisciplinar</t>
        </is>
      </c>
      <c r="O11" s="18" t="inlineStr">
        <is>
          <t>Estimado · SBU 2026 USD 482 × factor de costo horario; tabla Contraloría 2026 no consultable</t>
        </is>
      </c>
      <c r="P11" s="18" t="inlineStr">
        <is>
          <t>oct-2026 (est.)</t>
        </is>
      </c>
      <c r="Q11" s="18" t="n"/>
    </row>
    <row r="12">
      <c r="A12" s="274" t="n">
        <v>4</v>
      </c>
      <c r="B12" s="275" t="inlineStr">
        <is>
          <t xml:space="preserve">        Ayudante de Plomero / Gasfitero — Estructura Ocupacional E2</t>
        </is>
      </c>
      <c r="C12" s="276" t="inlineStr">
        <is>
          <t>Construcción (Comisión Sectorial)</t>
        </is>
      </c>
      <c r="D12" s="274" t="inlineStr">
        <is>
          <t>Mano de Obra E2</t>
        </is>
      </c>
      <c r="E12" s="274" t="inlineStr">
        <is>
          <t>h</t>
        </is>
      </c>
      <c r="F12" s="277" t="n">
        <v>0</v>
      </c>
      <c r="G12" s="278" t="n">
        <v>4.29</v>
      </c>
      <c r="H12" s="278" t="n">
        <v>4.29</v>
      </c>
      <c r="I12" s="274" t="inlineStr">
        <is>
          <t>Contraloría (salario mínimo sectorial)</t>
        </is>
      </c>
      <c r="J12" s="278" t="n">
        <v>5.58</v>
      </c>
      <c r="K12" s="274" t="inlineStr">
        <is>
          <t>Mercado GYE (jornal real)</t>
        </is>
      </c>
      <c r="L12" s="279">
        <f>F12*G12</f>
        <v/>
      </c>
      <c r="M12" s="280" t="inlineStr">
        <is>
          <t>Z-Z10-MOB-E2-AYU-PLO</t>
        </is>
      </c>
      <c r="N12" s="274" t="inlineStr">
        <is>
          <t>General / coordinación multidisciplinar</t>
        </is>
      </c>
      <c r="O12" s="274" t="inlineStr">
        <is>
          <t>Estimado · SBU 2026 USD 482 × factor de costo horario; tabla Contraloría 2026 no consultable</t>
        </is>
      </c>
      <c r="P12" s="274" t="inlineStr">
        <is>
          <t>oct-2026 (est.)</t>
        </is>
      </c>
      <c r="Q12" s="274" t="n"/>
    </row>
    <row r="13">
      <c r="A13" s="18" t="n">
        <v>5</v>
      </c>
      <c r="B13" s="19" t="inlineStr">
        <is>
          <t xml:space="preserve">        Ayudante de Fierrero — Estructura Ocupacional E2</t>
        </is>
      </c>
      <c r="C13" s="20" t="inlineStr">
        <is>
          <t>Construcción (Comisión Sectorial)</t>
        </is>
      </c>
      <c r="D13" s="18" t="inlineStr">
        <is>
          <t>Mano de Obra E2</t>
        </is>
      </c>
      <c r="E13" s="18" t="inlineStr">
        <is>
          <t>h</t>
        </is>
      </c>
      <c r="F13" s="21" t="n">
        <v>0</v>
      </c>
      <c r="G13" s="22" t="n">
        <v>4.29</v>
      </c>
      <c r="H13" s="22" t="n">
        <v>4.29</v>
      </c>
      <c r="I13" s="18" t="inlineStr">
        <is>
          <t>Contraloría (salario mínimo sectorial)</t>
        </is>
      </c>
      <c r="J13" s="22" t="n">
        <v>5.58</v>
      </c>
      <c r="K13" s="18" t="inlineStr">
        <is>
          <t>Mercado GYE (jornal real)</t>
        </is>
      </c>
      <c r="L13" s="8">
        <f>F13*G13</f>
        <v/>
      </c>
      <c r="M13" s="145" t="inlineStr">
        <is>
          <t>Z-Z10-MOB-E2-AYU-FIE</t>
        </is>
      </c>
      <c r="N13" s="18" t="inlineStr">
        <is>
          <t>General / coordinación multidisciplinar</t>
        </is>
      </c>
      <c r="O13" s="18" t="inlineStr">
        <is>
          <t>Estimado · SBU 2026 USD 482 × factor de costo horario; tabla Contraloría 2026 no consultable</t>
        </is>
      </c>
      <c r="P13" s="18" t="inlineStr">
        <is>
          <t>oct-2026 (est.)</t>
        </is>
      </c>
      <c r="Q13" s="18" t="n"/>
    </row>
    <row r="14">
      <c r="A14" s="274" t="n">
        <v>6</v>
      </c>
      <c r="B14" s="275" t="inlineStr">
        <is>
          <t xml:space="preserve">        Ayudante de Carpintero — Estructura Ocupacional E2</t>
        </is>
      </c>
      <c r="C14" s="276" t="inlineStr">
        <is>
          <t>Construcción (Comisión Sectorial)</t>
        </is>
      </c>
      <c r="D14" s="274" t="inlineStr">
        <is>
          <t>Mano de Obra E2</t>
        </is>
      </c>
      <c r="E14" s="274" t="inlineStr">
        <is>
          <t>h</t>
        </is>
      </c>
      <c r="F14" s="277" t="n">
        <v>0</v>
      </c>
      <c r="G14" s="278" t="n">
        <v>4.29</v>
      </c>
      <c r="H14" s="278" t="n">
        <v>4.29</v>
      </c>
      <c r="I14" s="274" t="inlineStr">
        <is>
          <t>Contraloría (salario mínimo sectorial)</t>
        </is>
      </c>
      <c r="J14" s="278" t="n">
        <v>5.58</v>
      </c>
      <c r="K14" s="274" t="inlineStr">
        <is>
          <t>Mercado GYE (jornal real)</t>
        </is>
      </c>
      <c r="L14" s="279">
        <f>F14*G14</f>
        <v/>
      </c>
      <c r="M14" s="280" t="inlineStr">
        <is>
          <t>Z-Z10-MOB-E2-AYU-CAR</t>
        </is>
      </c>
      <c r="N14" s="274" t="inlineStr">
        <is>
          <t>General / coordinación multidisciplinar</t>
        </is>
      </c>
      <c r="O14" s="274" t="inlineStr">
        <is>
          <t>Estimado · SBU 2026 USD 482 × factor de costo horario; tabla Contraloría 2026 no consultable</t>
        </is>
      </c>
      <c r="P14" s="274" t="inlineStr">
        <is>
          <t>oct-2026 (est.)</t>
        </is>
      </c>
      <c r="Q14" s="274" t="n"/>
    </row>
    <row r="15">
      <c r="A15" s="18" t="n">
        <v>7</v>
      </c>
      <c r="B15" s="19" t="inlineStr">
        <is>
          <t xml:space="preserve">        Bodeguero — Estructura Ocupacional E2</t>
        </is>
      </c>
      <c r="C15" s="20" t="inlineStr">
        <is>
          <t>Construcción (Comisión Sectorial)</t>
        </is>
      </c>
      <c r="D15" s="18" t="inlineStr">
        <is>
          <t>Mano de Obra E2</t>
        </is>
      </c>
      <c r="E15" s="18" t="inlineStr">
        <is>
          <t>h</t>
        </is>
      </c>
      <c r="F15" s="21" t="n">
        <v>0</v>
      </c>
      <c r="G15" s="22" t="n">
        <v>4.29</v>
      </c>
      <c r="H15" s="22" t="n">
        <v>4.29</v>
      </c>
      <c r="I15" s="18" t="inlineStr">
        <is>
          <t>Contraloría (salario mínimo sectorial)</t>
        </is>
      </c>
      <c r="J15" s="22" t="n">
        <v>5.58</v>
      </c>
      <c r="K15" s="18" t="inlineStr">
        <is>
          <t>Mercado GYE (jornal real)</t>
        </is>
      </c>
      <c r="L15" s="8">
        <f>F15*G15</f>
        <v/>
      </c>
      <c r="M15" s="145" t="inlineStr">
        <is>
          <t>Z-Z10-MOB-E2-BOD</t>
        </is>
      </c>
      <c r="N15" s="18" t="inlineStr">
        <is>
          <t>General / coordinación multidisciplinar</t>
        </is>
      </c>
      <c r="O15" s="18" t="inlineStr">
        <is>
          <t>Estimado · SBU 2026 USD 482 × factor de costo horario; tabla Contraloría 2026 no consultable</t>
        </is>
      </c>
      <c r="P15" s="18" t="inlineStr">
        <is>
          <t>oct-2026 (est.)</t>
        </is>
      </c>
      <c r="Q15" s="18" t="n"/>
    </row>
    <row r="16">
      <c r="A16" s="274" t="n">
        <v>8</v>
      </c>
      <c r="B16" s="275" t="inlineStr">
        <is>
          <t xml:space="preserve">        Guardián / Cadenero — Estructura Ocupacional E2</t>
        </is>
      </c>
      <c r="C16" s="276" t="inlineStr">
        <is>
          <t>Construcción (Comisión Sectorial)</t>
        </is>
      </c>
      <c r="D16" s="274" t="inlineStr">
        <is>
          <t>Mano de Obra E2</t>
        </is>
      </c>
      <c r="E16" s="274" t="inlineStr">
        <is>
          <t>h</t>
        </is>
      </c>
      <c r="F16" s="277" t="n">
        <v>0</v>
      </c>
      <c r="G16" s="278" t="n">
        <v>4.29</v>
      </c>
      <c r="H16" s="278" t="n">
        <v>4.29</v>
      </c>
      <c r="I16" s="274" t="inlineStr">
        <is>
          <t>Contraloría (salario mínimo sectorial)</t>
        </is>
      </c>
      <c r="J16" s="278" t="n">
        <v>5.58</v>
      </c>
      <c r="K16" s="274" t="inlineStr">
        <is>
          <t>Mercado GYE (jornal real)</t>
        </is>
      </c>
      <c r="L16" s="279">
        <f>F16*G16</f>
        <v/>
      </c>
      <c r="M16" s="280" t="inlineStr">
        <is>
          <t>Z-Z10-MOB-E2-GUA</t>
        </is>
      </c>
      <c r="N16" s="274" t="inlineStr">
        <is>
          <t>General / coordinación multidisciplinar</t>
        </is>
      </c>
      <c r="O16" s="274" t="inlineStr">
        <is>
          <t>Estimado · SBU 2026 USD 482 × factor de costo horario; tabla Contraloría 2026 no consultable</t>
        </is>
      </c>
      <c r="P16" s="274" t="inlineStr">
        <is>
          <t>oct-2026 (est.)</t>
        </is>
      </c>
      <c r="Q16" s="274" t="n"/>
    </row>
    <row r="17">
      <c r="A17" s="271" t="inlineStr">
        <is>
          <t>PERSONAL ESPECIALIZADO (D2)</t>
        </is>
      </c>
      <c r="B17" s="143" t="n"/>
      <c r="C17" s="143" t="n"/>
      <c r="D17" s="143" t="n"/>
      <c r="E17" s="143" t="n"/>
      <c r="F17" s="143" t="n"/>
      <c r="G17" s="143" t="n"/>
      <c r="H17" s="143" t="n"/>
      <c r="I17" s="143" t="n"/>
      <c r="J17" s="143" t="n"/>
      <c r="K17" s="143" t="n"/>
      <c r="L17" s="143" t="n"/>
      <c r="M17" s="143" t="n"/>
      <c r="N17" s="143" t="n"/>
      <c r="O17" s="143" t="n"/>
      <c r="P17" s="143" t="n"/>
      <c r="Q17" s="144" t="n"/>
    </row>
    <row r="18">
      <c r="A18" s="272" t="inlineStr">
        <is>
          <t xml:space="preserve">  ► CATEGORÍA: OFICIALES DE OBRA</t>
        </is>
      </c>
      <c r="B18" s="143" t="n"/>
      <c r="C18" s="143" t="n"/>
      <c r="D18" s="143" t="n"/>
      <c r="E18" s="143" t="n"/>
      <c r="F18" s="143" t="n"/>
      <c r="G18" s="143" t="n"/>
      <c r="H18" s="143" t="n"/>
      <c r="I18" s="143" t="n"/>
      <c r="J18" s="143" t="n"/>
      <c r="K18" s="143" t="n"/>
      <c r="L18" s="143" t="n"/>
      <c r="M18" s="143" t="n"/>
      <c r="N18" s="143" t="n"/>
      <c r="O18" s="143" t="n"/>
      <c r="P18" s="143" t="n"/>
      <c r="Q18" s="144" t="n"/>
    </row>
    <row r="19">
      <c r="A19" s="273" t="inlineStr">
        <is>
          <t xml:space="preserve">      • Subcategoría Especificada: Estructura Ocupacional D2</t>
        </is>
      </c>
      <c r="B19" s="143" t="n"/>
      <c r="C19" s="143" t="n"/>
      <c r="D19" s="143" t="n"/>
      <c r="E19" s="143" t="n"/>
      <c r="F19" s="143" t="n"/>
      <c r="G19" s="143" t="n"/>
      <c r="H19" s="143" t="n"/>
      <c r="I19" s="143" t="n"/>
      <c r="J19" s="143" t="n"/>
      <c r="K19" s="143" t="n"/>
      <c r="L19" s="143" t="n"/>
      <c r="M19" s="143" t="n"/>
      <c r="N19" s="143" t="n"/>
      <c r="O19" s="143" t="n"/>
      <c r="P19" s="143" t="n"/>
      <c r="Q19" s="144" t="n"/>
    </row>
    <row r="20">
      <c r="A20" s="18" t="n">
        <v>9</v>
      </c>
      <c r="B20" s="19" t="inlineStr">
        <is>
          <t xml:space="preserve">        Albañil — Estructura Ocupacional D2</t>
        </is>
      </c>
      <c r="C20" s="20" t="inlineStr">
        <is>
          <t>Construcción (Comisión Sectorial)</t>
        </is>
      </c>
      <c r="D20" s="18" t="inlineStr">
        <is>
          <t>Mano de Obra D2</t>
        </is>
      </c>
      <c r="E20" s="18" t="inlineStr">
        <is>
          <t>h</t>
        </is>
      </c>
      <c r="F20" s="21" t="n">
        <v>80</v>
      </c>
      <c r="G20" s="22" t="n">
        <v>4.34</v>
      </c>
      <c r="H20" s="22" t="n">
        <v>4.34</v>
      </c>
      <c r="I20" s="18" t="inlineStr">
        <is>
          <t>Contraloría (salario mínimo sectorial)</t>
        </is>
      </c>
      <c r="J20" s="22" t="n">
        <v>5.64</v>
      </c>
      <c r="K20" s="18" t="inlineStr">
        <is>
          <t>Mercado GYE (jornal real)</t>
        </is>
      </c>
      <c r="L20" s="8">
        <f>F20*G20</f>
        <v/>
      </c>
      <c r="M20" s="145" t="inlineStr">
        <is>
          <t>Z-Z10-MOB-D2-ALB</t>
        </is>
      </c>
      <c r="N20" s="18" t="inlineStr">
        <is>
          <t>General / coordinación multidisciplinar</t>
        </is>
      </c>
      <c r="O20" s="18" t="inlineStr">
        <is>
          <t>Estimado · SBU 2026 USD 482 × factor de costo horario; tabla Contraloría 2026 no consultable</t>
        </is>
      </c>
      <c r="P20" s="18" t="inlineStr">
        <is>
          <t>oct-2026 (est.)</t>
        </is>
      </c>
      <c r="Q20" s="18" t="n"/>
    </row>
    <row r="21">
      <c r="A21" s="274" t="n">
        <v>10</v>
      </c>
      <c r="B21" s="275" t="inlineStr">
        <is>
          <t xml:space="preserve">        Fierrero — Estructura Ocupacional D2</t>
        </is>
      </c>
      <c r="C21" s="276" t="inlineStr">
        <is>
          <t>Construcción (Comisión Sectorial)</t>
        </is>
      </c>
      <c r="D21" s="274" t="inlineStr">
        <is>
          <t>Mano de Obra D2</t>
        </is>
      </c>
      <c r="E21" s="274" t="inlineStr">
        <is>
          <t>h</t>
        </is>
      </c>
      <c r="F21" s="277" t="n">
        <v>0</v>
      </c>
      <c r="G21" s="278" t="n">
        <v>4.34</v>
      </c>
      <c r="H21" s="278" t="n">
        <v>4.34</v>
      </c>
      <c r="I21" s="274" t="inlineStr">
        <is>
          <t>Contraloría (salario mínimo sectorial)</t>
        </is>
      </c>
      <c r="J21" s="278" t="n">
        <v>5.64</v>
      </c>
      <c r="K21" s="274" t="inlineStr">
        <is>
          <t>Mercado GYE (jornal real)</t>
        </is>
      </c>
      <c r="L21" s="279">
        <f>F21*G21</f>
        <v/>
      </c>
      <c r="M21" s="280" t="inlineStr">
        <is>
          <t>Z-Z10-MOB-D2-FIE</t>
        </is>
      </c>
      <c r="N21" s="274" t="inlineStr">
        <is>
          <t>General / coordinación multidisciplinar</t>
        </is>
      </c>
      <c r="O21" s="274" t="inlineStr">
        <is>
          <t>Estimado · SBU 2026 USD 482 × factor de costo horario; tabla Contraloría 2026 no consultable</t>
        </is>
      </c>
      <c r="P21" s="274" t="inlineStr">
        <is>
          <t>oct-2026 (est.)</t>
        </is>
      </c>
      <c r="Q21" s="274" t="n"/>
    </row>
    <row r="22">
      <c r="A22" s="18" t="n">
        <v>11</v>
      </c>
      <c r="B22" s="19" t="inlineStr">
        <is>
          <t xml:space="preserve">        Carpintero de Encofrado — Estructura Ocupacional D2</t>
        </is>
      </c>
      <c r="C22" s="20" t="inlineStr">
        <is>
          <t>Construcción (Comisión Sectorial)</t>
        </is>
      </c>
      <c r="D22" s="18" t="inlineStr">
        <is>
          <t>Mano de Obra D2</t>
        </is>
      </c>
      <c r="E22" s="18" t="inlineStr">
        <is>
          <t>h</t>
        </is>
      </c>
      <c r="F22" s="21" t="n">
        <v>0</v>
      </c>
      <c r="G22" s="22" t="n">
        <v>4.34</v>
      </c>
      <c r="H22" s="22" t="n">
        <v>4.34</v>
      </c>
      <c r="I22" s="18" t="inlineStr">
        <is>
          <t>Contraloría (salario mínimo sectorial)</t>
        </is>
      </c>
      <c r="J22" s="22" t="n">
        <v>5.64</v>
      </c>
      <c r="K22" s="18" t="inlineStr">
        <is>
          <t>Mercado GYE (jornal real)</t>
        </is>
      </c>
      <c r="L22" s="8">
        <f>F22*G22</f>
        <v/>
      </c>
      <c r="M22" s="145" t="inlineStr">
        <is>
          <t>Z-Z10-MOB-D2-CAR</t>
        </is>
      </c>
      <c r="N22" s="18" t="inlineStr">
        <is>
          <t>General / coordinación multidisciplinar</t>
        </is>
      </c>
      <c r="O22" s="18" t="inlineStr">
        <is>
          <t>Estimado · SBU 2026 USD 482 × factor de costo horario; tabla Contraloría 2026 no consultable</t>
        </is>
      </c>
      <c r="P22" s="18" t="inlineStr">
        <is>
          <t>oct-2026 (est.)</t>
        </is>
      </c>
      <c r="Q22" s="18" t="n"/>
    </row>
    <row r="23">
      <c r="A23" s="274" t="n">
        <v>12</v>
      </c>
      <c r="B23" s="275" t="inlineStr">
        <is>
          <t xml:space="preserve">        Electricista — Estructura Ocupacional D2</t>
        </is>
      </c>
      <c r="C23" s="276" t="inlineStr">
        <is>
          <t>Construcción (Comisión Sectorial)</t>
        </is>
      </c>
      <c r="D23" s="274" t="inlineStr">
        <is>
          <t>Mano de Obra D2</t>
        </is>
      </c>
      <c r="E23" s="274" t="inlineStr">
        <is>
          <t>h</t>
        </is>
      </c>
      <c r="F23" s="277" t="n">
        <v>0</v>
      </c>
      <c r="G23" s="278" t="n">
        <v>4.34</v>
      </c>
      <c r="H23" s="278" t="n">
        <v>4.34</v>
      </c>
      <c r="I23" s="274" t="inlineStr">
        <is>
          <t>Contraloría (salario mínimo sectorial)</t>
        </is>
      </c>
      <c r="J23" s="278" t="n">
        <v>5.64</v>
      </c>
      <c r="K23" s="274" t="inlineStr">
        <is>
          <t>Mercado GYE (jornal real)</t>
        </is>
      </c>
      <c r="L23" s="279">
        <f>F23*G23</f>
        <v/>
      </c>
      <c r="M23" s="280" t="inlineStr">
        <is>
          <t>Z-Z10-MOB-D2-ELE</t>
        </is>
      </c>
      <c r="N23" s="274" t="inlineStr">
        <is>
          <t>General / coordinación multidisciplinar</t>
        </is>
      </c>
      <c r="O23" s="274" t="inlineStr">
        <is>
          <t>Estimado · SBU 2026 USD 482 × factor de costo horario; tabla Contraloría 2026 no consultable</t>
        </is>
      </c>
      <c r="P23" s="274" t="inlineStr">
        <is>
          <t>oct-2026 (est.)</t>
        </is>
      </c>
      <c r="Q23" s="274" t="n"/>
    </row>
    <row r="24">
      <c r="A24" s="18" t="n">
        <v>13</v>
      </c>
      <c r="B24" s="19" t="inlineStr">
        <is>
          <t xml:space="preserve">        Plomero / Instalador Sanitario — Estructura Ocupacional D2</t>
        </is>
      </c>
      <c r="C24" s="20" t="inlineStr">
        <is>
          <t>Construcción (Comisión Sectorial)</t>
        </is>
      </c>
      <c r="D24" s="18" t="inlineStr">
        <is>
          <t>Mano de Obra D2</t>
        </is>
      </c>
      <c r="E24" s="18" t="inlineStr">
        <is>
          <t>h</t>
        </is>
      </c>
      <c r="F24" s="21" t="n">
        <v>0</v>
      </c>
      <c r="G24" s="22" t="n">
        <v>4.34</v>
      </c>
      <c r="H24" s="22" t="n">
        <v>4.34</v>
      </c>
      <c r="I24" s="18" t="inlineStr">
        <is>
          <t>Contraloría (salario mínimo sectorial)</t>
        </is>
      </c>
      <c r="J24" s="22" t="n">
        <v>5.64</v>
      </c>
      <c r="K24" s="18" t="inlineStr">
        <is>
          <t>Mercado GYE (jornal real)</t>
        </is>
      </c>
      <c r="L24" s="8">
        <f>F24*G24</f>
        <v/>
      </c>
      <c r="M24" s="145" t="inlineStr">
        <is>
          <t>Z-Z10-MOB-D2-PLO</t>
        </is>
      </c>
      <c r="N24" s="18" t="inlineStr">
        <is>
          <t>General / coordinación multidisciplinar</t>
        </is>
      </c>
      <c r="O24" s="18" t="inlineStr">
        <is>
          <t>Estimado · SBU 2026 USD 482 × factor de costo horario; tabla Contraloría 2026 no consultable</t>
        </is>
      </c>
      <c r="P24" s="18" t="inlineStr">
        <is>
          <t>oct-2026 (est.)</t>
        </is>
      </c>
      <c r="Q24" s="18" t="n"/>
    </row>
    <row r="25">
      <c r="A25" s="274" t="n">
        <v>14</v>
      </c>
      <c r="B25" s="275" t="inlineStr">
        <is>
          <t xml:space="preserve">        Pintor — Estructura Ocupacional D2</t>
        </is>
      </c>
      <c r="C25" s="276" t="inlineStr">
        <is>
          <t>Construcción (Comisión Sectorial)</t>
        </is>
      </c>
      <c r="D25" s="274" t="inlineStr">
        <is>
          <t>Mano de Obra D2</t>
        </is>
      </c>
      <c r="E25" s="274" t="inlineStr">
        <is>
          <t>h</t>
        </is>
      </c>
      <c r="F25" s="277" t="n">
        <v>0</v>
      </c>
      <c r="G25" s="278" t="n">
        <v>4.34</v>
      </c>
      <c r="H25" s="278" t="n">
        <v>4.34</v>
      </c>
      <c r="I25" s="274" t="inlineStr">
        <is>
          <t>Contraloría (salario mínimo sectorial)</t>
        </is>
      </c>
      <c r="J25" s="278" t="n">
        <v>5.64</v>
      </c>
      <c r="K25" s="274" t="inlineStr">
        <is>
          <t>Mercado GYE (jornal real)</t>
        </is>
      </c>
      <c r="L25" s="279">
        <f>F25*G25</f>
        <v/>
      </c>
      <c r="M25" s="280" t="inlineStr">
        <is>
          <t>Z-Z10-MOB-D2-PIN</t>
        </is>
      </c>
      <c r="N25" s="274" t="inlineStr">
        <is>
          <t>General / coordinación multidisciplinar</t>
        </is>
      </c>
      <c r="O25" s="274" t="inlineStr">
        <is>
          <t>Estimado · SBU 2026 USD 482 × factor de costo horario; tabla Contraloría 2026 no consultable</t>
        </is>
      </c>
      <c r="P25" s="274" t="inlineStr">
        <is>
          <t>oct-2026 (est.)</t>
        </is>
      </c>
      <c r="Q25" s="274" t="n"/>
    </row>
    <row r="26">
      <c r="A26" s="18" t="n">
        <v>15</v>
      </c>
      <c r="B26" s="19" t="inlineStr">
        <is>
          <t xml:space="preserve">        Instalador de Revestimientos (Cerámica/Porcelanato) — Estructura Ocupacional D2</t>
        </is>
      </c>
      <c r="C26" s="20" t="inlineStr">
        <is>
          <t>Construcción (Comisión Sectorial)</t>
        </is>
      </c>
      <c r="D26" s="18" t="inlineStr">
        <is>
          <t>Mano de Obra D2</t>
        </is>
      </c>
      <c r="E26" s="18" t="inlineStr">
        <is>
          <t>h</t>
        </is>
      </c>
      <c r="F26" s="21" t="n">
        <v>0</v>
      </c>
      <c r="G26" s="22" t="n">
        <v>4.34</v>
      </c>
      <c r="H26" s="22" t="n">
        <v>4.34</v>
      </c>
      <c r="I26" s="18" t="inlineStr">
        <is>
          <t>Contraloría (salario mínimo sectorial)</t>
        </is>
      </c>
      <c r="J26" s="22" t="n">
        <v>5.64</v>
      </c>
      <c r="K26" s="18" t="inlineStr">
        <is>
          <t>Mercado GYE (jornal real)</t>
        </is>
      </c>
      <c r="L26" s="8">
        <f>F26*G26</f>
        <v/>
      </c>
      <c r="M26" s="145" t="inlineStr">
        <is>
          <t>Z-Z10-MOB-D2-INS-REV</t>
        </is>
      </c>
      <c r="N26" s="18" t="inlineStr">
        <is>
          <t>General / coordinación multidisciplinar</t>
        </is>
      </c>
      <c r="O26" s="18" t="inlineStr">
        <is>
          <t>Estimado · SBU 2026 USD 482 × factor de costo horario; tabla Contraloría 2026 no consultable</t>
        </is>
      </c>
      <c r="P26" s="18" t="inlineStr">
        <is>
          <t>oct-2026 (est.)</t>
        </is>
      </c>
      <c r="Q26" s="18" t="n"/>
    </row>
    <row r="27">
      <c r="A27" s="274" t="n">
        <v>16</v>
      </c>
      <c r="B27" s="275" t="inlineStr">
        <is>
          <t xml:space="preserve">        Instalador de Gypsum / Drywall — Estructura Ocupacional D2</t>
        </is>
      </c>
      <c r="C27" s="276" t="inlineStr">
        <is>
          <t>Construcción (Comisión Sectorial)</t>
        </is>
      </c>
      <c r="D27" s="274" t="inlineStr">
        <is>
          <t>Mano de Obra D2</t>
        </is>
      </c>
      <c r="E27" s="274" t="inlineStr">
        <is>
          <t>h</t>
        </is>
      </c>
      <c r="F27" s="277" t="n">
        <v>0</v>
      </c>
      <c r="G27" s="278" t="n">
        <v>4.34</v>
      </c>
      <c r="H27" s="278" t="n">
        <v>4.34</v>
      </c>
      <c r="I27" s="274" t="inlineStr">
        <is>
          <t>Contraloría (salario mínimo sectorial)</t>
        </is>
      </c>
      <c r="J27" s="278" t="n">
        <v>5.64</v>
      </c>
      <c r="K27" s="274" t="inlineStr">
        <is>
          <t>Mercado GYE (jornal real)</t>
        </is>
      </c>
      <c r="L27" s="279">
        <f>F27*G27</f>
        <v/>
      </c>
      <c r="M27" s="280" t="inlineStr">
        <is>
          <t>Z-Z10-MOB-D2-INS-GYP</t>
        </is>
      </c>
      <c r="N27" s="274" t="inlineStr">
        <is>
          <t>General / coordinación multidisciplinar</t>
        </is>
      </c>
      <c r="O27" s="274" t="inlineStr">
        <is>
          <t>Estimado · SBU 2026 USD 482 × factor de costo horario; tabla Contraloría 2026 no consultable</t>
        </is>
      </c>
      <c r="P27" s="274" t="inlineStr">
        <is>
          <t>oct-2026 (est.)</t>
        </is>
      </c>
      <c r="Q27" s="274" t="n"/>
    </row>
    <row r="28">
      <c r="A28" s="18" t="n">
        <v>17</v>
      </c>
      <c r="B28" s="19" t="inlineStr">
        <is>
          <t xml:space="preserve">        Operador de Equipo Liviano (Concretera, Vibrador) — Estructura Ocupacional D2</t>
        </is>
      </c>
      <c r="C28" s="20" t="inlineStr">
        <is>
          <t>Construcción (Comisión Sectorial)</t>
        </is>
      </c>
      <c r="D28" s="18" t="inlineStr">
        <is>
          <t>Mano de Obra D2</t>
        </is>
      </c>
      <c r="E28" s="18" t="inlineStr">
        <is>
          <t>h</t>
        </is>
      </c>
      <c r="F28" s="21" t="n">
        <v>0</v>
      </c>
      <c r="G28" s="22" t="n">
        <v>4.34</v>
      </c>
      <c r="H28" s="22" t="n">
        <v>4.34</v>
      </c>
      <c r="I28" s="18" t="inlineStr">
        <is>
          <t>Contraloría (salario mínimo sectorial)</t>
        </is>
      </c>
      <c r="J28" s="22" t="n">
        <v>5.64</v>
      </c>
      <c r="K28" s="18" t="inlineStr">
        <is>
          <t>Mercado GYE (jornal real)</t>
        </is>
      </c>
      <c r="L28" s="8">
        <f>F28*G28</f>
        <v/>
      </c>
      <c r="M28" s="145" t="inlineStr">
        <is>
          <t>Z-Z10-MOB-D2-OPE-LIV</t>
        </is>
      </c>
      <c r="N28" s="18" t="inlineStr">
        <is>
          <t>General / coordinación multidisciplinar</t>
        </is>
      </c>
      <c r="O28" s="18" t="inlineStr">
        <is>
          <t>Estimado · SBU 2026 USD 482 × factor de costo horario; tabla Contraloría 2026 no consultable</t>
        </is>
      </c>
      <c r="P28" s="18" t="inlineStr">
        <is>
          <t>oct-2026 (est.)</t>
        </is>
      </c>
      <c r="Q28" s="18" t="n"/>
    </row>
    <row r="29">
      <c r="A29" s="274" t="n">
        <v>18</v>
      </c>
      <c r="B29" s="275" t="inlineStr">
        <is>
          <t xml:space="preserve">        Instalador de Aluminio y Vidrio — Estructura Ocupacional D2</t>
        </is>
      </c>
      <c r="C29" s="276" t="inlineStr">
        <is>
          <t>Construcción (Comisión Sectorial)</t>
        </is>
      </c>
      <c r="D29" s="274" t="inlineStr">
        <is>
          <t>Mano de Obra D2</t>
        </is>
      </c>
      <c r="E29" s="274" t="inlineStr">
        <is>
          <t>h</t>
        </is>
      </c>
      <c r="F29" s="277" t="n">
        <v>0</v>
      </c>
      <c r="G29" s="278" t="n">
        <v>4.34</v>
      </c>
      <c r="H29" s="278" t="n">
        <v>4.34</v>
      </c>
      <c r="I29" s="274" t="inlineStr">
        <is>
          <t>Contraloría (salario mínimo sectorial)</t>
        </is>
      </c>
      <c r="J29" s="278" t="n">
        <v>5.64</v>
      </c>
      <c r="K29" s="274" t="inlineStr">
        <is>
          <t>Mercado GYE (jornal real)</t>
        </is>
      </c>
      <c r="L29" s="279">
        <f>F29*G29</f>
        <v/>
      </c>
      <c r="M29" s="280" t="inlineStr">
        <is>
          <t>Z-Z10-MOB-D2-ALU</t>
        </is>
      </c>
      <c r="N29" s="274" t="inlineStr">
        <is>
          <t>General / coordinación multidisciplinar</t>
        </is>
      </c>
      <c r="O29" s="274" t="inlineStr">
        <is>
          <t>Estimado · SBU 2026 USD 482 × factor de costo horario; tabla Contraloría 2026 no consultable</t>
        </is>
      </c>
      <c r="P29" s="274" t="inlineStr">
        <is>
          <t>oct-2026 (est.)</t>
        </is>
      </c>
      <c r="Q29" s="274" t="n"/>
    </row>
    <row r="30">
      <c r="A30" s="18" t="n">
        <v>19</v>
      </c>
      <c r="B30" s="19" t="inlineStr">
        <is>
          <t xml:space="preserve">        Ebanista / Carpintero de Muebles — Estructura Ocupacional D2</t>
        </is>
      </c>
      <c r="C30" s="20" t="inlineStr">
        <is>
          <t>Construcción (Comisión Sectorial)</t>
        </is>
      </c>
      <c r="D30" s="18" t="inlineStr">
        <is>
          <t>Mano de Obra D2</t>
        </is>
      </c>
      <c r="E30" s="18" t="inlineStr">
        <is>
          <t>h</t>
        </is>
      </c>
      <c r="F30" s="21" t="n">
        <v>0</v>
      </c>
      <c r="G30" s="22" t="n">
        <v>4.34</v>
      </c>
      <c r="H30" s="22" t="n">
        <v>4.34</v>
      </c>
      <c r="I30" s="18" t="inlineStr">
        <is>
          <t>Contraloría (salario mínimo sectorial)</t>
        </is>
      </c>
      <c r="J30" s="22" t="n">
        <v>5.64</v>
      </c>
      <c r="K30" s="18" t="inlineStr">
        <is>
          <t>Mercado GYE (jornal real)</t>
        </is>
      </c>
      <c r="L30" s="8">
        <f>F30*G30</f>
        <v/>
      </c>
      <c r="M30" s="145" t="inlineStr">
        <is>
          <t>Z-Z10-MOB-D2-EBA</t>
        </is>
      </c>
      <c r="N30" s="18" t="inlineStr">
        <is>
          <t>General / coordinación multidisciplinar</t>
        </is>
      </c>
      <c r="O30" s="18" t="inlineStr">
        <is>
          <t>Estimado · SBU 2026 USD 482 × factor de costo horario; tabla Contraloría 2026 no consultable</t>
        </is>
      </c>
      <c r="P30" s="18" t="inlineStr">
        <is>
          <t>oct-2026 (est.)</t>
        </is>
      </c>
      <c r="Q30" s="18" t="n"/>
    </row>
    <row r="31">
      <c r="A31" s="274" t="n">
        <v>20</v>
      </c>
      <c r="B31" s="275" t="inlineStr">
        <is>
          <t xml:space="preserve">        Perfilero / Instalador de Cubiertas — Estructura Ocupacional D2</t>
        </is>
      </c>
      <c r="C31" s="276" t="inlineStr">
        <is>
          <t>Construcción (Comisión Sectorial)</t>
        </is>
      </c>
      <c r="D31" s="274" t="inlineStr">
        <is>
          <t>Mano de Obra D2</t>
        </is>
      </c>
      <c r="E31" s="274" t="inlineStr">
        <is>
          <t>h</t>
        </is>
      </c>
      <c r="F31" s="277" t="n">
        <v>0</v>
      </c>
      <c r="G31" s="278" t="n">
        <v>4.34</v>
      </c>
      <c r="H31" s="278" t="n">
        <v>4.34</v>
      </c>
      <c r="I31" s="274" t="inlineStr">
        <is>
          <t>Contraloría (salario mínimo sectorial)</t>
        </is>
      </c>
      <c r="J31" s="278" t="n">
        <v>5.64</v>
      </c>
      <c r="K31" s="274" t="inlineStr">
        <is>
          <t>Mercado GYE (jornal real)</t>
        </is>
      </c>
      <c r="L31" s="279">
        <f>F31*G31</f>
        <v/>
      </c>
      <c r="M31" s="280" t="inlineStr">
        <is>
          <t>Z-Z10-MOB-D2-PER</t>
        </is>
      </c>
      <c r="N31" s="274" t="inlineStr">
        <is>
          <t>General / coordinación multidisciplinar</t>
        </is>
      </c>
      <c r="O31" s="274" t="inlineStr">
        <is>
          <t>Estimado · SBU 2026 USD 482 × factor de costo horario; tabla Contraloría 2026 no consultable</t>
        </is>
      </c>
      <c r="P31" s="274" t="inlineStr">
        <is>
          <t>oct-2026 (est.)</t>
        </is>
      </c>
      <c r="Q31" s="274" t="n"/>
    </row>
    <row r="32">
      <c r="A32" s="271" t="inlineStr">
        <is>
          <t>PERSONAL TÉCNICO (C2 / C1)</t>
        </is>
      </c>
      <c r="B32" s="143" t="n"/>
      <c r="C32" s="143" t="n"/>
      <c r="D32" s="143" t="n"/>
      <c r="E32" s="143" t="n"/>
      <c r="F32" s="143" t="n"/>
      <c r="G32" s="143" t="n"/>
      <c r="H32" s="143" t="n"/>
      <c r="I32" s="143" t="n"/>
      <c r="J32" s="143" t="n"/>
      <c r="K32" s="143" t="n"/>
      <c r="L32" s="143" t="n"/>
      <c r="M32" s="143" t="n"/>
      <c r="N32" s="143" t="n"/>
      <c r="O32" s="143" t="n"/>
      <c r="P32" s="143" t="n"/>
      <c r="Q32" s="144" t="n"/>
    </row>
    <row r="33">
      <c r="A33" s="272" t="inlineStr">
        <is>
          <t xml:space="preserve">  ► CATEGORÍA: OPERADORES, MAESTROS Y TÉCNICOS</t>
        </is>
      </c>
      <c r="B33" s="143" t="n"/>
      <c r="C33" s="143" t="n"/>
      <c r="D33" s="143" t="n"/>
      <c r="E33" s="143" t="n"/>
      <c r="F33" s="143" t="n"/>
      <c r="G33" s="143" t="n"/>
      <c r="H33" s="143" t="n"/>
      <c r="I33" s="143" t="n"/>
      <c r="J33" s="143" t="n"/>
      <c r="K33" s="143" t="n"/>
      <c r="L33" s="143" t="n"/>
      <c r="M33" s="143" t="n"/>
      <c r="N33" s="143" t="n"/>
      <c r="O33" s="143" t="n"/>
      <c r="P33" s="143" t="n"/>
      <c r="Q33" s="144" t="n"/>
    </row>
    <row r="34">
      <c r="A34" s="273" t="inlineStr">
        <is>
          <t xml:space="preserve">      • Subcategoría Especificada: Estructuras Ocupacionales C2 y C1</t>
        </is>
      </c>
      <c r="B34" s="143" t="n"/>
      <c r="C34" s="143" t="n"/>
      <c r="D34" s="143" t="n"/>
      <c r="E34" s="143" t="n"/>
      <c r="F34" s="143" t="n"/>
      <c r="G34" s="143" t="n"/>
      <c r="H34" s="143" t="n"/>
      <c r="I34" s="143" t="n"/>
      <c r="J34" s="143" t="n"/>
      <c r="K34" s="143" t="n"/>
      <c r="L34" s="143" t="n"/>
      <c r="M34" s="143" t="n"/>
      <c r="N34" s="143" t="n"/>
      <c r="O34" s="143" t="n"/>
      <c r="P34" s="143" t="n"/>
      <c r="Q34" s="144" t="n"/>
    </row>
    <row r="35">
      <c r="A35" s="18" t="n">
        <v>21</v>
      </c>
      <c r="B35" s="19" t="inlineStr">
        <is>
          <t xml:space="preserve">        Operador de Equipo Pesado OEP2 (Rodillo, Minicargadora) — Estructura Ocupacional C2</t>
        </is>
      </c>
      <c r="C35" s="20" t="inlineStr">
        <is>
          <t>Construcción (Comisión Sectorial)</t>
        </is>
      </c>
      <c r="D35" s="18" t="inlineStr">
        <is>
          <t>Mano de Obra C2</t>
        </is>
      </c>
      <c r="E35" s="18" t="inlineStr">
        <is>
          <t>h</t>
        </is>
      </c>
      <c r="F35" s="21" t="n">
        <v>0</v>
      </c>
      <c r="G35" s="22" t="n">
        <v>4.55</v>
      </c>
      <c r="H35" s="22" t="n">
        <v>4.55</v>
      </c>
      <c r="I35" s="18" t="inlineStr">
        <is>
          <t>Contraloría (salario mínimo sectorial)</t>
        </is>
      </c>
      <c r="J35" s="22" t="n">
        <v>5.92</v>
      </c>
      <c r="K35" s="18" t="inlineStr">
        <is>
          <t>Mercado GYE (jornal real)</t>
        </is>
      </c>
      <c r="L35" s="8">
        <f>F35*G35</f>
        <v/>
      </c>
      <c r="M35" s="145" t="inlineStr">
        <is>
          <t>Z-Z10-MOB-C2-OPE-EP2</t>
        </is>
      </c>
      <c r="N35" s="18" t="inlineStr">
        <is>
          <t>General / coordinación multidisciplinar</t>
        </is>
      </c>
      <c r="O35" s="18" t="inlineStr">
        <is>
          <t>Estimado · SBU 2026 USD 482 × factor de costo horario; tabla Contraloría 2026 no consultable</t>
        </is>
      </c>
      <c r="P35" s="18" t="inlineStr">
        <is>
          <t>oct-2026 (est.)</t>
        </is>
      </c>
      <c r="Q35" s="18" t="n"/>
    </row>
    <row r="36">
      <c r="A36" s="274" t="n">
        <v>22</v>
      </c>
      <c r="B36" s="275" t="inlineStr">
        <is>
          <t xml:space="preserve">        Ayudante de Maquinista — Estructura Ocupacional C2</t>
        </is>
      </c>
      <c r="C36" s="276" t="inlineStr">
        <is>
          <t>Construcción (Comisión Sectorial)</t>
        </is>
      </c>
      <c r="D36" s="274" t="inlineStr">
        <is>
          <t>Mano de Obra C2</t>
        </is>
      </c>
      <c r="E36" s="274" t="inlineStr">
        <is>
          <t>h</t>
        </is>
      </c>
      <c r="F36" s="277" t="n">
        <v>0</v>
      </c>
      <c r="G36" s="278" t="n">
        <v>4.55</v>
      </c>
      <c r="H36" s="278" t="n">
        <v>4.55</v>
      </c>
      <c r="I36" s="274" t="inlineStr">
        <is>
          <t>Contraloría (salario mínimo sectorial)</t>
        </is>
      </c>
      <c r="J36" s="278" t="n">
        <v>5.92</v>
      </c>
      <c r="K36" s="274" t="inlineStr">
        <is>
          <t>Mercado GYE (jornal real)</t>
        </is>
      </c>
      <c r="L36" s="279">
        <f>F36*G36</f>
        <v/>
      </c>
      <c r="M36" s="280" t="inlineStr">
        <is>
          <t>Z-Z10-MOB-C2-AYU-MAQ</t>
        </is>
      </c>
      <c r="N36" s="274" t="inlineStr">
        <is>
          <t>General / coordinación multidisciplinar</t>
        </is>
      </c>
      <c r="O36" s="274" t="inlineStr">
        <is>
          <t>Estimado · SBU 2026 USD 482 × factor de costo horario; tabla Contraloría 2026 no consultable</t>
        </is>
      </c>
      <c r="P36" s="274" t="inlineStr">
        <is>
          <t>oct-2026 (est.)</t>
        </is>
      </c>
      <c r="Q36" s="274" t="n"/>
    </row>
    <row r="37">
      <c r="A37" s="18" t="n">
        <v>23</v>
      </c>
      <c r="B37" s="19" t="inlineStr">
        <is>
          <t xml:space="preserve">        Soldador Calificado — Estructura Ocupacional C2</t>
        </is>
      </c>
      <c r="C37" s="20" t="inlineStr">
        <is>
          <t>Construcción (Comisión Sectorial)</t>
        </is>
      </c>
      <c r="D37" s="18" t="inlineStr">
        <is>
          <t>Mano de Obra C2</t>
        </is>
      </c>
      <c r="E37" s="18" t="inlineStr">
        <is>
          <t>h</t>
        </is>
      </c>
      <c r="F37" s="21" t="n">
        <v>0</v>
      </c>
      <c r="G37" s="22" t="n">
        <v>4.55</v>
      </c>
      <c r="H37" s="22" t="n">
        <v>4.55</v>
      </c>
      <c r="I37" s="18" t="inlineStr">
        <is>
          <t>Contraloría (salario mínimo sectorial)</t>
        </is>
      </c>
      <c r="J37" s="22" t="n">
        <v>5.92</v>
      </c>
      <c r="K37" s="18" t="inlineStr">
        <is>
          <t>Mercado GYE (jornal real)</t>
        </is>
      </c>
      <c r="L37" s="8">
        <f>F37*G37</f>
        <v/>
      </c>
      <c r="M37" s="145" t="inlineStr">
        <is>
          <t>Z-Z10-MOB-C2-SOL</t>
        </is>
      </c>
      <c r="N37" s="18" t="inlineStr">
        <is>
          <t>General / coordinación multidisciplinar</t>
        </is>
      </c>
      <c r="O37" s="18" t="inlineStr">
        <is>
          <t>Estimado · SBU 2026 USD 482 × factor de costo horario; tabla Contraloría 2026 no consultable</t>
        </is>
      </c>
      <c r="P37" s="18" t="inlineStr">
        <is>
          <t>oct-2026 (est.)</t>
        </is>
      </c>
      <c r="Q37" s="18" t="n"/>
    </row>
    <row r="38">
      <c r="A38" s="274" t="n">
        <v>24</v>
      </c>
      <c r="B38" s="275" t="inlineStr">
        <is>
          <t xml:space="preserve">        Técnico Instalador HVAC — Estructura Ocupacional C2</t>
        </is>
      </c>
      <c r="C38" s="276" t="inlineStr">
        <is>
          <t>Construcción (Comisión Sectorial)</t>
        </is>
      </c>
      <c r="D38" s="274" t="inlineStr">
        <is>
          <t>Mano de Obra C2</t>
        </is>
      </c>
      <c r="E38" s="274" t="inlineStr">
        <is>
          <t>h</t>
        </is>
      </c>
      <c r="F38" s="277" t="n">
        <v>0</v>
      </c>
      <c r="G38" s="278" t="n">
        <v>4.55</v>
      </c>
      <c r="H38" s="278" t="n">
        <v>4.55</v>
      </c>
      <c r="I38" s="274" t="inlineStr">
        <is>
          <t>Contraloría (salario mínimo sectorial)</t>
        </is>
      </c>
      <c r="J38" s="278" t="n">
        <v>5.92</v>
      </c>
      <c r="K38" s="274" t="inlineStr">
        <is>
          <t>Mercado GYE (jornal real)</t>
        </is>
      </c>
      <c r="L38" s="279">
        <f>F38*G38</f>
        <v/>
      </c>
      <c r="M38" s="280" t="inlineStr">
        <is>
          <t>Z-Z10-MOB-C2-TEC-HVAC</t>
        </is>
      </c>
      <c r="N38" s="274" t="inlineStr">
        <is>
          <t>General / coordinación multidisciplinar</t>
        </is>
      </c>
      <c r="O38" s="274" t="inlineStr">
        <is>
          <t>Estimado · SBU 2026 USD 482 × factor de costo horario; tabla Contraloría 2026 no consultable</t>
        </is>
      </c>
      <c r="P38" s="274" t="inlineStr">
        <is>
          <t>oct-2026 (est.)</t>
        </is>
      </c>
      <c r="Q38" s="274" t="n"/>
    </row>
    <row r="39">
      <c r="A39" s="18" t="n">
        <v>25</v>
      </c>
      <c r="B39" s="19" t="inlineStr">
        <is>
          <t xml:space="preserve">        Maestro Mayor en Ejecución de Obras Civiles — Estructura Ocupacional C1</t>
        </is>
      </c>
      <c r="C39" s="20" t="inlineStr">
        <is>
          <t>Construcción (Comisión Sectorial)</t>
        </is>
      </c>
      <c r="D39" s="18" t="inlineStr">
        <is>
          <t>Mano de Obra C1</t>
        </is>
      </c>
      <c r="E39" s="18" t="inlineStr">
        <is>
          <t>h</t>
        </is>
      </c>
      <c r="F39" s="21" t="n">
        <v>40</v>
      </c>
      <c r="G39" s="22" t="n">
        <v>4.82</v>
      </c>
      <c r="H39" s="22" t="n">
        <v>4.82</v>
      </c>
      <c r="I39" s="18" t="inlineStr">
        <is>
          <t>Contraloría (salario mínimo sectorial)</t>
        </is>
      </c>
      <c r="J39" s="22" t="n">
        <v>6.27</v>
      </c>
      <c r="K39" s="18" t="inlineStr">
        <is>
          <t>Mercado GYE (jornal real)</t>
        </is>
      </c>
      <c r="L39" s="8">
        <f>F39*G39</f>
        <v/>
      </c>
      <c r="M39" s="145" t="inlineStr">
        <is>
          <t>Z-Z10-MOB-C1-MAE-MAY</t>
        </is>
      </c>
      <c r="N39" s="18" t="inlineStr">
        <is>
          <t>General / coordinación multidisciplinar</t>
        </is>
      </c>
      <c r="O39" s="18" t="inlineStr">
        <is>
          <t>Estimado · SBU 2026 USD 482 × factor de costo horario; tabla Contraloría 2026 no consultable</t>
        </is>
      </c>
      <c r="P39" s="18" t="inlineStr">
        <is>
          <t>oct-2026 (est.)</t>
        </is>
      </c>
      <c r="Q39" s="18" t="n"/>
    </row>
    <row r="40">
      <c r="A40" s="274" t="n">
        <v>26</v>
      </c>
      <c r="B40" s="275" t="inlineStr">
        <is>
          <t xml:space="preserve">        Maestro Eléctrico / Liniero — Estructura Ocupacional C1</t>
        </is>
      </c>
      <c r="C40" s="276" t="inlineStr">
        <is>
          <t>Construcción (Comisión Sectorial)</t>
        </is>
      </c>
      <c r="D40" s="274" t="inlineStr">
        <is>
          <t>Mano de Obra C1</t>
        </is>
      </c>
      <c r="E40" s="274" t="inlineStr">
        <is>
          <t>h</t>
        </is>
      </c>
      <c r="F40" s="277" t="n">
        <v>0</v>
      </c>
      <c r="G40" s="278" t="n">
        <v>4.82</v>
      </c>
      <c r="H40" s="278" t="n">
        <v>4.82</v>
      </c>
      <c r="I40" s="274" t="inlineStr">
        <is>
          <t>Contraloría (salario mínimo sectorial)</t>
        </is>
      </c>
      <c r="J40" s="278" t="n">
        <v>6.27</v>
      </c>
      <c r="K40" s="274" t="inlineStr">
        <is>
          <t>Mercado GYE (jornal real)</t>
        </is>
      </c>
      <c r="L40" s="279">
        <f>F40*G40</f>
        <v/>
      </c>
      <c r="M40" s="280" t="inlineStr">
        <is>
          <t>Z-Z10-MOB-C1-MAE-ELE</t>
        </is>
      </c>
      <c r="N40" s="274" t="inlineStr">
        <is>
          <t>General / coordinación multidisciplinar</t>
        </is>
      </c>
      <c r="O40" s="274" t="inlineStr">
        <is>
          <t>Estimado · SBU 2026 USD 482 × factor de costo horario; tabla Contraloría 2026 no consultable</t>
        </is>
      </c>
      <c r="P40" s="274" t="inlineStr">
        <is>
          <t>oct-2026 (est.)</t>
        </is>
      </c>
      <c r="Q40" s="274" t="n"/>
    </row>
    <row r="41">
      <c r="A41" s="18" t="n">
        <v>27</v>
      </c>
      <c r="B41" s="19" t="inlineStr">
        <is>
          <t xml:space="preserve">        Operador de Equipo Pesado OEP1 (Excavadora, Motoniveladora) — Estructura Ocupacional C1</t>
        </is>
      </c>
      <c r="C41" s="20" t="inlineStr">
        <is>
          <t>Construcción (Comisión Sectorial)</t>
        </is>
      </c>
      <c r="D41" s="18" t="inlineStr">
        <is>
          <t>Mano de Obra C1</t>
        </is>
      </c>
      <c r="E41" s="18" t="inlineStr">
        <is>
          <t>h</t>
        </is>
      </c>
      <c r="F41" s="21" t="n">
        <v>0</v>
      </c>
      <c r="G41" s="22" t="n">
        <v>4.82</v>
      </c>
      <c r="H41" s="22" t="n">
        <v>4.82</v>
      </c>
      <c r="I41" s="18" t="inlineStr">
        <is>
          <t>Contraloría (salario mínimo sectorial)</t>
        </is>
      </c>
      <c r="J41" s="22" t="n">
        <v>6.27</v>
      </c>
      <c r="K41" s="18" t="inlineStr">
        <is>
          <t>Mercado GYE (jornal real)</t>
        </is>
      </c>
      <c r="L41" s="8">
        <f>F41*G41</f>
        <v/>
      </c>
      <c r="M41" s="145" t="inlineStr">
        <is>
          <t>Z-Z10-MOB-C1-OPE-EP1</t>
        </is>
      </c>
      <c r="N41" s="18" t="inlineStr">
        <is>
          <t>General / coordinación multidisciplinar</t>
        </is>
      </c>
      <c r="O41" s="18" t="inlineStr">
        <is>
          <t>Estimado · SBU 2026 USD 482 × factor de costo horario; tabla Contraloría 2026 no consultable</t>
        </is>
      </c>
      <c r="P41" s="18" t="inlineStr">
        <is>
          <t>oct-2026 (est.)</t>
        </is>
      </c>
      <c r="Q41" s="18" t="n"/>
    </row>
    <row r="42">
      <c r="A42" s="274" t="n">
        <v>28</v>
      </c>
      <c r="B42" s="275" t="inlineStr">
        <is>
          <t xml:space="preserve">        Topógrafo — Estructura Ocupacional C1</t>
        </is>
      </c>
      <c r="C42" s="276" t="inlineStr">
        <is>
          <t>Construcción (Comisión Sectorial)</t>
        </is>
      </c>
      <c r="D42" s="274" t="inlineStr">
        <is>
          <t>Mano de Obra C1</t>
        </is>
      </c>
      <c r="E42" s="274" t="inlineStr">
        <is>
          <t>h</t>
        </is>
      </c>
      <c r="F42" s="277" t="n">
        <v>0</v>
      </c>
      <c r="G42" s="278" t="n">
        <v>4.82</v>
      </c>
      <c r="H42" s="278" t="n">
        <v>4.82</v>
      </c>
      <c r="I42" s="274" t="inlineStr">
        <is>
          <t>Contraloría (salario mínimo sectorial)</t>
        </is>
      </c>
      <c r="J42" s="278" t="n">
        <v>6.27</v>
      </c>
      <c r="K42" s="274" t="inlineStr">
        <is>
          <t>Mercado GYE (jornal real)</t>
        </is>
      </c>
      <c r="L42" s="279">
        <f>F42*G42</f>
        <v/>
      </c>
      <c r="M42" s="280" t="inlineStr">
        <is>
          <t>Z-Z10-MOB-C1-TOP</t>
        </is>
      </c>
      <c r="N42" s="274" t="inlineStr">
        <is>
          <t>General / coordinación multidisciplinar</t>
        </is>
      </c>
      <c r="O42" s="274" t="inlineStr">
        <is>
          <t>Estimado · SBU 2026 USD 482 × factor de costo horario; tabla Contraloría 2026 no consultable</t>
        </is>
      </c>
      <c r="P42" s="274" t="inlineStr">
        <is>
          <t>oct-2026 (est.)</t>
        </is>
      </c>
      <c r="Q42" s="274" t="n"/>
    </row>
    <row r="43">
      <c r="A43" s="18" t="n">
        <v>29</v>
      </c>
      <c r="B43" s="19" t="inlineStr">
        <is>
          <t xml:space="preserve">        Chofer Profesional Licencia Tipo E (Volqueta) — Estructura Ocupacional C1</t>
        </is>
      </c>
      <c r="C43" s="20" t="inlineStr">
        <is>
          <t>Construcción (Comisión Sectorial)</t>
        </is>
      </c>
      <c r="D43" s="18" t="inlineStr">
        <is>
          <t>Mano de Obra C1</t>
        </is>
      </c>
      <c r="E43" s="18" t="inlineStr">
        <is>
          <t>h</t>
        </is>
      </c>
      <c r="F43" s="21" t="n">
        <v>0</v>
      </c>
      <c r="G43" s="22" t="n">
        <v>6.32</v>
      </c>
      <c r="H43" s="22" t="n">
        <v>6.32</v>
      </c>
      <c r="I43" s="18" t="inlineStr">
        <is>
          <t>Contraloría (salario mínimo sectorial)</t>
        </is>
      </c>
      <c r="J43" s="22" t="n">
        <v>8.220000000000001</v>
      </c>
      <c r="K43" s="18" t="inlineStr">
        <is>
          <t>Mercado GYE (jornal real)</t>
        </is>
      </c>
      <c r="L43" s="8">
        <f>F43*G43</f>
        <v/>
      </c>
      <c r="M43" s="145" t="inlineStr">
        <is>
          <t>Z-Z10-MOB-C1-CHO-E</t>
        </is>
      </c>
      <c r="N43" s="18" t="inlineStr">
        <is>
          <t>General / coordinación multidisciplinar</t>
        </is>
      </c>
      <c r="O43" s="18" t="inlineStr">
        <is>
          <t>Estimado · SBU 2026 USD 482 × factor de costo horario; tabla Contraloría 2026 no consultable</t>
        </is>
      </c>
      <c r="P43" s="18" t="inlineStr">
        <is>
          <t>oct-2026 (est.)</t>
        </is>
      </c>
      <c r="Q43" s="18" t="n"/>
    </row>
    <row r="44">
      <c r="A44" s="271" t="inlineStr">
        <is>
          <t>DIRECCIÓN TÉCNICA (B3 / B1)</t>
        </is>
      </c>
      <c r="B44" s="143" t="n"/>
      <c r="C44" s="143" t="n"/>
      <c r="D44" s="143" t="n"/>
      <c r="E44" s="143" t="n"/>
      <c r="F44" s="143" t="n"/>
      <c r="G44" s="143" t="n"/>
      <c r="H44" s="143" t="n"/>
      <c r="I44" s="143" t="n"/>
      <c r="J44" s="143" t="n"/>
      <c r="K44" s="143" t="n"/>
      <c r="L44" s="143" t="n"/>
      <c r="M44" s="143" t="n"/>
      <c r="N44" s="143" t="n"/>
      <c r="O44" s="143" t="n"/>
      <c r="P44" s="143" t="n"/>
      <c r="Q44" s="144" t="n"/>
    </row>
    <row r="45">
      <c r="A45" s="272" t="inlineStr">
        <is>
          <t xml:space="preserve">  ► CATEGORÍA: SUPERVISIÓN Y DIRECCIÓN</t>
        </is>
      </c>
      <c r="B45" s="143" t="n"/>
      <c r="C45" s="143" t="n"/>
      <c r="D45" s="143" t="n"/>
      <c r="E45" s="143" t="n"/>
      <c r="F45" s="143" t="n"/>
      <c r="G45" s="143" t="n"/>
      <c r="H45" s="143" t="n"/>
      <c r="I45" s="143" t="n"/>
      <c r="J45" s="143" t="n"/>
      <c r="K45" s="143" t="n"/>
      <c r="L45" s="143" t="n"/>
      <c r="M45" s="143" t="n"/>
      <c r="N45" s="143" t="n"/>
      <c r="O45" s="143" t="n"/>
      <c r="P45" s="143" t="n"/>
      <c r="Q45" s="144" t="n"/>
    </row>
    <row r="46">
      <c r="A46" s="273" t="inlineStr">
        <is>
          <t xml:space="preserve">      • Subcategoría Especificada: Estructuras Ocupacionales B3 y B1 (Profesionales: Honorario de Mercado)</t>
        </is>
      </c>
      <c r="B46" s="143" t="n"/>
      <c r="C46" s="143" t="n"/>
      <c r="D46" s="143" t="n"/>
      <c r="E46" s="143" t="n"/>
      <c r="F46" s="143" t="n"/>
      <c r="G46" s="143" t="n"/>
      <c r="H46" s="143" t="n"/>
      <c r="I46" s="143" t="n"/>
      <c r="J46" s="143" t="n"/>
      <c r="K46" s="143" t="n"/>
      <c r="L46" s="143" t="n"/>
      <c r="M46" s="143" t="n"/>
      <c r="N46" s="143" t="n"/>
      <c r="O46" s="143" t="n"/>
      <c r="P46" s="143" t="n"/>
      <c r="Q46" s="144" t="n"/>
    </row>
    <row r="47">
      <c r="A47" s="274" t="n">
        <v>30</v>
      </c>
      <c r="B47" s="275" t="inlineStr">
        <is>
          <t xml:space="preserve">        Inspector de Obra — Estructura Ocupacional B3</t>
        </is>
      </c>
      <c r="C47" s="276" t="inlineStr">
        <is>
          <t>Construcción (Comisión Sectorial)</t>
        </is>
      </c>
      <c r="D47" s="274" t="inlineStr">
        <is>
          <t>Mano de Obra B3</t>
        </is>
      </c>
      <c r="E47" s="274" t="inlineStr">
        <is>
          <t>h</t>
        </is>
      </c>
      <c r="F47" s="277" t="n">
        <v>0</v>
      </c>
      <c r="G47" s="278" t="n">
        <v>4.86</v>
      </c>
      <c r="H47" s="278" t="n">
        <v>4.86</v>
      </c>
      <c r="I47" s="274" t="inlineStr">
        <is>
          <t>Contraloría (salario mínimo sectorial)</t>
        </is>
      </c>
      <c r="J47" s="278" t="n">
        <v>6.32</v>
      </c>
      <c r="K47" s="274" t="inlineStr">
        <is>
          <t>Mercado GYE (jornal real)</t>
        </is>
      </c>
      <c r="L47" s="279">
        <f>F47*G47</f>
        <v/>
      </c>
      <c r="M47" s="280" t="inlineStr">
        <is>
          <t>Z-Z10-MOB-B3-INS-OBR</t>
        </is>
      </c>
      <c r="N47" s="274" t="inlineStr">
        <is>
          <t>General / coordinación multidisciplinar</t>
        </is>
      </c>
      <c r="O47" s="274" t="inlineStr">
        <is>
          <t>Estimado · SBU 2026 USD 482 × factor de costo horario; tabla Contraloría 2026 no consultable</t>
        </is>
      </c>
      <c r="P47" s="274" t="inlineStr">
        <is>
          <t>oct-2026 (est.)</t>
        </is>
      </c>
      <c r="Q47" s="274" t="n"/>
    </row>
    <row r="48">
      <c r="A48" s="18" t="n">
        <v>31</v>
      </c>
      <c r="B48" s="19" t="inlineStr">
        <is>
          <t xml:space="preserve">        Supervisor Eléctrico General — Estructura Ocupacional B3</t>
        </is>
      </c>
      <c r="C48" s="20" t="inlineStr">
        <is>
          <t>Construcción (Comisión Sectorial)</t>
        </is>
      </c>
      <c r="D48" s="18" t="inlineStr">
        <is>
          <t>Mano de Obra B3</t>
        </is>
      </c>
      <c r="E48" s="18" t="inlineStr">
        <is>
          <t>h</t>
        </is>
      </c>
      <c r="F48" s="21" t="n">
        <v>0</v>
      </c>
      <c r="G48" s="22" t="n">
        <v>4.86</v>
      </c>
      <c r="H48" s="22" t="n">
        <v>4.86</v>
      </c>
      <c r="I48" s="18" t="inlineStr">
        <is>
          <t>Contraloría (salario mínimo sectorial)</t>
        </is>
      </c>
      <c r="J48" s="22" t="n">
        <v>6.32</v>
      </c>
      <c r="K48" s="18" t="inlineStr">
        <is>
          <t>Mercado GYE (jornal real)</t>
        </is>
      </c>
      <c r="L48" s="8">
        <f>F48*G48</f>
        <v/>
      </c>
      <c r="M48" s="145" t="inlineStr">
        <is>
          <t>Z-Z10-MOB-B3-SUP-ELE</t>
        </is>
      </c>
      <c r="N48" s="18" t="inlineStr">
        <is>
          <t>General / coordinación multidisciplinar</t>
        </is>
      </c>
      <c r="O48" s="18" t="inlineStr">
        <is>
          <t>Estimado · SBU 2026 USD 482 × factor de costo horario; tabla Contraloría 2026 no consultable</t>
        </is>
      </c>
      <c r="P48" s="18" t="inlineStr">
        <is>
          <t>oct-2026 (est.)</t>
        </is>
      </c>
      <c r="Q48" s="18" t="n"/>
    </row>
    <row r="49">
      <c r="A49" s="274" t="n">
        <v>32</v>
      </c>
      <c r="B49" s="275" t="inlineStr">
        <is>
          <t xml:space="preserve">        Residente de Obra (Ingeniero/Arquitecto) — Mínimo Sectorial — Estructura Ocupacional B1</t>
        </is>
      </c>
      <c r="C49" s="276" t="inlineStr">
        <is>
          <t>Construcción (Comisión Sectorial)</t>
        </is>
      </c>
      <c r="D49" s="274" t="inlineStr">
        <is>
          <t>Mano de Obra B1</t>
        </is>
      </c>
      <c r="E49" s="274" t="inlineStr">
        <is>
          <t>h</t>
        </is>
      </c>
      <c r="F49" s="277" t="n">
        <v>0</v>
      </c>
      <c r="G49" s="278" t="n">
        <v>4.91</v>
      </c>
      <c r="H49" s="278" t="n">
        <v>4.91</v>
      </c>
      <c r="I49" s="274" t="inlineStr">
        <is>
          <t>Contraloría (salario mínimo sectorial)</t>
        </is>
      </c>
      <c r="J49" s="278" t="n">
        <v>6.38</v>
      </c>
      <c r="K49" s="274" t="inlineStr">
        <is>
          <t>Mercado GYE (jornal real)</t>
        </is>
      </c>
      <c r="L49" s="279">
        <f>F49*G49</f>
        <v/>
      </c>
      <c r="M49" s="280" t="inlineStr">
        <is>
          <t>Z-Z10-MOB-B1-RES-OBR</t>
        </is>
      </c>
      <c r="N49" s="274" t="inlineStr">
        <is>
          <t>General / coordinación multidisciplinar</t>
        </is>
      </c>
      <c r="O49" s="274" t="inlineStr">
        <is>
          <t>Estimado · SBU 2026 USD 482 × factor de costo horario; tabla Contraloría 2026 no consultable</t>
        </is>
      </c>
      <c r="P49" s="274" t="inlineStr">
        <is>
          <t>oct-2026 (est.)</t>
        </is>
      </c>
      <c r="Q49" s="274" t="n"/>
    </row>
    <row r="50">
      <c r="A50" s="18" t="n">
        <v>33</v>
      </c>
      <c r="B50" s="19" t="inlineStr">
        <is>
          <t xml:space="preserve">        Residente de Obra — Honorario de Mercado GYE (mes)</t>
        </is>
      </c>
      <c r="C50" s="20" t="inlineStr">
        <is>
          <t>Construcción</t>
        </is>
      </c>
      <c r="D50" s="18" t="inlineStr">
        <is>
          <t>Honorarios Profesionales</t>
        </is>
      </c>
      <c r="E50" s="18" t="inlineStr">
        <is>
          <t>mes</t>
        </is>
      </c>
      <c r="F50" s="21" t="n">
        <v>0</v>
      </c>
      <c r="G50" s="22" t="n">
        <v>1800</v>
      </c>
      <c r="H50" s="22" t="n">
        <v>1800</v>
      </c>
      <c r="I50" s="18" t="inlineStr">
        <is>
          <t>Contraloría (salario mínimo sectorial)</t>
        </is>
      </c>
      <c r="J50" s="22" t="n">
        <v>1800</v>
      </c>
      <c r="K50" s="18" t="inlineStr">
        <is>
          <t>Mercado GYE (jornal real)</t>
        </is>
      </c>
      <c r="L50" s="8">
        <f>F50*G50</f>
        <v/>
      </c>
      <c r="M50" s="145" t="inlineStr">
        <is>
          <t>Z-Z10-MOB-RES-MES</t>
        </is>
      </c>
      <c r="N50" s="18" t="inlineStr">
        <is>
          <t>General / coordinación multidisciplinar</t>
        </is>
      </c>
      <c r="O50" s="18" t="inlineStr">
        <is>
          <t>Estimado DION · criterio de mercado Guayaquil 2026 (no verificado en tienda)</t>
        </is>
      </c>
      <c r="P50" s="18" t="inlineStr">
        <is>
          <t>oct-2026 (est.)</t>
        </is>
      </c>
      <c r="Q50" s="18" t="n"/>
    </row>
    <row r="51">
      <c r="A51" s="274" t="n">
        <v>34</v>
      </c>
      <c r="B51" s="275" t="inlineStr">
        <is>
          <t xml:space="preserve">        Superintendente / Director de Obra — Honorario de Mercado (mes)</t>
        </is>
      </c>
      <c r="C51" s="276" t="inlineStr">
        <is>
          <t>Construcción</t>
        </is>
      </c>
      <c r="D51" s="274" t="inlineStr">
        <is>
          <t>Honorarios Profesionales</t>
        </is>
      </c>
      <c r="E51" s="274" t="inlineStr">
        <is>
          <t>mes</t>
        </is>
      </c>
      <c r="F51" s="277" t="n">
        <v>0</v>
      </c>
      <c r="G51" s="278" t="n">
        <v>3200</v>
      </c>
      <c r="H51" s="278" t="n">
        <v>3200</v>
      </c>
      <c r="I51" s="274" t="inlineStr">
        <is>
          <t>Contraloría (salario mínimo sectorial)</t>
        </is>
      </c>
      <c r="J51" s="278" t="n">
        <v>3200</v>
      </c>
      <c r="K51" s="274" t="inlineStr">
        <is>
          <t>Mercado GYE (jornal real)</t>
        </is>
      </c>
      <c r="L51" s="279">
        <f>F51*G51</f>
        <v/>
      </c>
      <c r="M51" s="280" t="inlineStr">
        <is>
          <t>Z-Z10-MOB-DIR-MES</t>
        </is>
      </c>
      <c r="N51" s="274" t="inlineStr">
        <is>
          <t>General / coordinación multidisciplinar</t>
        </is>
      </c>
      <c r="O51" s="274" t="inlineStr">
        <is>
          <t>Estimado DION · criterio de mercado Guayaquil 2026 (no verificado en tienda)</t>
        </is>
      </c>
      <c r="P51" s="274" t="inlineStr">
        <is>
          <t>oct-2026 (est.)</t>
        </is>
      </c>
      <c r="Q51" s="274" t="n"/>
    </row>
    <row r="52">
      <c r="A52" s="18" t="n">
        <v>35</v>
      </c>
      <c r="B52" s="19" t="inlineStr">
        <is>
          <t xml:space="preserve">        Técnico de Seguridad y Salud Ocupacional (mes)</t>
        </is>
      </c>
      <c r="C52" s="20" t="inlineStr">
        <is>
          <t>Construcción</t>
        </is>
      </c>
      <c r="D52" s="18" t="inlineStr">
        <is>
          <t>Honorarios Profesionales</t>
        </is>
      </c>
      <c r="E52" s="18" t="inlineStr">
        <is>
          <t>mes</t>
        </is>
      </c>
      <c r="F52" s="21" t="n">
        <v>0</v>
      </c>
      <c r="G52" s="22" t="n">
        <v>1100</v>
      </c>
      <c r="H52" s="22" t="n">
        <v>1100</v>
      </c>
      <c r="I52" s="18" t="inlineStr">
        <is>
          <t>Contraloría (salario mínimo sectorial)</t>
        </is>
      </c>
      <c r="J52" s="22" t="n">
        <v>1100</v>
      </c>
      <c r="K52" s="18" t="inlineStr">
        <is>
          <t>Mercado GYE (jornal real)</t>
        </is>
      </c>
      <c r="L52" s="8">
        <f>F52*G52</f>
        <v/>
      </c>
      <c r="M52" s="145" t="inlineStr">
        <is>
          <t>Z-Z10-MOB-SSO-MES</t>
        </is>
      </c>
      <c r="N52" s="18" t="inlineStr">
        <is>
          <t>General / coordinación multidisciplinar</t>
        </is>
      </c>
      <c r="O52" s="18" t="inlineStr">
        <is>
          <t>Estimado DION · criterio de mercado Guayaquil 2026 (no verificado en tienda)</t>
        </is>
      </c>
      <c r="P52" s="18" t="inlineStr">
        <is>
          <t>oct-2026 (est.)</t>
        </is>
      </c>
      <c r="Q52" s="18" t="n"/>
    </row>
    <row r="53">
      <c r="A53" s="271" t="inlineStr">
        <is>
          <t>REFERENCIAS LEGALES</t>
        </is>
      </c>
      <c r="B53" s="143" t="n"/>
      <c r="C53" s="143" t="n"/>
      <c r="D53" s="143" t="n"/>
      <c r="E53" s="143" t="n"/>
      <c r="F53" s="143" t="n"/>
      <c r="G53" s="143" t="n"/>
      <c r="H53" s="143" t="n"/>
      <c r="I53" s="143" t="n"/>
      <c r="J53" s="143" t="n"/>
      <c r="K53" s="143" t="n"/>
      <c r="L53" s="143" t="n"/>
      <c r="M53" s="143" t="n"/>
      <c r="N53" s="143" t="n"/>
      <c r="O53" s="143" t="n"/>
      <c r="P53" s="143" t="n"/>
      <c r="Q53" s="144" t="n"/>
    </row>
    <row r="54">
      <c r="A54" s="272" t="inlineStr">
        <is>
          <t xml:space="preserve">  ► CATEGORÍA: BASE SALARIAL 2026</t>
        </is>
      </c>
      <c r="B54" s="143" t="n"/>
      <c r="C54" s="143" t="n"/>
      <c r="D54" s="143" t="n"/>
      <c r="E54" s="143" t="n"/>
      <c r="F54" s="143" t="n"/>
      <c r="G54" s="143" t="n"/>
      <c r="H54" s="143" t="n"/>
      <c r="I54" s="143" t="n"/>
      <c r="J54" s="143" t="n"/>
      <c r="K54" s="143" t="n"/>
      <c r="L54" s="143" t="n"/>
      <c r="M54" s="143" t="n"/>
      <c r="N54" s="143" t="n"/>
      <c r="O54" s="143" t="n"/>
      <c r="P54" s="143" t="n"/>
      <c r="Q54" s="144" t="n"/>
    </row>
    <row r="55">
      <c r="A55" s="273" t="inlineStr">
        <is>
          <t xml:space="preserve">      • Subcategoría Especificada: Valores de Referencia para Cálculo de Costo Horario</t>
        </is>
      </c>
      <c r="B55" s="143" t="n"/>
      <c r="C55" s="143" t="n"/>
      <c r="D55" s="143" t="n"/>
      <c r="E55" s="143" t="n"/>
      <c r="F55" s="143" t="n"/>
      <c r="G55" s="143" t="n"/>
      <c r="H55" s="143" t="n"/>
      <c r="I55" s="143" t="n"/>
      <c r="J55" s="143" t="n"/>
      <c r="K55" s="143" t="n"/>
      <c r="L55" s="143" t="n"/>
      <c r="M55" s="143" t="n"/>
      <c r="N55" s="143" t="n"/>
      <c r="O55" s="143" t="n"/>
      <c r="P55" s="143" t="n"/>
      <c r="Q55" s="144" t="n"/>
    </row>
    <row r="56">
      <c r="A56" s="274" t="n">
        <v>36</v>
      </c>
      <c r="B56" s="275" t="inlineStr">
        <is>
          <t xml:space="preserve">        Salario Básico Unificado SBU 2026 (Acuerdo MDT, Ecuador)</t>
        </is>
      </c>
      <c r="C56" s="276" t="inlineStr">
        <is>
          <t>Nacional</t>
        </is>
      </c>
      <c r="D56" s="274" t="inlineStr">
        <is>
          <t>Referencia Legal</t>
        </is>
      </c>
      <c r="E56" s="274" t="inlineStr">
        <is>
          <t>mes</t>
        </is>
      </c>
      <c r="F56" s="277" t="n">
        <v>0</v>
      </c>
      <c r="G56" s="278" t="n">
        <v>482</v>
      </c>
      <c r="H56" s="278" t="n">
        <v>482</v>
      </c>
      <c r="I56" s="274" t="inlineStr">
        <is>
          <t>Contraloría (salario mínimo sectorial)</t>
        </is>
      </c>
      <c r="J56" s="278" t="n">
        <v>482</v>
      </c>
      <c r="K56" s="274" t="inlineStr">
        <is>
          <t>Mercado GYE (jornal real)</t>
        </is>
      </c>
      <c r="L56" s="279">
        <f>F56*G56</f>
        <v/>
      </c>
      <c r="M56" s="280" t="inlineStr">
        <is>
          <t>Z-Z10-MOB-SBU-2026</t>
        </is>
      </c>
      <c r="N56" s="274" t="inlineStr">
        <is>
          <t>General / coordinación multidisciplinar</t>
        </is>
      </c>
      <c r="O56" s="274" t="inlineStr">
        <is>
          <t>Real · Acuerdo Ministerial MDT SBU 2026 = USD 482 (Vistazo 15-12-2025; El Universo / Expreso)</t>
        </is>
      </c>
      <c r="P56" s="274" t="inlineStr">
        <is>
          <t>2025-12-15</t>
        </is>
      </c>
      <c r="Q56" s="274" t="n"/>
    </row>
    <row r="57">
      <c r="A57" s="18" t="n">
        <v>37</v>
      </c>
      <c r="B57" s="19" t="inlineStr">
        <is>
          <t xml:space="preserve">        Factor de Costo Horario (13°, 14°, Aporte Patronal 12.15%, Fondos Reserva, Vacaciones) ≈1.52 × SBU/240 h</t>
        </is>
      </c>
      <c r="C57" s="20" t="inlineStr">
        <is>
          <t>Nacional</t>
        </is>
      </c>
      <c r="D57" s="18" t="inlineStr">
        <is>
          <t>Referencia Legal</t>
        </is>
      </c>
      <c r="E57" s="18" t="inlineStr">
        <is>
          <t>factor</t>
        </is>
      </c>
      <c r="F57" s="21" t="n">
        <v>0</v>
      </c>
      <c r="G57" s="22" t="n">
        <v>1.52</v>
      </c>
      <c r="H57" s="22" t="n">
        <v>1.52</v>
      </c>
      <c r="I57" s="18" t="inlineStr">
        <is>
          <t>Contraloría (salario mínimo sectorial)</t>
        </is>
      </c>
      <c r="J57" s="22" t="n">
        <v>1.52</v>
      </c>
      <c r="K57" s="18" t="inlineStr">
        <is>
          <t>Mercado GYE (jornal real)</t>
        </is>
      </c>
      <c r="L57" s="8">
        <f>F57*G57</f>
        <v/>
      </c>
      <c r="M57" s="145" t="inlineStr">
        <is>
          <t>Z-Z10-MOB-FAC-SAL</t>
        </is>
      </c>
      <c r="N57" s="18" t="inlineStr">
        <is>
          <t>General / coordinación multidisciplinar</t>
        </is>
      </c>
      <c r="O57" s="18" t="inlineStr">
        <is>
          <t>Estimado DION · criterio de mercado Guayaquil 2026 (no verificado en tienda)</t>
        </is>
      </c>
      <c r="P57" s="18" t="inlineStr">
        <is>
          <t>oct-2026 (est.)</t>
        </is>
      </c>
      <c r="Q57" s="18" t="n"/>
    </row>
    <row r="58">
      <c r="A58" s="274" t="n">
        <v>38</v>
      </c>
      <c r="B58" s="275" t="inlineStr">
        <is>
          <t xml:space="preserve">        Herramienta Menor (5% de la Mano de Obra del Rubro)</t>
        </is>
      </c>
      <c r="C58" s="276" t="inlineStr">
        <is>
          <t>Construcción</t>
        </is>
      </c>
      <c r="D58" s="274" t="inlineStr">
        <is>
          <t>Referencia APU</t>
        </is>
      </c>
      <c r="E58" s="274" t="inlineStr">
        <is>
          <t>%</t>
        </is>
      </c>
      <c r="F58" s="277" t="n">
        <v>0</v>
      </c>
      <c r="G58" s="278" t="n">
        <v>5</v>
      </c>
      <c r="H58" s="278" t="n">
        <v>5</v>
      </c>
      <c r="I58" s="274" t="inlineStr">
        <is>
          <t>Contraloría (salario mínimo sectorial)</t>
        </is>
      </c>
      <c r="J58" s="278" t="n">
        <v>5</v>
      </c>
      <c r="K58" s="274" t="inlineStr">
        <is>
          <t>Mercado GYE (jornal real)</t>
        </is>
      </c>
      <c r="L58" s="279">
        <f>F58*G58</f>
        <v/>
      </c>
      <c r="M58" s="280" t="inlineStr">
        <is>
          <t>Z-Z10-MOB-HER-MEN</t>
        </is>
      </c>
      <c r="N58" s="274" t="inlineStr">
        <is>
          <t>General / coordinación multidisciplinar</t>
        </is>
      </c>
      <c r="O58" s="274" t="inlineStr">
        <is>
          <t>Estimado DION · criterio de mercado Guayaquil 2026 (no verificado en tienda)</t>
        </is>
      </c>
      <c r="P58" s="274" t="inlineStr">
        <is>
          <t>oct-2026 (est.)</t>
        </is>
      </c>
      <c r="Q58" s="274" t="n"/>
    </row>
    <row r="59">
      <c r="A59" s="10" t="n"/>
      <c r="B59" s="147" t="inlineStr">
        <is>
          <t>TOTAL BASE DE DATOS MANO DE OBRA (ESTIMADO)</t>
        </is>
      </c>
      <c r="C59" s="148" t="n"/>
      <c r="D59" s="148" t="n"/>
      <c r="E59" s="148" t="n"/>
      <c r="F59" s="148" t="n"/>
      <c r="G59" s="148" t="n"/>
      <c r="H59" s="148" t="n"/>
      <c r="I59" s="148" t="n"/>
      <c r="J59" s="148" t="n"/>
      <c r="K59" s="148" t="n"/>
      <c r="L59" s="30">
        <f>SUM(L6:L58)</f>
        <v/>
      </c>
      <c r="M59" s="30" t="n"/>
      <c r="N59" s="30" t="n"/>
      <c r="O59" s="30" t="n"/>
      <c r="P59" s="30" t="n"/>
      <c r="Q59" s="30" t="n"/>
    </row>
  </sheetData>
  <mergeCells count="16">
    <mergeCell ref="A8:Q8"/>
    <mergeCell ref="A44:Q44"/>
    <mergeCell ref="A6:Q6"/>
    <mergeCell ref="A17:Q17"/>
    <mergeCell ref="A18:Q18"/>
    <mergeCell ref="B59:K59"/>
    <mergeCell ref="A53:Q53"/>
    <mergeCell ref="A34:Q34"/>
    <mergeCell ref="A55:Q55"/>
    <mergeCell ref="A7:Q7"/>
    <mergeCell ref="A54:Q54"/>
    <mergeCell ref="A33:Q33"/>
    <mergeCell ref="A19:Q19"/>
    <mergeCell ref="A45:Q45"/>
    <mergeCell ref="A46:Q46"/>
    <mergeCell ref="A32:Q32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6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8" customWidth="1" min="2" max="2"/>
    <col width="30" customWidth="1" min="3" max="3"/>
    <col width="32" customWidth="1" min="4" max="4"/>
    <col width="8" customWidth="1" min="5" max="5"/>
    <col width="10" customWidth="1" min="6" max="6"/>
    <col width="15" customWidth="1" min="7" max="7"/>
    <col width="16" customWidth="1" min="8" max="8"/>
    <col width="22" customWidth="1" min="9" max="9"/>
    <col width="16" customWidth="1" min="10" max="10"/>
    <col width="20" customWidth="1" min="11" max="11"/>
    <col width="16" customWidth="1" min="12" max="12"/>
    <col width="27" customWidth="1" min="13" max="13"/>
    <col width="30" customWidth="1" min="14" max="14"/>
    <col width="44" customWidth="1" min="15" max="15"/>
    <col width="15" customWidth="1" min="16" max="16"/>
    <col width="14" customWidth="1" min="17" max="17"/>
  </cols>
  <sheetData>
    <row r="1">
      <c r="A1" s="1" t="inlineStr">
        <is>
          <t>BASE DE DATOS COMPLETA DE CATALOGACIÓN: EQUIPOS Y HERRAMIENTAS</t>
        </is>
      </c>
    </row>
    <row r="2">
      <c r="A2" s="2" t="inlineStr">
        <is>
          <t>Estructura Jerárquica Homogénea: Accesorios &gt; Tuberías &gt; Equipos &gt; Conexiones &gt; Equipos Especializados | Degradé por Niveles (Ecuador - USD)</t>
        </is>
      </c>
    </row>
    <row r="3">
      <c r="A3" s="13" t="inlineStr">
        <is>
          <t>« Volver al Índice General</t>
        </is>
      </c>
    </row>
    <row r="5" ht="30" customHeight="1">
      <c r="A5" s="4" t="inlineStr">
        <is>
          <t>Item</t>
        </is>
      </c>
      <c r="B5" s="4" t="inlineStr">
        <is>
          <t>Descripción de Accesorio / Ítem Especificado</t>
        </is>
      </c>
      <c r="C5" s="4" t="inlineStr">
        <is>
          <t>Clasificación / Ámbito de Uso
(Residencial/Comercial/Industrial)</t>
        </is>
      </c>
      <c r="D5" s="4" t="inlineStr">
        <is>
          <t>Tipo / Familia</t>
        </is>
      </c>
      <c r="E5" s="4" t="inlineStr">
        <is>
          <t>Unidad</t>
        </is>
      </c>
      <c r="F5" s="4" t="inlineStr">
        <is>
          <t>Cant.</t>
        </is>
      </c>
      <c r="G5" s="4" t="inlineStr">
        <is>
          <t>P. Ref. Est. ($)</t>
        </is>
      </c>
      <c r="H5" s="4" t="inlineStr">
        <is>
          <t>P. Unit. Local A ($)
(Alquiler local GYE)</t>
        </is>
      </c>
      <c r="I5" s="4" t="inlineStr">
        <is>
          <t>Local A
Especificado</t>
        </is>
      </c>
      <c r="J5" s="4" t="inlineStr">
        <is>
          <t>P. Unit. Local B ($)
(Kywi / Megakywi)</t>
        </is>
      </c>
      <c r="K5" s="4" t="inlineStr">
        <is>
          <t>Local B
Especificado</t>
        </is>
      </c>
      <c r="L5" s="4" t="inlineStr">
        <is>
          <t>Subtotal Est. ($)</t>
        </is>
      </c>
      <c r="M5" s="4" t="inlineStr">
        <is>
          <t>Código DION</t>
        </is>
      </c>
      <c r="N5" s="4" t="inlineStr">
        <is>
          <t>Disciplina</t>
        </is>
      </c>
      <c r="O5" s="4" t="inlineStr">
        <is>
          <t>Fuente del precio</t>
        </is>
      </c>
      <c r="P5" s="4" t="inlineStr">
        <is>
          <t>Fecha precio</t>
        </is>
      </c>
      <c r="Q5" s="4" t="inlineStr">
        <is>
          <t>Rendimiento /
desperdicio %</t>
        </is>
      </c>
    </row>
    <row r="6">
      <c r="A6" s="281" t="inlineStr">
        <is>
          <t>EQUIPO LIVIANO (ALQUILER)</t>
        </is>
      </c>
      <c r="B6" s="143" t="n"/>
      <c r="C6" s="143" t="n"/>
      <c r="D6" s="143" t="n"/>
      <c r="E6" s="143" t="n"/>
      <c r="F6" s="143" t="n"/>
      <c r="G6" s="143" t="n"/>
      <c r="H6" s="143" t="n"/>
      <c r="I6" s="143" t="n"/>
      <c r="J6" s="143" t="n"/>
      <c r="K6" s="143" t="n"/>
      <c r="L6" s="143" t="n"/>
      <c r="M6" s="143" t="n"/>
      <c r="N6" s="143" t="n"/>
      <c r="O6" s="143" t="n"/>
      <c r="P6" s="143" t="n"/>
      <c r="Q6" s="144" t="n"/>
    </row>
    <row r="7">
      <c r="A7" s="282" t="inlineStr">
        <is>
          <t xml:space="preserve">  ► CATEGORÍA: MEZCLA, VIBRADO Y CORTE</t>
        </is>
      </c>
      <c r="B7" s="143" t="n"/>
      <c r="C7" s="143" t="n"/>
      <c r="D7" s="143" t="n"/>
      <c r="E7" s="143" t="n"/>
      <c r="F7" s="143" t="n"/>
      <c r="G7" s="143" t="n"/>
      <c r="H7" s="143" t="n"/>
      <c r="I7" s="143" t="n"/>
      <c r="J7" s="143" t="n"/>
      <c r="K7" s="143" t="n"/>
      <c r="L7" s="143" t="n"/>
      <c r="M7" s="143" t="n"/>
      <c r="N7" s="143" t="n"/>
      <c r="O7" s="143" t="n"/>
      <c r="P7" s="143" t="n"/>
      <c r="Q7" s="144" t="n"/>
    </row>
    <row r="8">
      <c r="A8" s="283" t="inlineStr">
        <is>
          <t xml:space="preserve">      • Subcategoría Especificada: Tarifa por Día</t>
        </is>
      </c>
      <c r="B8" s="143" t="n"/>
      <c r="C8" s="143" t="n"/>
      <c r="D8" s="143" t="n"/>
      <c r="E8" s="143" t="n"/>
      <c r="F8" s="143" t="n"/>
      <c r="G8" s="143" t="n"/>
      <c r="H8" s="143" t="n"/>
      <c r="I8" s="143" t="n"/>
      <c r="J8" s="143" t="n"/>
      <c r="K8" s="143" t="n"/>
      <c r="L8" s="143" t="n"/>
      <c r="M8" s="143" t="n"/>
      <c r="N8" s="143" t="n"/>
      <c r="O8" s="143" t="n"/>
      <c r="P8" s="143" t="n"/>
      <c r="Q8" s="144" t="n"/>
    </row>
    <row r="9">
      <c r="A9" s="18" t="n">
        <v>1</v>
      </c>
      <c r="B9" s="19" t="inlineStr">
        <is>
          <t xml:space="preserve">        Concretera 1 Saco (Alquiler Día)</t>
        </is>
      </c>
      <c r="C9" s="20" t="inlineStr">
        <is>
          <t>Residencial / Comercial</t>
        </is>
      </c>
      <c r="D9" s="18" t="inlineStr">
        <is>
          <t>Mezcla</t>
        </is>
      </c>
      <c r="E9" s="18" t="inlineStr">
        <is>
          <t>día</t>
        </is>
      </c>
      <c r="F9" s="21" t="n">
        <v>20</v>
      </c>
      <c r="G9" s="22" t="n">
        <v>28</v>
      </c>
      <c r="H9" s="22" t="n">
        <v>28.84</v>
      </c>
      <c r="I9" s="18" t="inlineStr">
        <is>
          <t>Alquiler local GYE</t>
        </is>
      </c>
      <c r="J9" s="22" t="n">
        <v>29.96</v>
      </c>
      <c r="K9" s="18" t="inlineStr">
        <is>
          <t>Kywi / Megakywi</t>
        </is>
      </c>
      <c r="L9" s="8">
        <f>F9*G9</f>
        <v/>
      </c>
      <c r="M9" s="145" t="inlineStr">
        <is>
          <t>Z-Z10-EQH-ALQ-CON-1S</t>
        </is>
      </c>
      <c r="N9" s="18" t="inlineStr">
        <is>
          <t>General / coordinación multidisciplinar</t>
        </is>
      </c>
      <c r="O9" s="18" t="inlineStr">
        <is>
          <t>Estimado DION · criterio de mercado Guayaquil 2026 (no verificado en tienda)</t>
        </is>
      </c>
      <c r="P9" s="18" t="inlineStr">
        <is>
          <t>oct-2026 (est.)</t>
        </is>
      </c>
      <c r="Q9" s="18" t="n"/>
    </row>
    <row r="10">
      <c r="A10" s="284" t="n">
        <v>2</v>
      </c>
      <c r="B10" s="285" t="inlineStr">
        <is>
          <t xml:space="preserve">        Vibrador de Hormigón (Alquiler Día)</t>
        </is>
      </c>
      <c r="C10" s="286" t="inlineStr">
        <is>
          <t>Residencial / Comercial</t>
        </is>
      </c>
      <c r="D10" s="284" t="inlineStr">
        <is>
          <t>Vibrado</t>
        </is>
      </c>
      <c r="E10" s="284" t="inlineStr">
        <is>
          <t>día</t>
        </is>
      </c>
      <c r="F10" s="287" t="n">
        <v>20</v>
      </c>
      <c r="G10" s="288" t="n">
        <v>22</v>
      </c>
      <c r="H10" s="288" t="n">
        <v>22.66</v>
      </c>
      <c r="I10" s="284" t="inlineStr">
        <is>
          <t>Alquiler local GYE</t>
        </is>
      </c>
      <c r="J10" s="288" t="n">
        <v>24.42</v>
      </c>
      <c r="K10" s="284" t="inlineStr">
        <is>
          <t>Kywi / Megakywi</t>
        </is>
      </c>
      <c r="L10" s="289">
        <f>F10*G10</f>
        <v/>
      </c>
      <c r="M10" s="290" t="inlineStr">
        <is>
          <t>Z-Z10-EQH-ALQ-VIB</t>
        </is>
      </c>
      <c r="N10" s="284" t="inlineStr">
        <is>
          <t>General / coordinación multidisciplinar</t>
        </is>
      </c>
      <c r="O10" s="284" t="inlineStr">
        <is>
          <t>Estimado DION · criterio de mercado Guayaquil 2026 (no verificado en tienda)</t>
        </is>
      </c>
      <c r="P10" s="284" t="inlineStr">
        <is>
          <t>oct-2026 (est.)</t>
        </is>
      </c>
      <c r="Q10" s="284" t="n"/>
    </row>
    <row r="11">
      <c r="A11" s="18" t="n">
        <v>3</v>
      </c>
      <c r="B11" s="19" t="inlineStr">
        <is>
          <t xml:space="preserve">        Regla Vibratoria (Alquiler Día)</t>
        </is>
      </c>
      <c r="C11" s="20" t="inlineStr">
        <is>
          <t>Residencial / Comercial</t>
        </is>
      </c>
      <c r="D11" s="18" t="inlineStr">
        <is>
          <t>Vibrado</t>
        </is>
      </c>
      <c r="E11" s="18" t="inlineStr">
        <is>
          <t>día</t>
        </is>
      </c>
      <c r="F11" s="21" t="n">
        <v>5</v>
      </c>
      <c r="G11" s="22" t="n">
        <v>35</v>
      </c>
      <c r="H11" s="22" t="n">
        <v>36.75</v>
      </c>
      <c r="I11" s="18" t="inlineStr">
        <is>
          <t>Alquiler local GYE</t>
        </is>
      </c>
      <c r="J11" s="22" t="n">
        <v>37.8</v>
      </c>
      <c r="K11" s="18" t="inlineStr">
        <is>
          <t>Kywi / Megakywi</t>
        </is>
      </c>
      <c r="L11" s="8">
        <f>F11*G11</f>
        <v/>
      </c>
      <c r="M11" s="145" t="inlineStr">
        <is>
          <t>Z-Z10-EQH-ALQ-REG-VIB</t>
        </is>
      </c>
      <c r="N11" s="18" t="inlineStr">
        <is>
          <t>General / coordinación multidisciplinar</t>
        </is>
      </c>
      <c r="O11" s="18" t="inlineStr">
        <is>
          <t>Estimado DION · criterio de mercado Guayaquil 2026 (no verificado en tienda)</t>
        </is>
      </c>
      <c r="P11" s="18" t="inlineStr">
        <is>
          <t>oct-2026 (est.)</t>
        </is>
      </c>
      <c r="Q11" s="18" t="n"/>
    </row>
    <row r="12">
      <c r="A12" s="284" t="n">
        <v>4</v>
      </c>
      <c r="B12" s="285" t="inlineStr">
        <is>
          <t xml:space="preserve">        Cortadora de Piso (Alquiler Día)</t>
        </is>
      </c>
      <c r="C12" s="286" t="inlineStr">
        <is>
          <t>Residencial / Comercial</t>
        </is>
      </c>
      <c r="D12" s="284" t="inlineStr">
        <is>
          <t>Corte</t>
        </is>
      </c>
      <c r="E12" s="284" t="inlineStr">
        <is>
          <t>día</t>
        </is>
      </c>
      <c r="F12" s="287" t="n">
        <v>3</v>
      </c>
      <c r="G12" s="288" t="n">
        <v>45</v>
      </c>
      <c r="H12" s="288" t="n">
        <v>46.8</v>
      </c>
      <c r="I12" s="284" t="inlineStr">
        <is>
          <t>Alquiler local GYE</t>
        </is>
      </c>
      <c r="J12" s="288" t="n">
        <v>49.05</v>
      </c>
      <c r="K12" s="284" t="inlineStr">
        <is>
          <t>Kywi / Megakywi</t>
        </is>
      </c>
      <c r="L12" s="289">
        <f>F12*G12</f>
        <v/>
      </c>
      <c r="M12" s="290" t="inlineStr">
        <is>
          <t>Z-Z10-EQH-ALQ-COR-PIS</t>
        </is>
      </c>
      <c r="N12" s="284" t="inlineStr">
        <is>
          <t>General / coordinación multidisciplinar</t>
        </is>
      </c>
      <c r="O12" s="284" t="inlineStr">
        <is>
          <t>Estimado DION · criterio de mercado Guayaquil 2026 (no verificado en tienda)</t>
        </is>
      </c>
      <c r="P12" s="284" t="inlineStr">
        <is>
          <t>oct-2026 (est.)</t>
        </is>
      </c>
      <c r="Q12" s="284" t="n"/>
    </row>
    <row r="13">
      <c r="A13" s="18" t="n">
        <v>5</v>
      </c>
      <c r="B13" s="19" t="inlineStr">
        <is>
          <t xml:space="preserve">        Martillo Demoledor 15 kg (Alquiler Día)</t>
        </is>
      </c>
      <c r="C13" s="20" t="inlineStr">
        <is>
          <t>Residencial / Comercial</t>
        </is>
      </c>
      <c r="D13" s="18" t="inlineStr">
        <is>
          <t>Demolición</t>
        </is>
      </c>
      <c r="E13" s="18" t="inlineStr">
        <is>
          <t>día</t>
        </is>
      </c>
      <c r="F13" s="21" t="n">
        <v>5</v>
      </c>
      <c r="G13" s="22" t="n">
        <v>32</v>
      </c>
      <c r="H13" s="22" t="n">
        <v>32.96</v>
      </c>
      <c r="I13" s="18" t="inlineStr">
        <is>
          <t>Alquiler local GYE</t>
        </is>
      </c>
      <c r="J13" s="22" t="n">
        <v>34.56</v>
      </c>
      <c r="K13" s="18" t="inlineStr">
        <is>
          <t>Kywi / Megakywi</t>
        </is>
      </c>
      <c r="L13" s="8">
        <f>F13*G13</f>
        <v/>
      </c>
      <c r="M13" s="145" t="inlineStr">
        <is>
          <t>Z-Z10-EQH-ALQ-MAR-DEM</t>
        </is>
      </c>
      <c r="N13" s="18" t="inlineStr">
        <is>
          <t>General / coordinación multidisciplinar</t>
        </is>
      </c>
      <c r="O13" s="18" t="inlineStr">
        <is>
          <t>Estimado DION · criterio de mercado Guayaquil 2026 (no verificado en tienda)</t>
        </is>
      </c>
      <c r="P13" s="18" t="inlineStr">
        <is>
          <t>oct-2026 (est.)</t>
        </is>
      </c>
      <c r="Q13" s="18" t="n"/>
    </row>
    <row r="14">
      <c r="A14" s="284" t="n">
        <v>6</v>
      </c>
      <c r="B14" s="285" t="inlineStr">
        <is>
          <t xml:space="preserve">        Rotomartillo SDS Max (Alquiler Día)</t>
        </is>
      </c>
      <c r="C14" s="286" t="inlineStr">
        <is>
          <t>Residencial / Comercial</t>
        </is>
      </c>
      <c r="D14" s="284" t="inlineStr">
        <is>
          <t>Perforación</t>
        </is>
      </c>
      <c r="E14" s="284" t="inlineStr">
        <is>
          <t>día</t>
        </is>
      </c>
      <c r="F14" s="287" t="n">
        <v>5</v>
      </c>
      <c r="G14" s="288" t="n">
        <v>18</v>
      </c>
      <c r="H14" s="288" t="n">
        <v>18.9</v>
      </c>
      <c r="I14" s="284" t="inlineStr">
        <is>
          <t>Alquiler local GYE</t>
        </is>
      </c>
      <c r="J14" s="288" t="n">
        <v>19.98</v>
      </c>
      <c r="K14" s="284" t="inlineStr">
        <is>
          <t>Kywi / Megakywi</t>
        </is>
      </c>
      <c r="L14" s="289">
        <f>F14*G14</f>
        <v/>
      </c>
      <c r="M14" s="290" t="inlineStr">
        <is>
          <t>Z-Z10-EQH-ALQ-ROT</t>
        </is>
      </c>
      <c r="N14" s="284" t="inlineStr">
        <is>
          <t>General / coordinación multidisciplinar</t>
        </is>
      </c>
      <c r="O14" s="284" t="inlineStr">
        <is>
          <t>Estimado DION · criterio de mercado Guayaquil 2026 (no verificado en tienda)</t>
        </is>
      </c>
      <c r="P14" s="284" t="inlineStr">
        <is>
          <t>oct-2026 (est.)</t>
        </is>
      </c>
      <c r="Q14" s="284" t="n"/>
    </row>
    <row r="15">
      <c r="A15" s="18" t="n">
        <v>7</v>
      </c>
      <c r="B15" s="19" t="inlineStr">
        <is>
          <t xml:space="preserve">        Generador Portátil 5 kW (Alquiler Día)</t>
        </is>
      </c>
      <c r="C15" s="20" t="inlineStr">
        <is>
          <t>Residencial / Comercial</t>
        </is>
      </c>
      <c r="D15" s="18" t="inlineStr">
        <is>
          <t>Energía</t>
        </is>
      </c>
      <c r="E15" s="18" t="inlineStr">
        <is>
          <t>día</t>
        </is>
      </c>
      <c r="F15" s="21" t="n">
        <v>5</v>
      </c>
      <c r="G15" s="22" t="n">
        <v>30</v>
      </c>
      <c r="H15" s="22" t="n">
        <v>31.5</v>
      </c>
      <c r="I15" s="18" t="inlineStr">
        <is>
          <t>Alquiler local GYE</t>
        </is>
      </c>
      <c r="J15" s="22" t="n">
        <v>32.4</v>
      </c>
      <c r="K15" s="18" t="inlineStr">
        <is>
          <t>Kywi / Megakywi</t>
        </is>
      </c>
      <c r="L15" s="8">
        <f>F15*G15</f>
        <v/>
      </c>
      <c r="M15" s="145" t="inlineStr">
        <is>
          <t>Z-Z10-EQH-ALQ-GEN-5KW</t>
        </is>
      </c>
      <c r="N15" s="18" t="inlineStr">
        <is>
          <t>General / coordinación multidisciplinar</t>
        </is>
      </c>
      <c r="O15" s="18" t="inlineStr">
        <is>
          <t>Estimado DION · criterio de mercado Guayaquil 2026 (no verificado en tienda)</t>
        </is>
      </c>
      <c r="P15" s="18" t="inlineStr">
        <is>
          <t>oct-2026 (est.)</t>
        </is>
      </c>
      <c r="Q15" s="18" t="n"/>
    </row>
    <row r="16">
      <c r="A16" s="284" t="n">
        <v>8</v>
      </c>
      <c r="B16" s="285" t="inlineStr">
        <is>
          <t xml:space="preserve">        Motobomba 3" (Alquiler Día)</t>
        </is>
      </c>
      <c r="C16" s="286" t="inlineStr">
        <is>
          <t>Residencial / Comercial</t>
        </is>
      </c>
      <c r="D16" s="284" t="inlineStr">
        <is>
          <t>Achique</t>
        </is>
      </c>
      <c r="E16" s="284" t="inlineStr">
        <is>
          <t>día</t>
        </is>
      </c>
      <c r="F16" s="287" t="n">
        <v>5</v>
      </c>
      <c r="G16" s="288" t="n">
        <v>25</v>
      </c>
      <c r="H16" s="288" t="n">
        <v>26.25</v>
      </c>
      <c r="I16" s="284" t="inlineStr">
        <is>
          <t>Alquiler local GYE</t>
        </is>
      </c>
      <c r="J16" s="288" t="n">
        <v>27.5</v>
      </c>
      <c r="K16" s="284" t="inlineStr">
        <is>
          <t>Kywi / Megakywi</t>
        </is>
      </c>
      <c r="L16" s="289">
        <f>F16*G16</f>
        <v/>
      </c>
      <c r="M16" s="290" t="inlineStr">
        <is>
          <t>Z-Z10-EQH-ALQ-BOM-3IN</t>
        </is>
      </c>
      <c r="N16" s="284" t="inlineStr">
        <is>
          <t>General / coordinación multidisciplinar</t>
        </is>
      </c>
      <c r="O16" s="284" t="inlineStr">
        <is>
          <t>Estimado DION · criterio de mercado Guayaquil 2026 (no verificado en tienda)</t>
        </is>
      </c>
      <c r="P16" s="284" t="inlineStr">
        <is>
          <t>oct-2026 (est.)</t>
        </is>
      </c>
      <c r="Q16" s="284" t="n"/>
    </row>
    <row r="17">
      <c r="A17" s="18" t="n">
        <v>9</v>
      </c>
      <c r="B17" s="19" t="inlineStr">
        <is>
          <t xml:space="preserve">        Soldadora (Alquiler Día)</t>
        </is>
      </c>
      <c r="C17" s="20" t="inlineStr">
        <is>
          <t>Residencial / Comercial</t>
        </is>
      </c>
      <c r="D17" s="18" t="inlineStr">
        <is>
          <t>Soldadura</t>
        </is>
      </c>
      <c r="E17" s="18" t="inlineStr">
        <is>
          <t>día</t>
        </is>
      </c>
      <c r="F17" s="21" t="n">
        <v>5</v>
      </c>
      <c r="G17" s="22" t="n">
        <v>20</v>
      </c>
      <c r="H17" s="22" t="n">
        <v>20.4</v>
      </c>
      <c r="I17" s="18" t="inlineStr">
        <is>
          <t>Alquiler local GYE</t>
        </is>
      </c>
      <c r="J17" s="22" t="n">
        <v>21.4</v>
      </c>
      <c r="K17" s="18" t="inlineStr">
        <is>
          <t>Kywi / Megakywi</t>
        </is>
      </c>
      <c r="L17" s="8">
        <f>F17*G17</f>
        <v/>
      </c>
      <c r="M17" s="145" t="inlineStr">
        <is>
          <t>Z-Z10-EQH-ALQ-SOL</t>
        </is>
      </c>
      <c r="N17" s="18" t="inlineStr">
        <is>
          <t>General / coordinación multidisciplinar</t>
        </is>
      </c>
      <c r="O17" s="18" t="inlineStr">
        <is>
          <t>Estimado DION · criterio de mercado Guayaquil 2026 (no verificado en tienda)</t>
        </is>
      </c>
      <c r="P17" s="18" t="inlineStr">
        <is>
          <t>oct-2026 (est.)</t>
        </is>
      </c>
      <c r="Q17" s="18" t="n"/>
    </row>
    <row r="18">
      <c r="A18" s="284" t="n">
        <v>10</v>
      </c>
      <c r="B18" s="285" t="inlineStr">
        <is>
          <t xml:space="preserve">        Allanadora / Helicóptero (Alquiler Día)</t>
        </is>
      </c>
      <c r="C18" s="286" t="inlineStr">
        <is>
          <t>Residencial / Comercial</t>
        </is>
      </c>
      <c r="D18" s="284" t="inlineStr">
        <is>
          <t>Acabado</t>
        </is>
      </c>
      <c r="E18" s="284" t="inlineStr">
        <is>
          <t>día</t>
        </is>
      </c>
      <c r="F18" s="287" t="n">
        <v>3</v>
      </c>
      <c r="G18" s="288" t="n">
        <v>45</v>
      </c>
      <c r="H18" s="288" t="n">
        <v>46.8</v>
      </c>
      <c r="I18" s="284" t="inlineStr">
        <is>
          <t>Alquiler local GYE</t>
        </is>
      </c>
      <c r="J18" s="288" t="n">
        <v>49.05</v>
      </c>
      <c r="K18" s="284" t="inlineStr">
        <is>
          <t>Kywi / Megakywi</t>
        </is>
      </c>
      <c r="L18" s="289">
        <f>F18*G18</f>
        <v/>
      </c>
      <c r="M18" s="290" t="inlineStr">
        <is>
          <t>Z-Z10-EQH-ALQ-ALL</t>
        </is>
      </c>
      <c r="N18" s="284" t="inlineStr">
        <is>
          <t>General / coordinación multidisciplinar</t>
        </is>
      </c>
      <c r="O18" s="284" t="inlineStr">
        <is>
          <t>Estimado DION · criterio de mercado Guayaquil 2026 (no verificado en tienda)</t>
        </is>
      </c>
      <c r="P18" s="284" t="inlineStr">
        <is>
          <t>oct-2026 (est.)</t>
        </is>
      </c>
      <c r="Q18" s="284" t="n"/>
    </row>
    <row r="19">
      <c r="A19" s="18" t="n">
        <v>11</v>
      </c>
      <c r="B19" s="19" t="inlineStr">
        <is>
          <t xml:space="preserve">        Hidrolavadora 3000 PSI (Alquiler Día)</t>
        </is>
      </c>
      <c r="C19" s="20" t="inlineStr">
        <is>
          <t>Residencial / Comercial</t>
        </is>
      </c>
      <c r="D19" s="18" t="inlineStr">
        <is>
          <t>Limpieza</t>
        </is>
      </c>
      <c r="E19" s="18" t="inlineStr">
        <is>
          <t>día</t>
        </is>
      </c>
      <c r="F19" s="21" t="n">
        <v>3</v>
      </c>
      <c r="G19" s="22" t="n">
        <v>30</v>
      </c>
      <c r="H19" s="22" t="n">
        <v>30.6</v>
      </c>
      <c r="I19" s="18" t="inlineStr">
        <is>
          <t>Alquiler local GYE</t>
        </is>
      </c>
      <c r="J19" s="22" t="n">
        <v>32.1</v>
      </c>
      <c r="K19" s="18" t="inlineStr">
        <is>
          <t>Kywi / Megakywi</t>
        </is>
      </c>
      <c r="L19" s="8">
        <f>F19*G19</f>
        <v/>
      </c>
      <c r="M19" s="145" t="inlineStr">
        <is>
          <t>Z-Z10-EQH-ALQ-HID</t>
        </is>
      </c>
      <c r="N19" s="18" t="inlineStr">
        <is>
          <t>General / coordinación multidisciplinar</t>
        </is>
      </c>
      <c r="O19" s="18" t="inlineStr">
        <is>
          <t>Estimado DION · criterio de mercado Guayaquil 2026 (no verificado en tienda)</t>
        </is>
      </c>
      <c r="P19" s="18" t="inlineStr">
        <is>
          <t>oct-2026 (est.)</t>
        </is>
      </c>
      <c r="Q19" s="18" t="n"/>
    </row>
    <row r="20">
      <c r="A20" s="281" t="inlineStr">
        <is>
          <t>ANDAMIOS Y ENCOFRADOS (ALQUILER)</t>
        </is>
      </c>
      <c r="B20" s="143" t="n"/>
      <c r="C20" s="143" t="n"/>
      <c r="D20" s="143" t="n"/>
      <c r="E20" s="143" t="n"/>
      <c r="F20" s="143" t="n"/>
      <c r="G20" s="143" t="n"/>
      <c r="H20" s="143" t="n"/>
      <c r="I20" s="143" t="n"/>
      <c r="J20" s="143" t="n"/>
      <c r="K20" s="143" t="n"/>
      <c r="L20" s="143" t="n"/>
      <c r="M20" s="143" t="n"/>
      <c r="N20" s="143" t="n"/>
      <c r="O20" s="143" t="n"/>
      <c r="P20" s="143" t="n"/>
      <c r="Q20" s="144" t="n"/>
    </row>
    <row r="21">
      <c r="A21" s="282" t="inlineStr">
        <is>
          <t xml:space="preserve">  ► CATEGORÍA: ANDAMIOS, PUNTALES Y ENCOFRADO METÁLICO</t>
        </is>
      </c>
      <c r="B21" s="143" t="n"/>
      <c r="C21" s="143" t="n"/>
      <c r="D21" s="143" t="n"/>
      <c r="E21" s="143" t="n"/>
      <c r="F21" s="143" t="n"/>
      <c r="G21" s="143" t="n"/>
      <c r="H21" s="143" t="n"/>
      <c r="I21" s="143" t="n"/>
      <c r="J21" s="143" t="n"/>
      <c r="K21" s="143" t="n"/>
      <c r="L21" s="143" t="n"/>
      <c r="M21" s="143" t="n"/>
      <c r="N21" s="143" t="n"/>
      <c r="O21" s="143" t="n"/>
      <c r="P21" s="143" t="n"/>
      <c r="Q21" s="144" t="n"/>
    </row>
    <row r="22">
      <c r="A22" s="283" t="inlineStr">
        <is>
          <t xml:space="preserve">      • Subcategoría Especificada: Tarifa por Mes</t>
        </is>
      </c>
      <c r="B22" s="143" t="n"/>
      <c r="C22" s="143" t="n"/>
      <c r="D22" s="143" t="n"/>
      <c r="E22" s="143" t="n"/>
      <c r="F22" s="143" t="n"/>
      <c r="G22" s="143" t="n"/>
      <c r="H22" s="143" t="n"/>
      <c r="I22" s="143" t="n"/>
      <c r="J22" s="143" t="n"/>
      <c r="K22" s="143" t="n"/>
      <c r="L22" s="143" t="n"/>
      <c r="M22" s="143" t="n"/>
      <c r="N22" s="143" t="n"/>
      <c r="O22" s="143" t="n"/>
      <c r="P22" s="143" t="n"/>
      <c r="Q22" s="144" t="n"/>
    </row>
    <row r="23">
      <c r="A23" s="284" t="n">
        <v>12</v>
      </c>
      <c r="B23" s="285" t="inlineStr">
        <is>
          <t xml:space="preserve">        Andamio Tubular Cuerpo Completo (Alquiler Mes)</t>
        </is>
      </c>
      <c r="C23" s="286" t="inlineStr">
        <is>
          <t>Residencial / Comercial</t>
        </is>
      </c>
      <c r="D23" s="284" t="inlineStr">
        <is>
          <t>Andamios</t>
        </is>
      </c>
      <c r="E23" s="284" t="inlineStr">
        <is>
          <t>mes</t>
        </is>
      </c>
      <c r="F23" s="287" t="n">
        <v>20</v>
      </c>
      <c r="G23" s="288" t="n">
        <v>12</v>
      </c>
      <c r="H23" s="288" t="n">
        <v>12.48</v>
      </c>
      <c r="I23" s="284" t="inlineStr">
        <is>
          <t>Alquiler local GYE</t>
        </is>
      </c>
      <c r="J23" s="288" t="n">
        <v>13.32</v>
      </c>
      <c r="K23" s="284" t="inlineStr">
        <is>
          <t>Kywi / Megakywi</t>
        </is>
      </c>
      <c r="L23" s="289">
        <f>F23*G23</f>
        <v/>
      </c>
      <c r="M23" s="290" t="inlineStr">
        <is>
          <t>Z-Z10-EQH-ALQ-AND-CUE</t>
        </is>
      </c>
      <c r="N23" s="284" t="inlineStr">
        <is>
          <t>General / coordinación multidisciplinar</t>
        </is>
      </c>
      <c r="O23" s="284" t="inlineStr">
        <is>
          <t>Estimado DION · criterio de mercado Guayaquil 2026 (no verificado en tienda)</t>
        </is>
      </c>
      <c r="P23" s="284" t="inlineStr">
        <is>
          <t>oct-2026 (est.)</t>
        </is>
      </c>
      <c r="Q23" s="284" t="n"/>
    </row>
    <row r="24">
      <c r="A24" s="18" t="n">
        <v>13</v>
      </c>
      <c r="B24" s="19" t="inlineStr">
        <is>
          <t xml:space="preserve">        Tablón Metálico para Andamio (Alquiler Mes)</t>
        </is>
      </c>
      <c r="C24" s="20" t="inlineStr">
        <is>
          <t>Residencial / Comercial</t>
        </is>
      </c>
      <c r="D24" s="18" t="inlineStr">
        <is>
          <t>Andamios</t>
        </is>
      </c>
      <c r="E24" s="18" t="inlineStr">
        <is>
          <t>mes</t>
        </is>
      </c>
      <c r="F24" s="21" t="n">
        <v>40</v>
      </c>
      <c r="G24" s="22" t="n">
        <v>3</v>
      </c>
      <c r="H24" s="22" t="n">
        <v>3.15</v>
      </c>
      <c r="I24" s="18" t="inlineStr">
        <is>
          <t>Alquiler local GYE</t>
        </is>
      </c>
      <c r="J24" s="22" t="n">
        <v>3.3</v>
      </c>
      <c r="K24" s="18" t="inlineStr">
        <is>
          <t>Kywi / Megakywi</t>
        </is>
      </c>
      <c r="L24" s="8">
        <f>F24*G24</f>
        <v/>
      </c>
      <c r="M24" s="145" t="inlineStr">
        <is>
          <t>Z-Z10-EQH-ALQ-AND-TAB</t>
        </is>
      </c>
      <c r="N24" s="18" t="inlineStr">
        <is>
          <t>General / coordinación multidisciplinar</t>
        </is>
      </c>
      <c r="O24" s="18" t="inlineStr">
        <is>
          <t>Estimado DION · criterio de mercado Guayaquil 2026 (no verificado en tienda)</t>
        </is>
      </c>
      <c r="P24" s="18" t="inlineStr">
        <is>
          <t>oct-2026 (est.)</t>
        </is>
      </c>
      <c r="Q24" s="18" t="n"/>
    </row>
    <row r="25">
      <c r="A25" s="284" t="n">
        <v>14</v>
      </c>
      <c r="B25" s="285" t="inlineStr">
        <is>
          <t xml:space="preserve">        Puntal Metálico Telescópico (Alquiler Mes)</t>
        </is>
      </c>
      <c r="C25" s="286" t="inlineStr">
        <is>
          <t>Residencial / Comercial</t>
        </is>
      </c>
      <c r="D25" s="284" t="inlineStr">
        <is>
          <t>Puntales</t>
        </is>
      </c>
      <c r="E25" s="284" t="inlineStr">
        <is>
          <t>mes</t>
        </is>
      </c>
      <c r="F25" s="287" t="n">
        <v>200</v>
      </c>
      <c r="G25" s="288" t="n">
        <v>1.6</v>
      </c>
      <c r="H25" s="288" t="n">
        <v>1.65</v>
      </c>
      <c r="I25" s="284" t="inlineStr">
        <is>
          <t>Alquiler local GYE</t>
        </is>
      </c>
      <c r="J25" s="288" t="n">
        <v>1.74</v>
      </c>
      <c r="K25" s="284" t="inlineStr">
        <is>
          <t>Kywi / Megakywi</t>
        </is>
      </c>
      <c r="L25" s="289">
        <f>F25*G25</f>
        <v/>
      </c>
      <c r="M25" s="290" t="inlineStr">
        <is>
          <t>Z-Z10-EQH-ALQ-PUN</t>
        </is>
      </c>
      <c r="N25" s="284" t="inlineStr">
        <is>
          <t>General / coordinación multidisciplinar</t>
        </is>
      </c>
      <c r="O25" s="284" t="inlineStr">
        <is>
          <t>Estimado DION · criterio de mercado Guayaquil 2026 (no verificado en tienda)</t>
        </is>
      </c>
      <c r="P25" s="284" t="inlineStr">
        <is>
          <t>oct-2026 (est.)</t>
        </is>
      </c>
      <c r="Q25" s="284" t="n"/>
    </row>
    <row r="26">
      <c r="A26" s="18" t="n">
        <v>15</v>
      </c>
      <c r="B26" s="19" t="inlineStr">
        <is>
          <t xml:space="preserve">        Encofrado Metálico de Losa (m², Alquiler Mes)</t>
        </is>
      </c>
      <c r="C26" s="20" t="inlineStr">
        <is>
          <t>Residencial / Comercial</t>
        </is>
      </c>
      <c r="D26" s="18" t="inlineStr">
        <is>
          <t>Encofrados</t>
        </is>
      </c>
      <c r="E26" s="18" t="inlineStr">
        <is>
          <t>mes</t>
        </is>
      </c>
      <c r="F26" s="21" t="n">
        <v>300</v>
      </c>
      <c r="G26" s="22" t="n">
        <v>2.8</v>
      </c>
      <c r="H26" s="22" t="n">
        <v>2.94</v>
      </c>
      <c r="I26" s="18" t="inlineStr">
        <is>
          <t>Alquiler local GYE</t>
        </is>
      </c>
      <c r="J26" s="22" t="n">
        <v>3.05</v>
      </c>
      <c r="K26" s="18" t="inlineStr">
        <is>
          <t>Kywi / Megakywi</t>
        </is>
      </c>
      <c r="L26" s="8">
        <f>F26*G26</f>
        <v/>
      </c>
      <c r="M26" s="145" t="inlineStr">
        <is>
          <t>Z-Z10-EQH-ALQ-ENC-LOS</t>
        </is>
      </c>
      <c r="N26" s="18" t="inlineStr">
        <is>
          <t>General / coordinación multidisciplinar</t>
        </is>
      </c>
      <c r="O26" s="18" t="inlineStr">
        <is>
          <t>Estimado DION · criterio de mercado Guayaquil 2026 (no verificado en tienda)</t>
        </is>
      </c>
      <c r="P26" s="18" t="inlineStr">
        <is>
          <t>oct-2026 (est.)</t>
        </is>
      </c>
      <c r="Q26" s="18" t="n"/>
    </row>
    <row r="27">
      <c r="A27" s="284" t="n">
        <v>16</v>
      </c>
      <c r="B27" s="285" t="inlineStr">
        <is>
          <t xml:space="preserve">        Encofrado Metálico de Columna (Juego, Alquiler Mes)</t>
        </is>
      </c>
      <c r="C27" s="286" t="inlineStr">
        <is>
          <t>Residencial / Comercial</t>
        </is>
      </c>
      <c r="D27" s="284" t="inlineStr">
        <is>
          <t>Encofrados</t>
        </is>
      </c>
      <c r="E27" s="284" t="inlineStr">
        <is>
          <t>mes</t>
        </is>
      </c>
      <c r="F27" s="287" t="n">
        <v>4</v>
      </c>
      <c r="G27" s="288" t="n">
        <v>45</v>
      </c>
      <c r="H27" s="288" t="n">
        <v>45.9</v>
      </c>
      <c r="I27" s="284" t="inlineStr">
        <is>
          <t>Alquiler local GYE</t>
        </is>
      </c>
      <c r="J27" s="288" t="n">
        <v>48.6</v>
      </c>
      <c r="K27" s="284" t="inlineStr">
        <is>
          <t>Kywi / Megakywi</t>
        </is>
      </c>
      <c r="L27" s="289">
        <f>F27*G27</f>
        <v/>
      </c>
      <c r="M27" s="290" t="inlineStr">
        <is>
          <t>Z-Z10-EQH-ALQ-ENC-COL</t>
        </is>
      </c>
      <c r="N27" s="284" t="inlineStr">
        <is>
          <t>General / coordinación multidisciplinar</t>
        </is>
      </c>
      <c r="O27" s="284" t="inlineStr">
        <is>
          <t>Estimado DION · criterio de mercado Guayaquil 2026 (no verificado en tienda)</t>
        </is>
      </c>
      <c r="P27" s="284" t="inlineStr">
        <is>
          <t>oct-2026 (est.)</t>
        </is>
      </c>
      <c r="Q27" s="284" t="n"/>
    </row>
    <row r="28">
      <c r="A28" s="18" t="n">
        <v>17</v>
      </c>
      <c r="B28" s="19" t="inlineStr">
        <is>
          <t xml:space="preserve">        Cerramiento Metálico Móvil de Obra (Panel, Alquiler Mes)</t>
        </is>
      </c>
      <c r="C28" s="20" t="inlineStr">
        <is>
          <t>Residencial / Comercial</t>
        </is>
      </c>
      <c r="D28" s="18" t="inlineStr">
        <is>
          <t>Cerramientos</t>
        </is>
      </c>
      <c r="E28" s="18" t="inlineStr">
        <is>
          <t>mes</t>
        </is>
      </c>
      <c r="F28" s="21" t="n">
        <v>20</v>
      </c>
      <c r="G28" s="22" t="n">
        <v>6</v>
      </c>
      <c r="H28" s="22" t="n">
        <v>6.3</v>
      </c>
      <c r="I28" s="18" t="inlineStr">
        <is>
          <t>Alquiler local GYE</t>
        </is>
      </c>
      <c r="J28" s="22" t="n">
        <v>6.54</v>
      </c>
      <c r="K28" s="18" t="inlineStr">
        <is>
          <t>Kywi / Megakywi</t>
        </is>
      </c>
      <c r="L28" s="8">
        <f>F28*G28</f>
        <v/>
      </c>
      <c r="M28" s="145" t="inlineStr">
        <is>
          <t>Z-Z10-EQH-ALQ-CER-OBR</t>
        </is>
      </c>
      <c r="N28" s="18" t="inlineStr">
        <is>
          <t>General / coordinación multidisciplinar</t>
        </is>
      </c>
      <c r="O28" s="18" t="inlineStr">
        <is>
          <t>Estimado DION · criterio de mercado Guayaquil 2026 (no verificado en tienda)</t>
        </is>
      </c>
      <c r="P28" s="18" t="inlineStr">
        <is>
          <t>oct-2026 (est.)</t>
        </is>
      </c>
      <c r="Q28" s="18" t="n"/>
    </row>
    <row r="29">
      <c r="A29" s="281" t="inlineStr">
        <is>
          <t>ELEVACIÓN Y TRANSPORTE (ALQUILER)</t>
        </is>
      </c>
      <c r="B29" s="143" t="n"/>
      <c r="C29" s="143" t="n"/>
      <c r="D29" s="143" t="n"/>
      <c r="E29" s="143" t="n"/>
      <c r="F29" s="143" t="n"/>
      <c r="G29" s="143" t="n"/>
      <c r="H29" s="143" t="n"/>
      <c r="I29" s="143" t="n"/>
      <c r="J29" s="143" t="n"/>
      <c r="K29" s="143" t="n"/>
      <c r="L29" s="143" t="n"/>
      <c r="M29" s="143" t="n"/>
      <c r="N29" s="143" t="n"/>
      <c r="O29" s="143" t="n"/>
      <c r="P29" s="143" t="n"/>
      <c r="Q29" s="144" t="n"/>
    </row>
    <row r="30">
      <c r="A30" s="282" t="inlineStr">
        <is>
          <t xml:space="preserve">  ► CATEGORÍA: GRÚAS, MONTACARGAS Y PLATAFORMAS</t>
        </is>
      </c>
      <c r="B30" s="143" t="n"/>
      <c r="C30" s="143" t="n"/>
      <c r="D30" s="143" t="n"/>
      <c r="E30" s="143" t="n"/>
      <c r="F30" s="143" t="n"/>
      <c r="G30" s="143" t="n"/>
      <c r="H30" s="143" t="n"/>
      <c r="I30" s="143" t="n"/>
      <c r="J30" s="143" t="n"/>
      <c r="K30" s="143" t="n"/>
      <c r="L30" s="143" t="n"/>
      <c r="M30" s="143" t="n"/>
      <c r="N30" s="143" t="n"/>
      <c r="O30" s="143" t="n"/>
      <c r="P30" s="143" t="n"/>
      <c r="Q30" s="144" t="n"/>
    </row>
    <row r="31">
      <c r="A31" s="283" t="inlineStr">
        <is>
          <t xml:space="preserve">      • Subcategoría Especificada: Tarifa por Hora / Día / Mes</t>
        </is>
      </c>
      <c r="B31" s="143" t="n"/>
      <c r="C31" s="143" t="n"/>
      <c r="D31" s="143" t="n"/>
      <c r="E31" s="143" t="n"/>
      <c r="F31" s="143" t="n"/>
      <c r="G31" s="143" t="n"/>
      <c r="H31" s="143" t="n"/>
      <c r="I31" s="143" t="n"/>
      <c r="J31" s="143" t="n"/>
      <c r="K31" s="143" t="n"/>
      <c r="L31" s="143" t="n"/>
      <c r="M31" s="143" t="n"/>
      <c r="N31" s="143" t="n"/>
      <c r="O31" s="143" t="n"/>
      <c r="P31" s="143" t="n"/>
      <c r="Q31" s="144" t="n"/>
    </row>
    <row r="32">
      <c r="A32" s="284" t="n">
        <v>18</v>
      </c>
      <c r="B32" s="285" t="inlineStr">
        <is>
          <t xml:space="preserve">        Grúa Torre 40 m Pluma (Alquiler Mes, sin Montaje)</t>
        </is>
      </c>
      <c r="C32" s="286" t="inlineStr">
        <is>
          <t>Comercial / Industrial</t>
        </is>
      </c>
      <c r="D32" s="284" t="inlineStr">
        <is>
          <t>Grúas</t>
        </is>
      </c>
      <c r="E32" s="284" t="inlineStr">
        <is>
          <t>mes</t>
        </is>
      </c>
      <c r="F32" s="287" t="n">
        <v>0</v>
      </c>
      <c r="G32" s="288" t="n">
        <v>6500</v>
      </c>
      <c r="H32" s="288" t="n">
        <v>6695</v>
      </c>
      <c r="I32" s="284" t="inlineStr">
        <is>
          <t>Alquiler local GYE</t>
        </is>
      </c>
      <c r="J32" s="288" t="n">
        <v>7020</v>
      </c>
      <c r="K32" s="284" t="inlineStr">
        <is>
          <t>Kywi / Megakywi</t>
        </is>
      </c>
      <c r="L32" s="289">
        <f>F32*G32</f>
        <v/>
      </c>
      <c r="M32" s="290" t="inlineStr">
        <is>
          <t>Z-Z10-EQH-ALQ-GRU-TOR</t>
        </is>
      </c>
      <c r="N32" s="284" t="inlineStr">
        <is>
          <t>General / coordinación multidisciplinar</t>
        </is>
      </c>
      <c r="O32" s="284" t="inlineStr">
        <is>
          <t>Estimado DION · criterio de mercado Guayaquil 2026 (no verificado en tienda)</t>
        </is>
      </c>
      <c r="P32" s="284" t="inlineStr">
        <is>
          <t>oct-2026 (est.)</t>
        </is>
      </c>
      <c r="Q32" s="284" t="n"/>
    </row>
    <row r="33">
      <c r="A33" s="18" t="n">
        <v>19</v>
      </c>
      <c r="B33" s="19" t="inlineStr">
        <is>
          <t xml:space="preserve">        Grúa Móvil 30 t con Operador (h)</t>
        </is>
      </c>
      <c r="C33" s="20" t="inlineStr">
        <is>
          <t>Comercial / Industrial</t>
        </is>
      </c>
      <c r="D33" s="18" t="inlineStr">
        <is>
          <t>Grúas</t>
        </is>
      </c>
      <c r="E33" s="18" t="inlineStr">
        <is>
          <t>h</t>
        </is>
      </c>
      <c r="F33" s="21" t="n">
        <v>8</v>
      </c>
      <c r="G33" s="22" t="n">
        <v>120</v>
      </c>
      <c r="H33" s="22" t="n">
        <v>122.4</v>
      </c>
      <c r="I33" s="18" t="inlineStr">
        <is>
          <t>Alquiler local GYE</t>
        </is>
      </c>
      <c r="J33" s="22" t="n">
        <v>128.4</v>
      </c>
      <c r="K33" s="18" t="inlineStr">
        <is>
          <t>Kywi / Megakywi</t>
        </is>
      </c>
      <c r="L33" s="8">
        <f>F33*G33</f>
        <v/>
      </c>
      <c r="M33" s="145" t="inlineStr">
        <is>
          <t>Z-Z10-EQH-ALQ-GRU-MOV</t>
        </is>
      </c>
      <c r="N33" s="18" t="inlineStr">
        <is>
          <t>General / coordinación multidisciplinar</t>
        </is>
      </c>
      <c r="O33" s="18" t="inlineStr">
        <is>
          <t>Estimado DION · criterio de mercado Guayaquil 2026 (no verificado en tienda)</t>
        </is>
      </c>
      <c r="P33" s="18" t="inlineStr">
        <is>
          <t>oct-2026 (est.)</t>
        </is>
      </c>
      <c r="Q33" s="18" t="n"/>
    </row>
    <row r="34">
      <c r="A34" s="284" t="n">
        <v>20</v>
      </c>
      <c r="B34" s="285" t="inlineStr">
        <is>
          <t xml:space="preserve">        Montacargas / Elevador de Obra (Alquiler Mes)</t>
        </is>
      </c>
      <c r="C34" s="286" t="inlineStr">
        <is>
          <t>Comercial / Industrial</t>
        </is>
      </c>
      <c r="D34" s="284" t="inlineStr">
        <is>
          <t>Elevadores Obra</t>
        </is>
      </c>
      <c r="E34" s="284" t="inlineStr">
        <is>
          <t>mes</t>
        </is>
      </c>
      <c r="F34" s="287" t="n">
        <v>0</v>
      </c>
      <c r="G34" s="288" t="n">
        <v>1200</v>
      </c>
      <c r="H34" s="288" t="n">
        <v>1248</v>
      </c>
      <c r="I34" s="284" t="inlineStr">
        <is>
          <t>Alquiler local GYE</t>
        </is>
      </c>
      <c r="J34" s="288" t="n">
        <v>1332</v>
      </c>
      <c r="K34" s="284" t="inlineStr">
        <is>
          <t>Kywi / Megakywi</t>
        </is>
      </c>
      <c r="L34" s="289">
        <f>F34*G34</f>
        <v/>
      </c>
      <c r="M34" s="290" t="inlineStr">
        <is>
          <t>Z-Z10-EQH-ALQ-MON-OBR</t>
        </is>
      </c>
      <c r="N34" s="284" t="inlineStr">
        <is>
          <t>General / coordinación multidisciplinar</t>
        </is>
      </c>
      <c r="O34" s="284" t="inlineStr">
        <is>
          <t>Estimado DION · criterio de mercado Guayaquil 2026 (no verificado en tienda)</t>
        </is>
      </c>
      <c r="P34" s="284" t="inlineStr">
        <is>
          <t>oct-2026 (est.)</t>
        </is>
      </c>
      <c r="Q34" s="284" t="n"/>
    </row>
    <row r="35">
      <c r="A35" s="18" t="n">
        <v>21</v>
      </c>
      <c r="B35" s="19" t="inlineStr">
        <is>
          <t xml:space="preserve">        Plataforma Tijera 10 m (Alquiler Día)</t>
        </is>
      </c>
      <c r="C35" s="20" t="inlineStr">
        <is>
          <t>Comercial / Industrial</t>
        </is>
      </c>
      <c r="D35" s="18" t="inlineStr">
        <is>
          <t>Plataformas</t>
        </is>
      </c>
      <c r="E35" s="18" t="inlineStr">
        <is>
          <t>día</t>
        </is>
      </c>
      <c r="F35" s="21" t="n">
        <v>5</v>
      </c>
      <c r="G35" s="22" t="n">
        <v>95</v>
      </c>
      <c r="H35" s="22" t="n">
        <v>96.90000000000001</v>
      </c>
      <c r="I35" s="18" t="inlineStr">
        <is>
          <t>Alquiler local GYE</t>
        </is>
      </c>
      <c r="J35" s="22" t="n">
        <v>102.6</v>
      </c>
      <c r="K35" s="18" t="inlineStr">
        <is>
          <t>Kywi / Megakywi</t>
        </is>
      </c>
      <c r="L35" s="8">
        <f>F35*G35</f>
        <v/>
      </c>
      <c r="M35" s="145" t="inlineStr">
        <is>
          <t>Z-Z10-EQH-ALQ-PLA-TIJ</t>
        </is>
      </c>
      <c r="N35" s="18" t="inlineStr">
        <is>
          <t>General / coordinación multidisciplinar</t>
        </is>
      </c>
      <c r="O35" s="18" t="inlineStr">
        <is>
          <t>Estimado DION · criterio de mercado Guayaquil 2026 (no verificado en tienda)</t>
        </is>
      </c>
      <c r="P35" s="18" t="inlineStr">
        <is>
          <t>oct-2026 (est.)</t>
        </is>
      </c>
      <c r="Q35" s="18" t="n"/>
    </row>
    <row r="36">
      <c r="A36" s="284" t="n">
        <v>22</v>
      </c>
      <c r="B36" s="285" t="inlineStr">
        <is>
          <t xml:space="preserve">        Brazo Articulado 16 m (Alquiler Día)</t>
        </is>
      </c>
      <c r="C36" s="286" t="inlineStr">
        <is>
          <t>Comercial / Industrial</t>
        </is>
      </c>
      <c r="D36" s="284" t="inlineStr">
        <is>
          <t>Plataformas</t>
        </is>
      </c>
      <c r="E36" s="284" t="inlineStr">
        <is>
          <t>día</t>
        </is>
      </c>
      <c r="F36" s="287" t="n">
        <v>2</v>
      </c>
      <c r="G36" s="288" t="n">
        <v>180</v>
      </c>
      <c r="H36" s="288" t="n">
        <v>183.6</v>
      </c>
      <c r="I36" s="284" t="inlineStr">
        <is>
          <t>Alquiler local GYE</t>
        </is>
      </c>
      <c r="J36" s="288" t="n">
        <v>192.6</v>
      </c>
      <c r="K36" s="284" t="inlineStr">
        <is>
          <t>Kywi / Megakywi</t>
        </is>
      </c>
      <c r="L36" s="289">
        <f>F36*G36</f>
        <v/>
      </c>
      <c r="M36" s="290" t="inlineStr">
        <is>
          <t>Z-Z10-EQH-ALQ-BRA-ART</t>
        </is>
      </c>
      <c r="N36" s="284" t="inlineStr">
        <is>
          <t>General / coordinación multidisciplinar</t>
        </is>
      </c>
      <c r="O36" s="284" t="inlineStr">
        <is>
          <t>Estimado DION · criterio de mercado Guayaquil 2026 (no verificado en tienda)</t>
        </is>
      </c>
      <c r="P36" s="284" t="inlineStr">
        <is>
          <t>oct-2026 (est.)</t>
        </is>
      </c>
      <c r="Q36" s="284" t="n"/>
    </row>
    <row r="37">
      <c r="A37" s="18" t="n">
        <v>23</v>
      </c>
      <c r="B37" s="19" t="inlineStr">
        <is>
          <t xml:space="preserve">        Winche / Malacate Eléctrico 500 kg (Alquiler Día)</t>
        </is>
      </c>
      <c r="C37" s="20" t="inlineStr">
        <is>
          <t>Comercial / Industrial</t>
        </is>
      </c>
      <c r="D37" s="18" t="inlineStr">
        <is>
          <t>Winches</t>
        </is>
      </c>
      <c r="E37" s="18" t="inlineStr">
        <is>
          <t>día</t>
        </is>
      </c>
      <c r="F37" s="21" t="n">
        <v>10</v>
      </c>
      <c r="G37" s="22" t="n">
        <v>22</v>
      </c>
      <c r="H37" s="22" t="n">
        <v>22.66</v>
      </c>
      <c r="I37" s="18" t="inlineStr">
        <is>
          <t>Alquiler local GYE</t>
        </is>
      </c>
      <c r="J37" s="22" t="n">
        <v>23.76</v>
      </c>
      <c r="K37" s="18" t="inlineStr">
        <is>
          <t>Kywi / Megakywi</t>
        </is>
      </c>
      <c r="L37" s="8">
        <f>F37*G37</f>
        <v/>
      </c>
      <c r="M37" s="145" t="inlineStr">
        <is>
          <t>Z-Z10-EQH-ALQ-WIN</t>
        </is>
      </c>
      <c r="N37" s="18" t="inlineStr">
        <is>
          <t>General / coordinación multidisciplinar</t>
        </is>
      </c>
      <c r="O37" s="18" t="inlineStr">
        <is>
          <t>Estimado DION · criterio de mercado Guayaquil 2026 (no verificado en tienda)</t>
        </is>
      </c>
      <c r="P37" s="18" t="inlineStr">
        <is>
          <t>oct-2026 (est.)</t>
        </is>
      </c>
      <c r="Q37" s="18" t="n"/>
    </row>
    <row r="38">
      <c r="A38" s="281" t="inlineStr">
        <is>
          <t>HERRAMIENTA MENOR (COMPRA)</t>
        </is>
      </c>
      <c r="B38" s="143" t="n"/>
      <c r="C38" s="143" t="n"/>
      <c r="D38" s="143" t="n"/>
      <c r="E38" s="143" t="n"/>
      <c r="F38" s="143" t="n"/>
      <c r="G38" s="143" t="n"/>
      <c r="H38" s="143" t="n"/>
      <c r="I38" s="143" t="n"/>
      <c r="J38" s="143" t="n"/>
      <c r="K38" s="143" t="n"/>
      <c r="L38" s="143" t="n"/>
      <c r="M38" s="143" t="n"/>
      <c r="N38" s="143" t="n"/>
      <c r="O38" s="143" t="n"/>
      <c r="P38" s="143" t="n"/>
      <c r="Q38" s="144" t="n"/>
    </row>
    <row r="39">
      <c r="A39" s="282" t="inlineStr">
        <is>
          <t xml:space="preserve">  ► CATEGORÍA: HERRAMIENTA MANUAL Y MEDICIÓN</t>
        </is>
      </c>
      <c r="B39" s="143" t="n"/>
      <c r="C39" s="143" t="n"/>
      <c r="D39" s="143" t="n"/>
      <c r="E39" s="143" t="n"/>
      <c r="F39" s="143" t="n"/>
      <c r="G39" s="143" t="n"/>
      <c r="H39" s="143" t="n"/>
      <c r="I39" s="143" t="n"/>
      <c r="J39" s="143" t="n"/>
      <c r="K39" s="143" t="n"/>
      <c r="L39" s="143" t="n"/>
      <c r="M39" s="143" t="n"/>
      <c r="N39" s="143" t="n"/>
      <c r="O39" s="143" t="n"/>
      <c r="P39" s="143" t="n"/>
      <c r="Q39" s="144" t="n"/>
    </row>
    <row r="40">
      <c r="A40" s="283" t="inlineStr">
        <is>
          <t xml:space="preserve">      • Subcategoría Especificada: Precio de Compra</t>
        </is>
      </c>
      <c r="B40" s="143" t="n"/>
      <c r="C40" s="143" t="n"/>
      <c r="D40" s="143" t="n"/>
      <c r="E40" s="143" t="n"/>
      <c r="F40" s="143" t="n"/>
      <c r="G40" s="143" t="n"/>
      <c r="H40" s="143" t="n"/>
      <c r="I40" s="143" t="n"/>
      <c r="J40" s="143" t="n"/>
      <c r="K40" s="143" t="n"/>
      <c r="L40" s="143" t="n"/>
      <c r="M40" s="143" t="n"/>
      <c r="N40" s="143" t="n"/>
      <c r="O40" s="143" t="n"/>
      <c r="P40" s="143" t="n"/>
      <c r="Q40" s="144" t="n"/>
    </row>
    <row r="41">
      <c r="A41" s="284" t="n">
        <v>24</v>
      </c>
      <c r="B41" s="285" t="inlineStr">
        <is>
          <t xml:space="preserve">        Pala Cuadrada con Mango</t>
        </is>
      </c>
      <c r="C41" s="286" t="inlineStr">
        <is>
          <t>Residencial / Comercial</t>
        </is>
      </c>
      <c r="D41" s="284" t="inlineStr">
        <is>
          <t>Herramienta Manual</t>
        </is>
      </c>
      <c r="E41" s="284" t="inlineStr">
        <is>
          <t>U</t>
        </is>
      </c>
      <c r="F41" s="287" t="n">
        <v>6</v>
      </c>
      <c r="G41" s="288" t="n">
        <v>12</v>
      </c>
      <c r="H41" s="288" t="n">
        <v>12.24</v>
      </c>
      <c r="I41" s="284" t="inlineStr">
        <is>
          <t>Alquiler local GYE</t>
        </is>
      </c>
      <c r="J41" s="288" t="n">
        <v>12.84</v>
      </c>
      <c r="K41" s="284" t="inlineStr">
        <is>
          <t>Kywi / Megakywi</t>
        </is>
      </c>
      <c r="L41" s="289">
        <f>F41*G41</f>
        <v/>
      </c>
      <c r="M41" s="290" t="inlineStr">
        <is>
          <t>Z-Z10-EQH-PAL-CUA</t>
        </is>
      </c>
      <c r="N41" s="284" t="inlineStr">
        <is>
          <t>General / coordinación multidisciplinar</t>
        </is>
      </c>
      <c r="O41" s="284" t="inlineStr">
        <is>
          <t>Estimado DION · criterio de mercado Guayaquil 2026 (no verificado en tienda)</t>
        </is>
      </c>
      <c r="P41" s="284" t="inlineStr">
        <is>
          <t>oct-2026 (est.)</t>
        </is>
      </c>
      <c r="Q41" s="284" t="n"/>
    </row>
    <row r="42">
      <c r="A42" s="18" t="n">
        <v>25</v>
      </c>
      <c r="B42" s="19" t="inlineStr">
        <is>
          <t xml:space="preserve">        Pico con Mango</t>
        </is>
      </c>
      <c r="C42" s="20" t="inlineStr">
        <is>
          <t>Residencial / Comercial</t>
        </is>
      </c>
      <c r="D42" s="18" t="inlineStr">
        <is>
          <t>Herramienta Manual</t>
        </is>
      </c>
      <c r="E42" s="18" t="inlineStr">
        <is>
          <t>U</t>
        </is>
      </c>
      <c r="F42" s="21" t="n">
        <v>4</v>
      </c>
      <c r="G42" s="22" t="n">
        <v>14</v>
      </c>
      <c r="H42" s="22" t="n">
        <v>14.7</v>
      </c>
      <c r="I42" s="18" t="inlineStr">
        <is>
          <t>Alquiler local GYE</t>
        </is>
      </c>
      <c r="J42" s="22" t="n">
        <v>15.12</v>
      </c>
      <c r="K42" s="18" t="inlineStr">
        <is>
          <t>Kywi / Megakywi</t>
        </is>
      </c>
      <c r="L42" s="8">
        <f>F42*G42</f>
        <v/>
      </c>
      <c r="M42" s="145" t="inlineStr">
        <is>
          <t>Z-Z10-EQH-PIC</t>
        </is>
      </c>
      <c r="N42" s="18" t="inlineStr">
        <is>
          <t>General / coordinación multidisciplinar</t>
        </is>
      </c>
      <c r="O42" s="18" t="inlineStr">
        <is>
          <t>Estimado DION · criterio de mercado Guayaquil 2026 (no verificado en tienda)</t>
        </is>
      </c>
      <c r="P42" s="18" t="inlineStr">
        <is>
          <t>oct-2026 (est.)</t>
        </is>
      </c>
      <c r="Q42" s="18" t="n"/>
    </row>
    <row r="43">
      <c r="A43" s="284" t="n">
        <v>26</v>
      </c>
      <c r="B43" s="285" t="inlineStr">
        <is>
          <t xml:space="preserve">        Barreta de Hierro 1.5 m</t>
        </is>
      </c>
      <c r="C43" s="286" t="inlineStr">
        <is>
          <t>Residencial / Comercial</t>
        </is>
      </c>
      <c r="D43" s="284" t="inlineStr">
        <is>
          <t>Herramienta Manual</t>
        </is>
      </c>
      <c r="E43" s="284" t="inlineStr">
        <is>
          <t>U</t>
        </is>
      </c>
      <c r="F43" s="287" t="n">
        <v>2</v>
      </c>
      <c r="G43" s="288" t="n">
        <v>18</v>
      </c>
      <c r="H43" s="288" t="n">
        <v>18.36</v>
      </c>
      <c r="I43" s="284" t="inlineStr">
        <is>
          <t>Alquiler local GYE</t>
        </is>
      </c>
      <c r="J43" s="288" t="n">
        <v>19.44</v>
      </c>
      <c r="K43" s="284" t="inlineStr">
        <is>
          <t>Kywi / Megakywi</t>
        </is>
      </c>
      <c r="L43" s="289">
        <f>F43*G43</f>
        <v/>
      </c>
      <c r="M43" s="290" t="inlineStr">
        <is>
          <t>Z-Z10-EQH-BAR-HIE</t>
        </is>
      </c>
      <c r="N43" s="284" t="inlineStr">
        <is>
          <t>General / coordinación multidisciplinar</t>
        </is>
      </c>
      <c r="O43" s="284" t="inlineStr">
        <is>
          <t>Estimado DION · criterio de mercado Guayaquil 2026 (no verificado en tienda)</t>
        </is>
      </c>
      <c r="P43" s="284" t="inlineStr">
        <is>
          <t>oct-2026 (est.)</t>
        </is>
      </c>
      <c r="Q43" s="284" t="n"/>
    </row>
    <row r="44">
      <c r="A44" s="18" t="n">
        <v>27</v>
      </c>
      <c r="B44" s="19" t="inlineStr">
        <is>
          <t xml:space="preserve">        Combo / Mazo 4 lb</t>
        </is>
      </c>
      <c r="C44" s="20" t="inlineStr">
        <is>
          <t>Residencial / Comercial</t>
        </is>
      </c>
      <c r="D44" s="18" t="inlineStr">
        <is>
          <t>Herramienta Manual</t>
        </is>
      </c>
      <c r="E44" s="18" t="inlineStr">
        <is>
          <t>U</t>
        </is>
      </c>
      <c r="F44" s="21" t="n">
        <v>2</v>
      </c>
      <c r="G44" s="22" t="n">
        <v>12</v>
      </c>
      <c r="H44" s="22" t="n">
        <v>12.36</v>
      </c>
      <c r="I44" s="18" t="inlineStr">
        <is>
          <t>Alquiler local GYE</t>
        </is>
      </c>
      <c r="J44" s="22" t="n">
        <v>13.32</v>
      </c>
      <c r="K44" s="18" t="inlineStr">
        <is>
          <t>Kywi / Megakywi</t>
        </is>
      </c>
      <c r="L44" s="8">
        <f>F44*G44</f>
        <v/>
      </c>
      <c r="M44" s="145" t="inlineStr">
        <is>
          <t>Z-Z10-EQH-MAR-COM</t>
        </is>
      </c>
      <c r="N44" s="18" t="inlineStr">
        <is>
          <t>General / coordinación multidisciplinar</t>
        </is>
      </c>
      <c r="O44" s="18" t="inlineStr">
        <is>
          <t>Estimado DION · criterio de mercado Guayaquil 2026 (no verificado en tienda)</t>
        </is>
      </c>
      <c r="P44" s="18" t="inlineStr">
        <is>
          <t>oct-2026 (est.)</t>
        </is>
      </c>
      <c r="Q44" s="18" t="n"/>
    </row>
    <row r="45">
      <c r="A45" s="284" t="n">
        <v>28</v>
      </c>
      <c r="B45" s="285" t="inlineStr">
        <is>
          <t xml:space="preserve">        Flexómetro 8 m</t>
        </is>
      </c>
      <c r="C45" s="286" t="inlineStr">
        <is>
          <t>Residencial / Comercial</t>
        </is>
      </c>
      <c r="D45" s="284" t="inlineStr">
        <is>
          <t>Medición</t>
        </is>
      </c>
      <c r="E45" s="284" t="inlineStr">
        <is>
          <t>U</t>
        </is>
      </c>
      <c r="F45" s="287" t="n">
        <v>4</v>
      </c>
      <c r="G45" s="288" t="n">
        <v>9</v>
      </c>
      <c r="H45" s="288" t="n">
        <v>9.18</v>
      </c>
      <c r="I45" s="284" t="inlineStr">
        <is>
          <t>Alquiler local GYE</t>
        </is>
      </c>
      <c r="J45" s="288" t="n">
        <v>9.99</v>
      </c>
      <c r="K45" s="284" t="inlineStr">
        <is>
          <t>Kywi / Megakywi</t>
        </is>
      </c>
      <c r="L45" s="289">
        <f>F45*G45</f>
        <v/>
      </c>
      <c r="M45" s="290" t="inlineStr">
        <is>
          <t>Z-Z10-EQH-CIN-MET</t>
        </is>
      </c>
      <c r="N45" s="284" t="inlineStr">
        <is>
          <t>General / coordinación multidisciplinar</t>
        </is>
      </c>
      <c r="O45" s="284" t="inlineStr">
        <is>
          <t>Estimado DION · criterio de mercado Guayaquil 2026 (no verificado en tienda)</t>
        </is>
      </c>
      <c r="P45" s="284" t="inlineStr">
        <is>
          <t>oct-2026 (est.)</t>
        </is>
      </c>
      <c r="Q45" s="284" t="n"/>
    </row>
    <row r="46">
      <c r="A46" s="18" t="n">
        <v>29</v>
      </c>
      <c r="B46" s="19" t="inlineStr">
        <is>
          <t xml:space="preserve">        Cinta Métrica 50 m</t>
        </is>
      </c>
      <c r="C46" s="20" t="inlineStr">
        <is>
          <t>Residencial / Comercial</t>
        </is>
      </c>
      <c r="D46" s="18" t="inlineStr">
        <is>
          <t>Medición</t>
        </is>
      </c>
      <c r="E46" s="18" t="inlineStr">
        <is>
          <t>U</t>
        </is>
      </c>
      <c r="F46" s="21" t="n">
        <v>1</v>
      </c>
      <c r="G46" s="22" t="n">
        <v>22</v>
      </c>
      <c r="H46" s="22" t="n">
        <v>22.88</v>
      </c>
      <c r="I46" s="18" t="inlineStr">
        <is>
          <t>Alquiler local GYE</t>
        </is>
      </c>
      <c r="J46" s="22" t="n">
        <v>23.76</v>
      </c>
      <c r="K46" s="18" t="inlineStr">
        <is>
          <t>Kywi / Megakywi</t>
        </is>
      </c>
      <c r="L46" s="8">
        <f>F46*G46</f>
        <v/>
      </c>
      <c r="M46" s="145" t="inlineStr">
        <is>
          <t>Z-Z10-EQH-CIN-50M</t>
        </is>
      </c>
      <c r="N46" s="18" t="inlineStr">
        <is>
          <t>General / coordinación multidisciplinar</t>
        </is>
      </c>
      <c r="O46" s="18" t="inlineStr">
        <is>
          <t>Estimado DION · criterio de mercado Guayaquil 2026 (no verificado en tienda)</t>
        </is>
      </c>
      <c r="P46" s="18" t="inlineStr">
        <is>
          <t>oct-2026 (est.)</t>
        </is>
      </c>
      <c r="Q46" s="18" t="n"/>
    </row>
    <row r="47">
      <c r="A47" s="284" t="n">
        <v>30</v>
      </c>
      <c r="B47" s="285" t="inlineStr">
        <is>
          <t xml:space="preserve">        Nivel de Mano 24"</t>
        </is>
      </c>
      <c r="C47" s="286" t="inlineStr">
        <is>
          <t>Residencial / Comercial</t>
        </is>
      </c>
      <c r="D47" s="284" t="inlineStr">
        <is>
          <t>Medición</t>
        </is>
      </c>
      <c r="E47" s="284" t="inlineStr">
        <is>
          <t>U</t>
        </is>
      </c>
      <c r="F47" s="287" t="n">
        <v>2</v>
      </c>
      <c r="G47" s="288" t="n">
        <v>15</v>
      </c>
      <c r="H47" s="288" t="n">
        <v>15.75</v>
      </c>
      <c r="I47" s="284" t="inlineStr">
        <is>
          <t>Alquiler local GYE</t>
        </is>
      </c>
      <c r="J47" s="288" t="n">
        <v>16.35</v>
      </c>
      <c r="K47" s="284" t="inlineStr">
        <is>
          <t>Kywi / Megakywi</t>
        </is>
      </c>
      <c r="L47" s="289">
        <f>F47*G47</f>
        <v/>
      </c>
      <c r="M47" s="290" t="inlineStr">
        <is>
          <t>Z-Z10-EQH-NIV-MAN</t>
        </is>
      </c>
      <c r="N47" s="284" t="inlineStr">
        <is>
          <t>General / coordinación multidisciplinar</t>
        </is>
      </c>
      <c r="O47" s="284" t="inlineStr">
        <is>
          <t>Estimado DION · criterio de mercado Guayaquil 2026 (no verificado en tienda)</t>
        </is>
      </c>
      <c r="P47" s="284" t="inlineStr">
        <is>
          <t>oct-2026 (est.)</t>
        </is>
      </c>
      <c r="Q47" s="284" t="n"/>
    </row>
    <row r="48">
      <c r="A48" s="18" t="n">
        <v>31</v>
      </c>
      <c r="B48" s="19" t="inlineStr">
        <is>
          <t xml:space="preserve">        Nivel de Manguera (30 m)</t>
        </is>
      </c>
      <c r="C48" s="20" t="inlineStr">
        <is>
          <t>Residencial / Comercial</t>
        </is>
      </c>
      <c r="D48" s="18" t="inlineStr">
        <is>
          <t>Medición</t>
        </is>
      </c>
      <c r="E48" s="18" t="inlineStr">
        <is>
          <t>U</t>
        </is>
      </c>
      <c r="F48" s="21" t="n">
        <v>1</v>
      </c>
      <c r="G48" s="22" t="n">
        <v>12</v>
      </c>
      <c r="H48" s="22" t="n">
        <v>12.24</v>
      </c>
      <c r="I48" s="18" t="inlineStr">
        <is>
          <t>Alquiler local GYE</t>
        </is>
      </c>
      <c r="J48" s="22" t="n">
        <v>13.08</v>
      </c>
      <c r="K48" s="18" t="inlineStr">
        <is>
          <t>Kywi / Megakywi</t>
        </is>
      </c>
      <c r="L48" s="8">
        <f>F48*G48</f>
        <v/>
      </c>
      <c r="M48" s="145" t="inlineStr">
        <is>
          <t>Z-Z10-EQH-NIV-MAN-GUA</t>
        </is>
      </c>
      <c r="N48" s="18" t="inlineStr">
        <is>
          <t>General / coordinación multidisciplinar</t>
        </is>
      </c>
      <c r="O48" s="18" t="inlineStr">
        <is>
          <t>Estimado DION · criterio de mercado Guayaquil 2026 (no verificado en tienda)</t>
        </is>
      </c>
      <c r="P48" s="18" t="inlineStr">
        <is>
          <t>oct-2026 (est.)</t>
        </is>
      </c>
      <c r="Q48" s="18" t="n"/>
    </row>
    <row r="49">
      <c r="A49" s="284" t="n">
        <v>32</v>
      </c>
      <c r="B49" s="285" t="inlineStr">
        <is>
          <t xml:space="preserve">        Escalera Tijera de Aluminio 6 Peldaños</t>
        </is>
      </c>
      <c r="C49" s="286" t="inlineStr">
        <is>
          <t>Residencial / Comercial</t>
        </is>
      </c>
      <c r="D49" s="284" t="inlineStr">
        <is>
          <t>Escaleras</t>
        </is>
      </c>
      <c r="E49" s="284" t="inlineStr">
        <is>
          <t>U</t>
        </is>
      </c>
      <c r="F49" s="287" t="n">
        <v>2</v>
      </c>
      <c r="G49" s="288" t="n">
        <v>95</v>
      </c>
      <c r="H49" s="288" t="n">
        <v>98.8</v>
      </c>
      <c r="I49" s="284" t="inlineStr">
        <is>
          <t>Alquiler local GYE</t>
        </is>
      </c>
      <c r="J49" s="288" t="n">
        <v>102.6</v>
      </c>
      <c r="K49" s="284" t="inlineStr">
        <is>
          <t>Kywi / Megakywi</t>
        </is>
      </c>
      <c r="L49" s="289">
        <f>F49*G49</f>
        <v/>
      </c>
      <c r="M49" s="290" t="inlineStr">
        <is>
          <t>Z-Z10-EQH-ESC-TIJ</t>
        </is>
      </c>
      <c r="N49" s="284" t="inlineStr">
        <is>
          <t>General / coordinación multidisciplinar</t>
        </is>
      </c>
      <c r="O49" s="284" t="inlineStr">
        <is>
          <t>Estimado DION · criterio de mercado Guayaquil 2026 (no verificado en tienda)</t>
        </is>
      </c>
      <c r="P49" s="284" t="inlineStr">
        <is>
          <t>oct-2026 (est.)</t>
        </is>
      </c>
      <c r="Q49" s="284" t="n"/>
    </row>
    <row r="50">
      <c r="A50" s="18" t="n">
        <v>33</v>
      </c>
      <c r="B50" s="19" t="inlineStr">
        <is>
          <t xml:space="preserve">        Estación Total (Alquiler Día)</t>
        </is>
      </c>
      <c r="C50" s="20" t="inlineStr">
        <is>
          <t>Residencial / Comercial</t>
        </is>
      </c>
      <c r="D50" s="18" t="inlineStr">
        <is>
          <t>Topografía</t>
        </is>
      </c>
      <c r="E50" s="18" t="inlineStr">
        <is>
          <t>U</t>
        </is>
      </c>
      <c r="F50" s="21" t="n">
        <v>2</v>
      </c>
      <c r="G50" s="22" t="n">
        <v>65</v>
      </c>
      <c r="H50" s="22" t="n">
        <v>68.25</v>
      </c>
      <c r="I50" s="18" t="inlineStr">
        <is>
          <t>Alquiler local GYE</t>
        </is>
      </c>
      <c r="J50" s="22" t="n">
        <v>72.15000000000001</v>
      </c>
      <c r="K50" s="18" t="inlineStr">
        <is>
          <t>Kywi / Megakywi</t>
        </is>
      </c>
      <c r="L50" s="8">
        <f>F50*G50</f>
        <v/>
      </c>
      <c r="M50" s="145" t="inlineStr">
        <is>
          <t>Z-Z10-EQH-EST-TOT</t>
        </is>
      </c>
      <c r="N50" s="18" t="inlineStr">
        <is>
          <t>General / coordinación multidisciplinar</t>
        </is>
      </c>
      <c r="O50" s="18" t="inlineStr">
        <is>
          <t>Estimado DION · criterio de mercado Guayaquil 2026 (no verificado en tienda)</t>
        </is>
      </c>
      <c r="P50" s="18" t="inlineStr">
        <is>
          <t>oct-2026 (est.)</t>
        </is>
      </c>
      <c r="Q50" s="18" t="n"/>
    </row>
    <row r="51">
      <c r="A51" s="284" t="n">
        <v>34</v>
      </c>
      <c r="B51" s="285" t="inlineStr">
        <is>
          <t xml:space="preserve">        Medidor Láser de Distancia 60 m</t>
        </is>
      </c>
      <c r="C51" s="286" t="inlineStr">
        <is>
          <t>Residencial / Comercial</t>
        </is>
      </c>
      <c r="D51" s="284" t="inlineStr">
        <is>
          <t>Medición</t>
        </is>
      </c>
      <c r="E51" s="284" t="inlineStr">
        <is>
          <t>U</t>
        </is>
      </c>
      <c r="F51" s="287" t="n">
        <v>1</v>
      </c>
      <c r="G51" s="288" t="n">
        <v>85</v>
      </c>
      <c r="H51" s="288" t="n">
        <v>88.40000000000001</v>
      </c>
      <c r="I51" s="284" t="inlineStr">
        <is>
          <t>Alquiler local GYE</t>
        </is>
      </c>
      <c r="J51" s="288" t="n">
        <v>91.8</v>
      </c>
      <c r="K51" s="284" t="inlineStr">
        <is>
          <t>Kywi / Megakywi</t>
        </is>
      </c>
      <c r="L51" s="289">
        <f>F51*G51</f>
        <v/>
      </c>
      <c r="M51" s="290" t="inlineStr">
        <is>
          <t>Z-Z10-EQH-MED-LAS</t>
        </is>
      </c>
      <c r="N51" s="284" t="inlineStr">
        <is>
          <t>General / coordinación multidisciplinar</t>
        </is>
      </c>
      <c r="O51" s="284" t="inlineStr">
        <is>
          <t>Estimado DION · criterio de mercado Guayaquil 2026 (no verificado en tienda)</t>
        </is>
      </c>
      <c r="P51" s="284" t="inlineStr">
        <is>
          <t>oct-2026 (est.)</t>
        </is>
      </c>
      <c r="Q51" s="284" t="n"/>
    </row>
    <row r="52">
      <c r="A52" s="18" t="n">
        <v>35</v>
      </c>
      <c r="B52" s="19" t="inlineStr">
        <is>
          <t xml:space="preserve">        Multímetro Digital / Pinza Amperimétrica</t>
        </is>
      </c>
      <c r="C52" s="20" t="inlineStr">
        <is>
          <t>Residencial / Comercial</t>
        </is>
      </c>
      <c r="D52" s="18" t="inlineStr">
        <is>
          <t>Medición Eléctrica</t>
        </is>
      </c>
      <c r="E52" s="18" t="inlineStr">
        <is>
          <t>U</t>
        </is>
      </c>
      <c r="F52" s="21" t="n">
        <v>1</v>
      </c>
      <c r="G52" s="22" t="n">
        <v>65</v>
      </c>
      <c r="H52" s="22" t="n">
        <v>68.25</v>
      </c>
      <c r="I52" s="18" t="inlineStr">
        <is>
          <t>Alquiler local GYE</t>
        </is>
      </c>
      <c r="J52" s="22" t="n">
        <v>69.55</v>
      </c>
      <c r="K52" s="18" t="inlineStr">
        <is>
          <t>Kywi / Megakywi</t>
        </is>
      </c>
      <c r="L52" s="8">
        <f>F52*G52</f>
        <v/>
      </c>
      <c r="M52" s="145" t="inlineStr">
        <is>
          <t>Z-Z10-EQH-MUL-MET</t>
        </is>
      </c>
      <c r="N52" s="18" t="inlineStr">
        <is>
          <t>General / coordinación multidisciplinar</t>
        </is>
      </c>
      <c r="O52" s="18" t="inlineStr">
        <is>
          <t>Estimado DION · criterio de mercado Guayaquil 2026 (no verificado en tienda)</t>
        </is>
      </c>
      <c r="P52" s="18" t="inlineStr">
        <is>
          <t>oct-2026 (est.)</t>
        </is>
      </c>
      <c r="Q52" s="18" t="n"/>
    </row>
    <row r="53">
      <c r="A53" s="284" t="n">
        <v>36</v>
      </c>
      <c r="B53" s="285" t="inlineStr">
        <is>
          <t xml:space="preserve">        Termofusora PPR 20-63 mm</t>
        </is>
      </c>
      <c r="C53" s="286" t="inlineStr">
        <is>
          <t>Residencial / Comercial</t>
        </is>
      </c>
      <c r="D53" s="284" t="inlineStr">
        <is>
          <t>Herramienta Instalaciones</t>
        </is>
      </c>
      <c r="E53" s="284" t="inlineStr">
        <is>
          <t>U</t>
        </is>
      </c>
      <c r="F53" s="287" t="n">
        <v>1</v>
      </c>
      <c r="G53" s="288" t="n">
        <v>95</v>
      </c>
      <c r="H53" s="288" t="n">
        <v>96.90000000000001</v>
      </c>
      <c r="I53" s="284" t="inlineStr">
        <is>
          <t>Alquiler local GYE</t>
        </is>
      </c>
      <c r="J53" s="288" t="n">
        <v>105.45</v>
      </c>
      <c r="K53" s="284" t="inlineStr">
        <is>
          <t>Kywi / Megakywi</t>
        </is>
      </c>
      <c r="L53" s="289">
        <f>F53*G53</f>
        <v/>
      </c>
      <c r="M53" s="290" t="inlineStr">
        <is>
          <t>Z-Z10-EQH-TER-FUS</t>
        </is>
      </c>
      <c r="N53" s="284" t="inlineStr">
        <is>
          <t>General / coordinación multidisciplinar</t>
        </is>
      </c>
      <c r="O53" s="284" t="inlineStr">
        <is>
          <t>Estimado DION · criterio de mercado Guayaquil 2026 (no verificado en tienda)</t>
        </is>
      </c>
      <c r="P53" s="284" t="inlineStr">
        <is>
          <t>oct-2026 (est.)</t>
        </is>
      </c>
      <c r="Q53" s="284" t="n"/>
    </row>
    <row r="54">
      <c r="A54" s="18" t="n">
        <v>37</v>
      </c>
      <c r="B54" s="19" t="inlineStr">
        <is>
          <t xml:space="preserve">        Kit de Abocinador y Cortatubo para Cobre</t>
        </is>
      </c>
      <c r="C54" s="20" t="inlineStr">
        <is>
          <t>Residencial / Comercial</t>
        </is>
      </c>
      <c r="D54" s="18" t="inlineStr">
        <is>
          <t>Herramienta Instalaciones</t>
        </is>
      </c>
      <c r="E54" s="18" t="inlineStr">
        <is>
          <t>U</t>
        </is>
      </c>
      <c r="F54" s="21" t="n">
        <v>1</v>
      </c>
      <c r="G54" s="22" t="n">
        <v>48</v>
      </c>
      <c r="H54" s="22" t="n">
        <v>48.96</v>
      </c>
      <c r="I54" s="18" t="inlineStr">
        <is>
          <t>Alquiler local GYE</t>
        </is>
      </c>
      <c r="J54" s="22" t="n">
        <v>51.36</v>
      </c>
      <c r="K54" s="18" t="inlineStr">
        <is>
          <t>Kywi / Megakywi</t>
        </is>
      </c>
      <c r="L54" s="8">
        <f>F54*G54</f>
        <v/>
      </c>
      <c r="M54" s="145" t="inlineStr">
        <is>
          <t>Z-Z10-EQH-TAR-COB</t>
        </is>
      </c>
      <c r="N54" s="18" t="inlineStr">
        <is>
          <t>General / coordinación multidisciplinar</t>
        </is>
      </c>
      <c r="O54" s="18" t="inlineStr">
        <is>
          <t>Estimado DION · criterio de mercado Guayaquil 2026 (no verificado en tienda)</t>
        </is>
      </c>
      <c r="P54" s="18" t="inlineStr">
        <is>
          <t>oct-2026 (est.)</t>
        </is>
      </c>
      <c r="Q54" s="18" t="n"/>
    </row>
    <row r="55">
      <c r="A55" s="284" t="n">
        <v>38</v>
      </c>
      <c r="B55" s="285" t="inlineStr">
        <is>
          <t xml:space="preserve">        Engrapadora / Prensa para PEX/PE-AL-PE</t>
        </is>
      </c>
      <c r="C55" s="286" t="inlineStr">
        <is>
          <t>Residencial / Comercial</t>
        </is>
      </c>
      <c r="D55" s="284" t="inlineStr">
        <is>
          <t>Herramienta Instalaciones</t>
        </is>
      </c>
      <c r="E55" s="284" t="inlineStr">
        <is>
          <t>U</t>
        </is>
      </c>
      <c r="F55" s="287" t="n">
        <v>1</v>
      </c>
      <c r="G55" s="288" t="n">
        <v>320</v>
      </c>
      <c r="H55" s="288" t="n">
        <v>332.8</v>
      </c>
      <c r="I55" s="284" t="inlineStr">
        <is>
          <t>Alquiler local GYE</t>
        </is>
      </c>
      <c r="J55" s="288" t="n">
        <v>352</v>
      </c>
      <c r="K55" s="284" t="inlineStr">
        <is>
          <t>Kywi / Megakywi</t>
        </is>
      </c>
      <c r="L55" s="289">
        <f>F55*G55</f>
        <v/>
      </c>
      <c r="M55" s="290" t="inlineStr">
        <is>
          <t>Z-Z10-EQH-ENG-PRE</t>
        </is>
      </c>
      <c r="N55" s="284" t="inlineStr">
        <is>
          <t>General / coordinación multidisciplinar</t>
        </is>
      </c>
      <c r="O55" s="284" t="inlineStr">
        <is>
          <t>Estimado DION · criterio de mercado Guayaquil 2026 (no verificado en tienda)</t>
        </is>
      </c>
      <c r="P55" s="284" t="inlineStr">
        <is>
          <t>oct-2026 (est.)</t>
        </is>
      </c>
      <c r="Q55" s="284" t="n"/>
    </row>
    <row r="56">
      <c r="A56" s="281" t="inlineStr">
        <is>
          <t>EQUIPO DE PROTECCIÓN PERSONAL</t>
        </is>
      </c>
      <c r="B56" s="143" t="n"/>
      <c r="C56" s="143" t="n"/>
      <c r="D56" s="143" t="n"/>
      <c r="E56" s="143" t="n"/>
      <c r="F56" s="143" t="n"/>
      <c r="G56" s="143" t="n"/>
      <c r="H56" s="143" t="n"/>
      <c r="I56" s="143" t="n"/>
      <c r="J56" s="143" t="n"/>
      <c r="K56" s="143" t="n"/>
      <c r="L56" s="143" t="n"/>
      <c r="M56" s="143" t="n"/>
      <c r="N56" s="143" t="n"/>
      <c r="O56" s="143" t="n"/>
      <c r="P56" s="143" t="n"/>
      <c r="Q56" s="144" t="n"/>
    </row>
    <row r="57">
      <c r="A57" s="282" t="inlineStr">
        <is>
          <t xml:space="preserve">  ► CATEGORÍA: EPP (NORMA INEN / IESS)</t>
        </is>
      </c>
      <c r="B57" s="143" t="n"/>
      <c r="C57" s="143" t="n"/>
      <c r="D57" s="143" t="n"/>
      <c r="E57" s="143" t="n"/>
      <c r="F57" s="143" t="n"/>
      <c r="G57" s="143" t="n"/>
      <c r="H57" s="143" t="n"/>
      <c r="I57" s="143" t="n"/>
      <c r="J57" s="143" t="n"/>
      <c r="K57" s="143" t="n"/>
      <c r="L57" s="143" t="n"/>
      <c r="M57" s="143" t="n"/>
      <c r="N57" s="143" t="n"/>
      <c r="O57" s="143" t="n"/>
      <c r="P57" s="143" t="n"/>
      <c r="Q57" s="144" t="n"/>
    </row>
    <row r="58">
      <c r="A58" s="283" t="inlineStr">
        <is>
          <t xml:space="preserve">      • Subcategoría Especificada: Por Trabajador</t>
        </is>
      </c>
      <c r="B58" s="143" t="n"/>
      <c r="C58" s="143" t="n"/>
      <c r="D58" s="143" t="n"/>
      <c r="E58" s="143" t="n"/>
      <c r="F58" s="143" t="n"/>
      <c r="G58" s="143" t="n"/>
      <c r="H58" s="143" t="n"/>
      <c r="I58" s="143" t="n"/>
      <c r="J58" s="143" t="n"/>
      <c r="K58" s="143" t="n"/>
      <c r="L58" s="143" t="n"/>
      <c r="M58" s="143" t="n"/>
      <c r="N58" s="143" t="n"/>
      <c r="O58" s="143" t="n"/>
      <c r="P58" s="143" t="n"/>
      <c r="Q58" s="144" t="n"/>
    </row>
    <row r="59">
      <c r="A59" s="18" t="n">
        <v>39</v>
      </c>
      <c r="B59" s="19" t="inlineStr">
        <is>
          <t xml:space="preserve">        Casco de Seguridad con Barbiquejo</t>
        </is>
      </c>
      <c r="C59" s="20" t="inlineStr">
        <is>
          <t>Residencial / Comercial</t>
        </is>
      </c>
      <c r="D59" s="18" t="inlineStr">
        <is>
          <t>EPP</t>
        </is>
      </c>
      <c r="E59" s="18" t="inlineStr">
        <is>
          <t>U</t>
        </is>
      </c>
      <c r="F59" s="21" t="n">
        <v>10</v>
      </c>
      <c r="G59" s="22" t="n">
        <v>8.5</v>
      </c>
      <c r="H59" s="22" t="n">
        <v>8.84</v>
      </c>
      <c r="I59" s="18" t="inlineStr">
        <is>
          <t>Alquiler local GYE</t>
        </is>
      </c>
      <c r="J59" s="22" t="n">
        <v>9.35</v>
      </c>
      <c r="K59" s="18" t="inlineStr">
        <is>
          <t>Kywi / Megakywi</t>
        </is>
      </c>
      <c r="L59" s="8">
        <f>F59*G59</f>
        <v/>
      </c>
      <c r="M59" s="145" t="inlineStr">
        <is>
          <t>Z-Z10-EQH-EPP-CAS</t>
        </is>
      </c>
      <c r="N59" s="18" t="inlineStr">
        <is>
          <t>General / coordinación multidisciplinar</t>
        </is>
      </c>
      <c r="O59" s="18" t="inlineStr">
        <is>
          <t>Estimado DION · criterio de mercado Guayaquil 2026 (no verificado en tienda)</t>
        </is>
      </c>
      <c r="P59" s="18" t="inlineStr">
        <is>
          <t>oct-2026 (est.)</t>
        </is>
      </c>
      <c r="Q59" s="18" t="n"/>
    </row>
    <row r="60">
      <c r="A60" s="284" t="n">
        <v>40</v>
      </c>
      <c r="B60" s="285" t="inlineStr">
        <is>
          <t xml:space="preserve">        Botas de Seguridad Punta de Acero</t>
        </is>
      </c>
      <c r="C60" s="286" t="inlineStr">
        <is>
          <t>Residencial / Comercial</t>
        </is>
      </c>
      <c r="D60" s="284" t="inlineStr">
        <is>
          <t>EPP</t>
        </is>
      </c>
      <c r="E60" s="284" t="inlineStr">
        <is>
          <t>U</t>
        </is>
      </c>
      <c r="F60" s="287" t="n">
        <v>10</v>
      </c>
      <c r="G60" s="288" t="n">
        <v>32</v>
      </c>
      <c r="H60" s="288" t="n">
        <v>33.28</v>
      </c>
      <c r="I60" s="284" t="inlineStr">
        <is>
          <t>Alquiler local GYE</t>
        </is>
      </c>
      <c r="J60" s="288" t="n">
        <v>34.88</v>
      </c>
      <c r="K60" s="284" t="inlineStr">
        <is>
          <t>Kywi / Megakywi</t>
        </is>
      </c>
      <c r="L60" s="289">
        <f>F60*G60</f>
        <v/>
      </c>
      <c r="M60" s="290" t="inlineStr">
        <is>
          <t>Z-Z10-EQH-EPP-BOT</t>
        </is>
      </c>
      <c r="N60" s="284" t="inlineStr">
        <is>
          <t>General / coordinación multidisciplinar</t>
        </is>
      </c>
      <c r="O60" s="284" t="inlineStr">
        <is>
          <t>Estimado DION · criterio de mercado Guayaquil 2026 (no verificado en tienda)</t>
        </is>
      </c>
      <c r="P60" s="284" t="inlineStr">
        <is>
          <t>oct-2026 (est.)</t>
        </is>
      </c>
      <c r="Q60" s="284" t="n"/>
    </row>
    <row r="61">
      <c r="A61" s="18" t="n">
        <v>41</v>
      </c>
      <c r="B61" s="19" t="inlineStr">
        <is>
          <t xml:space="preserve">        Guantes de Trabajo (Par)</t>
        </is>
      </c>
      <c r="C61" s="20" t="inlineStr">
        <is>
          <t>Residencial / Comercial</t>
        </is>
      </c>
      <c r="D61" s="18" t="inlineStr">
        <is>
          <t>EPP</t>
        </is>
      </c>
      <c r="E61" s="18" t="inlineStr">
        <is>
          <t>U</t>
        </is>
      </c>
      <c r="F61" s="21" t="n">
        <v>40</v>
      </c>
      <c r="G61" s="22" t="n">
        <v>2.5</v>
      </c>
      <c r="H61" s="22" t="n">
        <v>2.58</v>
      </c>
      <c r="I61" s="18" t="inlineStr">
        <is>
          <t>Alquiler local GYE</t>
        </is>
      </c>
      <c r="J61" s="22" t="n">
        <v>2.78</v>
      </c>
      <c r="K61" s="18" t="inlineStr">
        <is>
          <t>Kywi / Megakywi</t>
        </is>
      </c>
      <c r="L61" s="8">
        <f>F61*G61</f>
        <v/>
      </c>
      <c r="M61" s="145" t="inlineStr">
        <is>
          <t>Z-Z10-EQH-EPP-GUA</t>
        </is>
      </c>
      <c r="N61" s="18" t="inlineStr">
        <is>
          <t>General / coordinación multidisciplinar</t>
        </is>
      </c>
      <c r="O61" s="18" t="inlineStr">
        <is>
          <t>Estimado DION · criterio de mercado Guayaquil 2026 (no verificado en tienda)</t>
        </is>
      </c>
      <c r="P61" s="18" t="inlineStr">
        <is>
          <t>oct-2026 (est.)</t>
        </is>
      </c>
      <c r="Q61" s="18" t="n"/>
    </row>
    <row r="62">
      <c r="A62" s="284" t="n">
        <v>42</v>
      </c>
      <c r="B62" s="285" t="inlineStr">
        <is>
          <t xml:space="preserve">        Gafas de Seguridad</t>
        </is>
      </c>
      <c r="C62" s="286" t="inlineStr">
        <is>
          <t>Residencial / Comercial</t>
        </is>
      </c>
      <c r="D62" s="284" t="inlineStr">
        <is>
          <t>EPP</t>
        </is>
      </c>
      <c r="E62" s="284" t="inlineStr">
        <is>
          <t>U</t>
        </is>
      </c>
      <c r="F62" s="287" t="n">
        <v>10</v>
      </c>
      <c r="G62" s="288" t="n">
        <v>3.5</v>
      </c>
      <c r="H62" s="288" t="n">
        <v>3.57</v>
      </c>
      <c r="I62" s="284" t="inlineStr">
        <is>
          <t>Alquiler local GYE</t>
        </is>
      </c>
      <c r="J62" s="288" t="n">
        <v>3.85</v>
      </c>
      <c r="K62" s="284" t="inlineStr">
        <is>
          <t>Kywi / Megakywi</t>
        </is>
      </c>
      <c r="L62" s="289">
        <f>F62*G62</f>
        <v/>
      </c>
      <c r="M62" s="290" t="inlineStr">
        <is>
          <t>Z-Z10-EQH-EPP-GAF</t>
        </is>
      </c>
      <c r="N62" s="284" t="inlineStr">
        <is>
          <t>General / coordinación multidisciplinar</t>
        </is>
      </c>
      <c r="O62" s="284" t="inlineStr">
        <is>
          <t>Estimado DION · criterio de mercado Guayaquil 2026 (no verificado en tienda)</t>
        </is>
      </c>
      <c r="P62" s="284" t="inlineStr">
        <is>
          <t>oct-2026 (est.)</t>
        </is>
      </c>
      <c r="Q62" s="284" t="n"/>
    </row>
    <row r="63">
      <c r="A63" s="18" t="n">
        <v>43</v>
      </c>
      <c r="B63" s="19" t="inlineStr">
        <is>
          <t xml:space="preserve">        Chaleco Reflectivo</t>
        </is>
      </c>
      <c r="C63" s="20" t="inlineStr">
        <is>
          <t>Residencial / Comercial</t>
        </is>
      </c>
      <c r="D63" s="18" t="inlineStr">
        <is>
          <t>EPP</t>
        </is>
      </c>
      <c r="E63" s="18" t="inlineStr">
        <is>
          <t>U</t>
        </is>
      </c>
      <c r="F63" s="21" t="n">
        <v>10</v>
      </c>
      <c r="G63" s="22" t="n">
        <v>4.5</v>
      </c>
      <c r="H63" s="22" t="n">
        <v>4.59</v>
      </c>
      <c r="I63" s="18" t="inlineStr">
        <is>
          <t>Alquiler local GYE</t>
        </is>
      </c>
      <c r="J63" s="22" t="n">
        <v>4.95</v>
      </c>
      <c r="K63" s="18" t="inlineStr">
        <is>
          <t>Kywi / Megakywi</t>
        </is>
      </c>
      <c r="L63" s="8">
        <f>F63*G63</f>
        <v/>
      </c>
      <c r="M63" s="145" t="inlineStr">
        <is>
          <t>Z-Z10-EQH-EPP-CHA</t>
        </is>
      </c>
      <c r="N63" s="18" t="inlineStr">
        <is>
          <t>General / coordinación multidisciplinar</t>
        </is>
      </c>
      <c r="O63" s="18" t="inlineStr">
        <is>
          <t>Estimado DION · criterio de mercado Guayaquil 2026 (no verificado en tienda)</t>
        </is>
      </c>
      <c r="P63" s="18" t="inlineStr">
        <is>
          <t>oct-2026 (est.)</t>
        </is>
      </c>
      <c r="Q63" s="18" t="n"/>
    </row>
    <row r="64">
      <c r="A64" s="284" t="n">
        <v>44</v>
      </c>
      <c r="B64" s="285" t="inlineStr">
        <is>
          <t xml:space="preserve">        Arnés de Cuerpo Completo + Línea de Vida</t>
        </is>
      </c>
      <c r="C64" s="286" t="inlineStr">
        <is>
          <t>Residencial / Comercial</t>
        </is>
      </c>
      <c r="D64" s="284" t="inlineStr">
        <is>
          <t>EPP Altura</t>
        </is>
      </c>
      <c r="E64" s="284" t="inlineStr">
        <is>
          <t>U</t>
        </is>
      </c>
      <c r="F64" s="287" t="n">
        <v>4</v>
      </c>
      <c r="G64" s="288" t="n">
        <v>85</v>
      </c>
      <c r="H64" s="288" t="n">
        <v>87.55</v>
      </c>
      <c r="I64" s="284" t="inlineStr">
        <is>
          <t>Alquiler local GYE</t>
        </is>
      </c>
      <c r="J64" s="288" t="n">
        <v>92.65000000000001</v>
      </c>
      <c r="K64" s="284" t="inlineStr">
        <is>
          <t>Kywi / Megakywi</t>
        </is>
      </c>
      <c r="L64" s="289">
        <f>F64*G64</f>
        <v/>
      </c>
      <c r="M64" s="290" t="inlineStr">
        <is>
          <t>Z-Z10-EQH-EPP-ARN</t>
        </is>
      </c>
      <c r="N64" s="284" t="inlineStr">
        <is>
          <t>General / coordinación multidisciplinar</t>
        </is>
      </c>
      <c r="O64" s="284" t="inlineStr">
        <is>
          <t>Estimado DION · criterio de mercado Guayaquil 2026 (no verificado en tienda)</t>
        </is>
      </c>
      <c r="P64" s="284" t="inlineStr">
        <is>
          <t>oct-2026 (est.)</t>
        </is>
      </c>
      <c r="Q64" s="284" t="n"/>
    </row>
    <row r="65">
      <c r="A65" s="18" t="n">
        <v>45</v>
      </c>
      <c r="B65" s="19" t="inlineStr">
        <is>
          <t xml:space="preserve">        Mascarilla N95 (Caja 20)</t>
        </is>
      </c>
      <c r="C65" s="20" t="inlineStr">
        <is>
          <t>Residencial / Comercial</t>
        </is>
      </c>
      <c r="D65" s="18" t="inlineStr">
        <is>
          <t>EPP</t>
        </is>
      </c>
      <c r="E65" s="18" t="inlineStr">
        <is>
          <t>U</t>
        </is>
      </c>
      <c r="F65" s="21" t="n">
        <v>2</v>
      </c>
      <c r="G65" s="22" t="n">
        <v>18</v>
      </c>
      <c r="H65" s="22" t="n">
        <v>18.36</v>
      </c>
      <c r="I65" s="18" t="inlineStr">
        <is>
          <t>Alquiler local GYE</t>
        </is>
      </c>
      <c r="J65" s="22" t="n">
        <v>19.98</v>
      </c>
      <c r="K65" s="18" t="inlineStr">
        <is>
          <t>Kywi / Megakywi</t>
        </is>
      </c>
      <c r="L65" s="8">
        <f>F65*G65</f>
        <v/>
      </c>
      <c r="M65" s="145" t="inlineStr">
        <is>
          <t>Z-Z10-EQH-EPP-MAS</t>
        </is>
      </c>
      <c r="N65" s="18" t="inlineStr">
        <is>
          <t>General / coordinación multidisciplinar</t>
        </is>
      </c>
      <c r="O65" s="18" t="inlineStr">
        <is>
          <t>Estimado DION · criterio de mercado Guayaquil 2026 (no verificado en tienda)</t>
        </is>
      </c>
      <c r="P65" s="18" t="inlineStr">
        <is>
          <t>oct-2026 (est.)</t>
        </is>
      </c>
      <c r="Q65" s="18" t="n"/>
    </row>
    <row r="66">
      <c r="A66" s="284" t="n">
        <v>46</v>
      </c>
      <c r="B66" s="285" t="inlineStr">
        <is>
          <t xml:space="preserve">        Tapones Auditivos (Caja 100)</t>
        </is>
      </c>
      <c r="C66" s="286" t="inlineStr">
        <is>
          <t>Residencial / Comercial</t>
        </is>
      </c>
      <c r="D66" s="284" t="inlineStr">
        <is>
          <t>EPP</t>
        </is>
      </c>
      <c r="E66" s="284" t="inlineStr">
        <is>
          <t>U</t>
        </is>
      </c>
      <c r="F66" s="287" t="n">
        <v>1</v>
      </c>
      <c r="G66" s="288" t="n">
        <v>22</v>
      </c>
      <c r="H66" s="288" t="n">
        <v>22.88</v>
      </c>
      <c r="I66" s="284" t="inlineStr">
        <is>
          <t>Alquiler local GYE</t>
        </is>
      </c>
      <c r="J66" s="288" t="n">
        <v>23.98</v>
      </c>
      <c r="K66" s="284" t="inlineStr">
        <is>
          <t>Kywi / Megakywi</t>
        </is>
      </c>
      <c r="L66" s="289">
        <f>F66*G66</f>
        <v/>
      </c>
      <c r="M66" s="290" t="inlineStr">
        <is>
          <t>Z-Z10-EQH-EPP-TAP</t>
        </is>
      </c>
      <c r="N66" s="284" t="inlineStr">
        <is>
          <t>General / coordinación multidisciplinar</t>
        </is>
      </c>
      <c r="O66" s="284" t="inlineStr">
        <is>
          <t>Estimado DION · criterio de mercado Guayaquil 2026 (no verificado en tienda)</t>
        </is>
      </c>
      <c r="P66" s="284" t="inlineStr">
        <is>
          <t>oct-2026 (est.)</t>
        </is>
      </c>
      <c r="Q66" s="284" t="n"/>
    </row>
    <row r="67">
      <c r="A67" s="18" t="n">
        <v>47</v>
      </c>
      <c r="B67" s="19" t="inlineStr">
        <is>
          <t xml:space="preserve">        Botas de Caucho</t>
        </is>
      </c>
      <c r="C67" s="20" t="inlineStr">
        <is>
          <t>Residencial / Comercial</t>
        </is>
      </c>
      <c r="D67" s="18" t="inlineStr">
        <is>
          <t>EPP</t>
        </is>
      </c>
      <c r="E67" s="18" t="inlineStr">
        <is>
          <t>U</t>
        </is>
      </c>
      <c r="F67" s="21" t="n">
        <v>10</v>
      </c>
      <c r="G67" s="22" t="n">
        <v>12</v>
      </c>
      <c r="H67" s="22" t="n">
        <v>12.36</v>
      </c>
      <c r="I67" s="18" t="inlineStr">
        <is>
          <t>Alquiler local GYE</t>
        </is>
      </c>
      <c r="J67" s="22" t="n">
        <v>13.32</v>
      </c>
      <c r="K67" s="18" t="inlineStr">
        <is>
          <t>Kywi / Megakywi</t>
        </is>
      </c>
      <c r="L67" s="8">
        <f>F67*G67</f>
        <v/>
      </c>
      <c r="M67" s="145" t="inlineStr">
        <is>
          <t>Z-Z10-EQH-EPP-BOT-AGU</t>
        </is>
      </c>
      <c r="N67" s="18" t="inlineStr">
        <is>
          <t>General / coordinación multidisciplinar</t>
        </is>
      </c>
      <c r="O67" s="18" t="inlineStr">
        <is>
          <t>Estimado DION · criterio de mercado Guayaquil 2026 (no verificado en tienda)</t>
        </is>
      </c>
      <c r="P67" s="18" t="inlineStr">
        <is>
          <t>oct-2026 (est.)</t>
        </is>
      </c>
      <c r="Q67" s="18" t="n"/>
    </row>
    <row r="68">
      <c r="A68" s="284" t="n">
        <v>48</v>
      </c>
      <c r="B68" s="285" t="inlineStr">
        <is>
          <t xml:space="preserve">        Botiquín de Primeros Auxilios Obra</t>
        </is>
      </c>
      <c r="C68" s="286" t="inlineStr">
        <is>
          <t>Residencial / Comercial</t>
        </is>
      </c>
      <c r="D68" s="284" t="inlineStr">
        <is>
          <t>EPP</t>
        </is>
      </c>
      <c r="E68" s="284" t="inlineStr">
        <is>
          <t>U</t>
        </is>
      </c>
      <c r="F68" s="287" t="n">
        <v>1</v>
      </c>
      <c r="G68" s="288" t="n">
        <v>45</v>
      </c>
      <c r="H68" s="288" t="n">
        <v>47.25</v>
      </c>
      <c r="I68" s="284" t="inlineStr">
        <is>
          <t>Alquiler local GYE</t>
        </is>
      </c>
      <c r="J68" s="288" t="n">
        <v>48.6</v>
      </c>
      <c r="K68" s="284" t="inlineStr">
        <is>
          <t>Kywi / Megakywi</t>
        </is>
      </c>
      <c r="L68" s="289">
        <f>F68*G68</f>
        <v/>
      </c>
      <c r="M68" s="290" t="inlineStr">
        <is>
          <t>Z-Z10-EQH-EPP-BOT-MED</t>
        </is>
      </c>
      <c r="N68" s="284" t="inlineStr">
        <is>
          <t>General / coordinación multidisciplinar</t>
        </is>
      </c>
      <c r="O68" s="284" t="inlineStr">
        <is>
          <t>Estimado DION · criterio de mercado Guayaquil 2026 (no verificado en tienda)</t>
        </is>
      </c>
      <c r="P68" s="284" t="inlineStr">
        <is>
          <t>oct-2026 (est.)</t>
        </is>
      </c>
      <c r="Q68" s="284" t="n"/>
    </row>
    <row r="69">
      <c r="A69" s="10" t="n"/>
      <c r="B69" s="147" t="inlineStr">
        <is>
          <t>TOTAL BASE DE DATOS EQUIPOS Y HERRAMIENTAS (ESTIMADO)</t>
        </is>
      </c>
      <c r="C69" s="148" t="n"/>
      <c r="D69" s="148" t="n"/>
      <c r="E69" s="148" t="n"/>
      <c r="F69" s="148" t="n"/>
      <c r="G69" s="148" t="n"/>
      <c r="H69" s="148" t="n"/>
      <c r="I69" s="148" t="n"/>
      <c r="J69" s="148" t="n"/>
      <c r="K69" s="148" t="n"/>
      <c r="L69" s="30">
        <f>SUM(L6:L68)</f>
        <v/>
      </c>
      <c r="M69" s="30" t="n"/>
      <c r="N69" s="30" t="n"/>
      <c r="O69" s="30" t="n"/>
      <c r="P69" s="30" t="n"/>
      <c r="Q69" s="30" t="n"/>
    </row>
  </sheetData>
  <mergeCells count="16">
    <mergeCell ref="A8:Q8"/>
    <mergeCell ref="A31:Q31"/>
    <mergeCell ref="A6:Q6"/>
    <mergeCell ref="A22:Q22"/>
    <mergeCell ref="A40:Q40"/>
    <mergeCell ref="A56:Q56"/>
    <mergeCell ref="A58:Q58"/>
    <mergeCell ref="A21:Q21"/>
    <mergeCell ref="A30:Q30"/>
    <mergeCell ref="A39:Q39"/>
    <mergeCell ref="A29:Q29"/>
    <mergeCell ref="A7:Q7"/>
    <mergeCell ref="A20:Q20"/>
    <mergeCell ref="A38:Q38"/>
    <mergeCell ref="A57:Q57"/>
    <mergeCell ref="B69:K69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8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8" customWidth="1" min="2" max="2"/>
    <col width="30" customWidth="1" min="3" max="3"/>
    <col width="32" customWidth="1" min="4" max="4"/>
    <col width="8" customWidth="1" min="5" max="5"/>
    <col width="10" customWidth="1" min="6" max="6"/>
    <col width="15" customWidth="1" min="7" max="7"/>
    <col width="16" customWidth="1" min="8" max="8"/>
    <col width="22" customWidth="1" min="9" max="9"/>
    <col width="16" customWidth="1" min="10" max="10"/>
    <col width="20" customWidth="1" min="11" max="11"/>
    <col width="16" customWidth="1" min="12" max="12"/>
    <col width="27" customWidth="1" min="13" max="13"/>
    <col width="30" customWidth="1" min="14" max="14"/>
    <col width="44" customWidth="1" min="15" max="15"/>
    <col width="15" customWidth="1" min="16" max="16"/>
    <col width="14" customWidth="1" min="17" max="17"/>
  </cols>
  <sheetData>
    <row r="1">
      <c r="A1" s="1" t="inlineStr">
        <is>
          <t>BASE DE DATOS COMPLETA DE CATALOGACIÓN: PAISAJISMO</t>
        </is>
      </c>
    </row>
    <row r="2">
      <c r="A2" s="2" t="inlineStr">
        <is>
          <t>Estructura Jerárquica Homogénea: Accesorios &gt; Tuberías &gt; Equipos &gt; Conexiones &gt; Equipos Especializados | Degradé por Niveles (Ecuador - USD)</t>
        </is>
      </c>
    </row>
    <row r="3">
      <c r="A3" s="13" t="inlineStr">
        <is>
          <t>« Volver al Índice General</t>
        </is>
      </c>
    </row>
    <row r="5" ht="30" customHeight="1">
      <c r="A5" s="4" t="inlineStr">
        <is>
          <t>Item</t>
        </is>
      </c>
      <c r="B5" s="4" t="inlineStr">
        <is>
          <t>Descripción de Accesorio / Ítem Especificado</t>
        </is>
      </c>
      <c r="C5" s="4" t="inlineStr">
        <is>
          <t>Clasificación / Ámbito de Uso
(Residencial/Comercial/Industrial)</t>
        </is>
      </c>
      <c r="D5" s="4" t="inlineStr">
        <is>
          <t>Tipo / Familia</t>
        </is>
      </c>
      <c r="E5" s="4" t="inlineStr">
        <is>
          <t>Unidad</t>
        </is>
      </c>
      <c r="F5" s="4" t="inlineStr">
        <is>
          <t>Cant.</t>
        </is>
      </c>
      <c r="G5" s="4" t="inlineStr">
        <is>
          <t>P. Ref. Est. ($)</t>
        </is>
      </c>
      <c r="H5" s="4" t="inlineStr">
        <is>
          <t>P. Unit. Local A ($)
(Vivero local GYE)</t>
        </is>
      </c>
      <c r="I5" s="4" t="inlineStr">
        <is>
          <t>Local A
Especificado</t>
        </is>
      </c>
      <c r="J5" s="4" t="inlineStr">
        <is>
          <t>P. Unit. Local B ($)
(Kywi / Megakywi)</t>
        </is>
      </c>
      <c r="K5" s="4" t="inlineStr">
        <is>
          <t>Local B
Especificado</t>
        </is>
      </c>
      <c r="L5" s="4" t="inlineStr">
        <is>
          <t>Subtotal Est. ($)</t>
        </is>
      </c>
      <c r="M5" s="4" t="inlineStr">
        <is>
          <t>Código DION</t>
        </is>
      </c>
      <c r="N5" s="4" t="inlineStr">
        <is>
          <t>Disciplina</t>
        </is>
      </c>
      <c r="O5" s="4" t="inlineStr">
        <is>
          <t>Fuente del precio</t>
        </is>
      </c>
      <c r="P5" s="4" t="inlineStr">
        <is>
          <t>Fecha precio</t>
        </is>
      </c>
      <c r="Q5" s="4" t="inlineStr">
        <is>
          <t>Rendimiento /
desperdicio %</t>
        </is>
      </c>
    </row>
    <row r="6">
      <c r="A6" s="291" t="inlineStr">
        <is>
          <t>ACCESORIOS</t>
        </is>
      </c>
      <c r="B6" s="143" t="n"/>
      <c r="C6" s="143" t="n"/>
      <c r="D6" s="143" t="n"/>
      <c r="E6" s="143" t="n"/>
      <c r="F6" s="143" t="n"/>
      <c r="G6" s="143" t="n"/>
      <c r="H6" s="143" t="n"/>
      <c r="I6" s="143" t="n"/>
      <c r="J6" s="143" t="n"/>
      <c r="K6" s="143" t="n"/>
      <c r="L6" s="143" t="n"/>
      <c r="M6" s="143" t="n"/>
      <c r="N6" s="143" t="n"/>
      <c r="O6" s="143" t="n"/>
      <c r="P6" s="143" t="n"/>
      <c r="Q6" s="144" t="n"/>
    </row>
    <row r="7">
      <c r="A7" s="292" t="inlineStr">
        <is>
          <t xml:space="preserve">  ► CATEGORÍA: SUSTRATOS, ABONOS Y ENMIENDAS</t>
        </is>
      </c>
      <c r="B7" s="143" t="n"/>
      <c r="C7" s="143" t="n"/>
      <c r="D7" s="143" t="n"/>
      <c r="E7" s="143" t="n"/>
      <c r="F7" s="143" t="n"/>
      <c r="G7" s="143" t="n"/>
      <c r="H7" s="143" t="n"/>
      <c r="I7" s="143" t="n"/>
      <c r="J7" s="143" t="n"/>
      <c r="K7" s="143" t="n"/>
      <c r="L7" s="143" t="n"/>
      <c r="M7" s="143" t="n"/>
      <c r="N7" s="143" t="n"/>
      <c r="O7" s="143" t="n"/>
      <c r="P7" s="143" t="n"/>
      <c r="Q7" s="144" t="n"/>
    </row>
    <row r="8">
      <c r="A8" s="293" t="inlineStr">
        <is>
          <t xml:space="preserve">      • Subcategoría Especificada: Tierra, Abonos, Mulch y Fertilizantes</t>
        </is>
      </c>
      <c r="B8" s="143" t="n"/>
      <c r="C8" s="143" t="n"/>
      <c r="D8" s="143" t="n"/>
      <c r="E8" s="143" t="n"/>
      <c r="F8" s="143" t="n"/>
      <c r="G8" s="143" t="n"/>
      <c r="H8" s="143" t="n"/>
      <c r="I8" s="143" t="n"/>
      <c r="J8" s="143" t="n"/>
      <c r="K8" s="143" t="n"/>
      <c r="L8" s="143" t="n"/>
      <c r="M8" s="143" t="n"/>
      <c r="N8" s="143" t="n"/>
      <c r="O8" s="143" t="n"/>
      <c r="P8" s="143" t="n"/>
      <c r="Q8" s="144" t="n"/>
    </row>
    <row r="9">
      <c r="A9" s="18" t="n">
        <v>1</v>
      </c>
      <c r="B9" s="19" t="inlineStr">
        <is>
          <t xml:space="preserve">        Tierra Negra / Vegetal Cernida (m³)</t>
        </is>
      </c>
      <c r="C9" s="20" t="inlineStr">
        <is>
          <t>Residencial / Comercial</t>
        </is>
      </c>
      <c r="D9" s="18" t="inlineStr">
        <is>
          <t>Tierra</t>
        </is>
      </c>
      <c r="E9" s="18" t="inlineStr">
        <is>
          <t>m3</t>
        </is>
      </c>
      <c r="F9" s="21" t="n">
        <v>10</v>
      </c>
      <c r="G9" s="22" t="n">
        <v>22</v>
      </c>
      <c r="H9" s="22" t="n">
        <v>22.44</v>
      </c>
      <c r="I9" s="18" t="inlineStr">
        <is>
          <t>Vivero local GYE</t>
        </is>
      </c>
      <c r="J9" s="22" t="n">
        <v>24.42</v>
      </c>
      <c r="K9" s="18" t="inlineStr">
        <is>
          <t>Kywi / Megakywi</t>
        </is>
      </c>
      <c r="L9" s="8">
        <f>F9*G9</f>
        <v/>
      </c>
      <c r="M9" s="145" t="inlineStr">
        <is>
          <t>AP-G20-SUS-TIE-NEG</t>
        </is>
      </c>
      <c r="N9" s="18" t="inlineStr">
        <is>
          <t>Paisajismo y obras exteriores</t>
        </is>
      </c>
      <c r="O9" s="18" t="inlineStr">
        <is>
          <t>Estimado DION · criterio de mercado Guayaquil 2026 (no verificado en tienda)</t>
        </is>
      </c>
      <c r="P9" s="18" t="inlineStr">
        <is>
          <t>oct-2026 (est.)</t>
        </is>
      </c>
      <c r="Q9" s="18" t="n">
        <v>10</v>
      </c>
    </row>
    <row r="10">
      <c r="A10" s="294" t="n">
        <v>2</v>
      </c>
      <c r="B10" s="295" t="inlineStr">
        <is>
          <t xml:space="preserve">        Abono Orgánico / Compost (Saco 45 kg)</t>
        </is>
      </c>
      <c r="C10" s="296" t="inlineStr">
        <is>
          <t>Residencial / Comercial</t>
        </is>
      </c>
      <c r="D10" s="294" t="inlineStr">
        <is>
          <t>Abonos</t>
        </is>
      </c>
      <c r="E10" s="294" t="inlineStr">
        <is>
          <t>Saco</t>
        </is>
      </c>
      <c r="F10" s="297" t="n">
        <v>10</v>
      </c>
      <c r="G10" s="298" t="n">
        <v>7.5</v>
      </c>
      <c r="H10" s="298" t="n">
        <v>7.8</v>
      </c>
      <c r="I10" s="294" t="inlineStr">
        <is>
          <t>Vivero local GYE</t>
        </is>
      </c>
      <c r="J10" s="298" t="n">
        <v>8.33</v>
      </c>
      <c r="K10" s="294" t="inlineStr">
        <is>
          <t>Kywi / Megakywi</t>
        </is>
      </c>
      <c r="L10" s="299">
        <f>F10*G10</f>
        <v/>
      </c>
      <c r="M10" s="300" t="inlineStr">
        <is>
          <t>AP-G20-SUS-ABO-ORG</t>
        </is>
      </c>
      <c r="N10" s="294" t="inlineStr">
        <is>
          <t>Paisajismo y obras exteriores</t>
        </is>
      </c>
      <c r="O10" s="294" t="inlineStr">
        <is>
          <t>Estimado DION · criterio de mercado Guayaquil 2026 (no verificado en tienda)</t>
        </is>
      </c>
      <c r="P10" s="294" t="inlineStr">
        <is>
          <t>oct-2026 (est.)</t>
        </is>
      </c>
      <c r="Q10" s="294" t="n">
        <v>5</v>
      </c>
    </row>
    <row r="11">
      <c r="A11" s="18" t="n">
        <v>3</v>
      </c>
      <c r="B11" s="19" t="inlineStr">
        <is>
          <t xml:space="preserve">        Humus de Lombriz (Saco 25 kg)</t>
        </is>
      </c>
      <c r="C11" s="20" t="inlineStr">
        <is>
          <t>Residencial / Comercial</t>
        </is>
      </c>
      <c r="D11" s="18" t="inlineStr">
        <is>
          <t>Abonos</t>
        </is>
      </c>
      <c r="E11" s="18" t="inlineStr">
        <is>
          <t>Saco</t>
        </is>
      </c>
      <c r="F11" s="21" t="n">
        <v>10</v>
      </c>
      <c r="G11" s="22" t="n">
        <v>8.5</v>
      </c>
      <c r="H11" s="22" t="n">
        <v>8.76</v>
      </c>
      <c r="I11" s="18" t="inlineStr">
        <is>
          <t>Vivero local GYE</t>
        </is>
      </c>
      <c r="J11" s="22" t="n">
        <v>9.35</v>
      </c>
      <c r="K11" s="18" t="inlineStr">
        <is>
          <t>Kywi / Megakywi</t>
        </is>
      </c>
      <c r="L11" s="8">
        <f>F11*G11</f>
        <v/>
      </c>
      <c r="M11" s="145" t="inlineStr">
        <is>
          <t>AP-G20-SUS-HUM</t>
        </is>
      </c>
      <c r="N11" s="18" t="inlineStr">
        <is>
          <t>Paisajismo y obras exteriores</t>
        </is>
      </c>
      <c r="O11" s="18" t="inlineStr">
        <is>
          <t>Estimado DION · criterio de mercado Guayaquil 2026 (no verificado en tienda)</t>
        </is>
      </c>
      <c r="P11" s="18" t="inlineStr">
        <is>
          <t>oct-2026 (est.)</t>
        </is>
      </c>
      <c r="Q11" s="18" t="n">
        <v>5</v>
      </c>
    </row>
    <row r="12">
      <c r="A12" s="294" t="n">
        <v>4</v>
      </c>
      <c r="B12" s="295" t="inlineStr">
        <is>
          <t xml:space="preserve">        Mulch / Corteza Decorativa (m³)</t>
        </is>
      </c>
      <c r="C12" s="296" t="inlineStr">
        <is>
          <t>Residencial / Comercial</t>
        </is>
      </c>
      <c r="D12" s="294" t="inlineStr">
        <is>
          <t>Mulch</t>
        </is>
      </c>
      <c r="E12" s="294" t="inlineStr">
        <is>
          <t>m3</t>
        </is>
      </c>
      <c r="F12" s="297" t="n">
        <v>2</v>
      </c>
      <c r="G12" s="298" t="n">
        <v>45</v>
      </c>
      <c r="H12" s="298" t="n">
        <v>46.8</v>
      </c>
      <c r="I12" s="294" t="inlineStr">
        <is>
          <t>Vivero local GYE</t>
        </is>
      </c>
      <c r="J12" s="298" t="n">
        <v>49.95</v>
      </c>
      <c r="K12" s="294" t="inlineStr">
        <is>
          <t>Kywi / Megakywi</t>
        </is>
      </c>
      <c r="L12" s="299">
        <f>F12*G12</f>
        <v/>
      </c>
      <c r="M12" s="300" t="inlineStr">
        <is>
          <t>AP-G20-SUS-MUL</t>
        </is>
      </c>
      <c r="N12" s="294" t="inlineStr">
        <is>
          <t>Paisajismo y obras exteriores</t>
        </is>
      </c>
      <c r="O12" s="294" t="inlineStr">
        <is>
          <t>Estimado DION · criterio de mercado Guayaquil 2026 (no verificado en tienda)</t>
        </is>
      </c>
      <c r="P12" s="294" t="inlineStr">
        <is>
          <t>oct-2026 (est.)</t>
        </is>
      </c>
      <c r="Q12" s="294" t="n">
        <v>10</v>
      </c>
    </row>
    <row r="13">
      <c r="A13" s="18" t="n">
        <v>5</v>
      </c>
      <c r="B13" s="19" t="inlineStr">
        <is>
          <t xml:space="preserve">        Piedra Decorativa / Canto Rodado (m³)</t>
        </is>
      </c>
      <c r="C13" s="20" t="inlineStr">
        <is>
          <t>Residencial / Comercial</t>
        </is>
      </c>
      <c r="D13" s="18" t="inlineStr">
        <is>
          <t>Piedra Decorativa</t>
        </is>
      </c>
      <c r="E13" s="18" t="inlineStr">
        <is>
          <t>m3</t>
        </is>
      </c>
      <c r="F13" s="21" t="n">
        <v>2</v>
      </c>
      <c r="G13" s="22" t="n">
        <v>55</v>
      </c>
      <c r="H13" s="22" t="n">
        <v>57.2</v>
      </c>
      <c r="I13" s="18" t="inlineStr">
        <is>
          <t>Vivero local GYE</t>
        </is>
      </c>
      <c r="J13" s="22" t="n">
        <v>58.85</v>
      </c>
      <c r="K13" s="18" t="inlineStr">
        <is>
          <t>Kywi / Megakywi</t>
        </is>
      </c>
      <c r="L13" s="8">
        <f>F13*G13</f>
        <v/>
      </c>
      <c r="M13" s="145" t="inlineStr">
        <is>
          <t>AP-G20-SUS-PIE-DEC</t>
        </is>
      </c>
      <c r="N13" s="18" t="inlineStr">
        <is>
          <t>Paisajismo y obras exteriores</t>
        </is>
      </c>
      <c r="O13" s="18" t="inlineStr">
        <is>
          <t>Estimado DION · criterio de mercado Guayaquil 2026 (no verificado en tienda)</t>
        </is>
      </c>
      <c r="P13" s="18" t="inlineStr">
        <is>
          <t>oct-2026 (est.)</t>
        </is>
      </c>
      <c r="Q13" s="18" t="n">
        <v>10</v>
      </c>
    </row>
    <row r="14">
      <c r="A14" s="294" t="n">
        <v>6</v>
      </c>
      <c r="B14" s="295" t="inlineStr">
        <is>
          <t xml:space="preserve">        Fertilizante NPK 15-15-15 (Saco 50 kg)</t>
        </is>
      </c>
      <c r="C14" s="296" t="inlineStr">
        <is>
          <t>Residencial / Comercial</t>
        </is>
      </c>
      <c r="D14" s="294" t="inlineStr">
        <is>
          <t>Fertilizantes</t>
        </is>
      </c>
      <c r="E14" s="294" t="inlineStr">
        <is>
          <t>Saco</t>
        </is>
      </c>
      <c r="F14" s="297" t="n">
        <v>1</v>
      </c>
      <c r="G14" s="298" t="n">
        <v>38</v>
      </c>
      <c r="H14" s="298" t="n">
        <v>39.14</v>
      </c>
      <c r="I14" s="294" t="inlineStr">
        <is>
          <t>Vivero local GYE</t>
        </is>
      </c>
      <c r="J14" s="298" t="n">
        <v>42.18</v>
      </c>
      <c r="K14" s="294" t="inlineStr">
        <is>
          <t>Kywi / Megakywi</t>
        </is>
      </c>
      <c r="L14" s="299">
        <f>F14*G14</f>
        <v/>
      </c>
      <c r="M14" s="300" t="inlineStr">
        <is>
          <t>AP-G20-SUS-FER-NPK</t>
        </is>
      </c>
      <c r="N14" s="294" t="inlineStr">
        <is>
          <t>Paisajismo y obras exteriores</t>
        </is>
      </c>
      <c r="O14" s="294" t="inlineStr">
        <is>
          <t>Estimado DION · criterio de mercado Guayaquil 2026 (no verificado en tienda)</t>
        </is>
      </c>
      <c r="P14" s="294" t="inlineStr">
        <is>
          <t>oct-2026 (est.)</t>
        </is>
      </c>
      <c r="Q14" s="294" t="n">
        <v>5</v>
      </c>
    </row>
    <row r="15">
      <c r="A15" s="18" t="n">
        <v>7</v>
      </c>
      <c r="B15" s="19" t="inlineStr">
        <is>
          <t xml:space="preserve">        Hidrorretenedor / Polímero (kg)</t>
        </is>
      </c>
      <c r="C15" s="20" t="inlineStr">
        <is>
          <t>Residencial / Comercial</t>
        </is>
      </c>
      <c r="D15" s="18" t="inlineStr">
        <is>
          <t>Enmiendas</t>
        </is>
      </c>
      <c r="E15" s="18" t="inlineStr">
        <is>
          <t>kg</t>
        </is>
      </c>
      <c r="F15" s="21" t="n">
        <v>2</v>
      </c>
      <c r="G15" s="22" t="n">
        <v>14</v>
      </c>
      <c r="H15" s="22" t="n">
        <v>14.42</v>
      </c>
      <c r="I15" s="18" t="inlineStr">
        <is>
          <t>Vivero local GYE</t>
        </is>
      </c>
      <c r="J15" s="22" t="n">
        <v>15.12</v>
      </c>
      <c r="K15" s="18" t="inlineStr">
        <is>
          <t>Kywi / Megakywi</t>
        </is>
      </c>
      <c r="L15" s="8">
        <f>F15*G15</f>
        <v/>
      </c>
      <c r="M15" s="145" t="inlineStr">
        <is>
          <t>AP-G20-SUS-HID-RET</t>
        </is>
      </c>
      <c r="N15" s="18" t="inlineStr">
        <is>
          <t>Paisajismo y obras exteriores</t>
        </is>
      </c>
      <c r="O15" s="18" t="inlineStr">
        <is>
          <t>Estimado DION · criterio de mercado Guayaquil 2026 (no verificado en tienda)</t>
        </is>
      </c>
      <c r="P15" s="18" t="inlineStr">
        <is>
          <t>oct-2026 (est.)</t>
        </is>
      </c>
      <c r="Q15" s="18" t="n">
        <v>5</v>
      </c>
    </row>
    <row r="16">
      <c r="A16" s="294" t="n">
        <v>8</v>
      </c>
      <c r="B16" s="295" t="inlineStr">
        <is>
          <t xml:space="preserve">        Tutor de Caña / Madera para Árbol</t>
        </is>
      </c>
      <c r="C16" s="296" t="inlineStr">
        <is>
          <t>Residencial / Comercial</t>
        </is>
      </c>
      <c r="D16" s="294" t="inlineStr">
        <is>
          <t>Tutores</t>
        </is>
      </c>
      <c r="E16" s="294" t="inlineStr">
        <is>
          <t>U</t>
        </is>
      </c>
      <c r="F16" s="297" t="n">
        <v>10</v>
      </c>
      <c r="G16" s="298" t="n">
        <v>2.5</v>
      </c>
      <c r="H16" s="298" t="n">
        <v>2.58</v>
      </c>
      <c r="I16" s="294" t="inlineStr">
        <is>
          <t>Vivero local GYE</t>
        </is>
      </c>
      <c r="J16" s="298" t="n">
        <v>2.7</v>
      </c>
      <c r="K16" s="294" t="inlineStr">
        <is>
          <t>Kywi / Megakywi</t>
        </is>
      </c>
      <c r="L16" s="299">
        <f>F16*G16</f>
        <v/>
      </c>
      <c r="M16" s="300" t="inlineStr">
        <is>
          <t>AP-G20-SUS-TUT</t>
        </is>
      </c>
      <c r="N16" s="294" t="inlineStr">
        <is>
          <t>Paisajismo y obras exteriores</t>
        </is>
      </c>
      <c r="O16" s="294" t="inlineStr">
        <is>
          <t>Estimado DION · criterio de mercado Guayaquil 2026 (no verificado en tienda)</t>
        </is>
      </c>
      <c r="P16" s="294" t="inlineStr">
        <is>
          <t>oct-2026 (est.)</t>
        </is>
      </c>
      <c r="Q16" s="294" t="n"/>
    </row>
    <row r="17">
      <c r="A17" s="18" t="n">
        <v>9</v>
      </c>
      <c r="B17" s="19" t="inlineStr">
        <is>
          <t xml:space="preserve">        Malla Antihierba (m²)</t>
        </is>
      </c>
      <c r="C17" s="20" t="inlineStr">
        <is>
          <t>Residencial / Comercial</t>
        </is>
      </c>
      <c r="D17" s="18" t="inlineStr">
        <is>
          <t>Mallas</t>
        </is>
      </c>
      <c r="E17" s="18" t="inlineStr">
        <is>
          <t>m2</t>
        </is>
      </c>
      <c r="F17" s="21" t="n">
        <v>50</v>
      </c>
      <c r="G17" s="22" t="n">
        <v>0.95</v>
      </c>
      <c r="H17" s="22" t="n">
        <v>1</v>
      </c>
      <c r="I17" s="18" t="inlineStr">
        <is>
          <t>Vivero local GYE</t>
        </is>
      </c>
      <c r="J17" s="22" t="n">
        <v>1.02</v>
      </c>
      <c r="K17" s="18" t="inlineStr">
        <is>
          <t>Kywi / Megakywi</t>
        </is>
      </c>
      <c r="L17" s="8">
        <f>F17*G17</f>
        <v/>
      </c>
      <c r="M17" s="145" t="inlineStr">
        <is>
          <t>AP-G20-SUS-MAL-ANT</t>
        </is>
      </c>
      <c r="N17" s="18" t="inlineStr">
        <is>
          <t>Paisajismo y obras exteriores</t>
        </is>
      </c>
      <c r="O17" s="18" t="inlineStr">
        <is>
          <t>Estimado DION · criterio de mercado Guayaquil 2026 (no verificado en tienda)</t>
        </is>
      </c>
      <c r="P17" s="18" t="inlineStr">
        <is>
          <t>oct-2026 (est.)</t>
        </is>
      </c>
      <c r="Q17" s="18" t="n">
        <v>10</v>
      </c>
    </row>
    <row r="18">
      <c r="A18" s="291" t="inlineStr">
        <is>
          <t>TUBERÍAS</t>
        </is>
      </c>
      <c r="B18" s="143" t="n"/>
      <c r="C18" s="143" t="n"/>
      <c r="D18" s="143" t="n"/>
      <c r="E18" s="143" t="n"/>
      <c r="F18" s="143" t="n"/>
      <c r="G18" s="143" t="n"/>
      <c r="H18" s="143" t="n"/>
      <c r="I18" s="143" t="n"/>
      <c r="J18" s="143" t="n"/>
      <c r="K18" s="143" t="n"/>
      <c r="L18" s="143" t="n"/>
      <c r="M18" s="143" t="n"/>
      <c r="N18" s="143" t="n"/>
      <c r="O18" s="143" t="n"/>
      <c r="P18" s="143" t="n"/>
      <c r="Q18" s="144" t="n"/>
    </row>
    <row r="19">
      <c r="A19" s="292" t="inlineStr">
        <is>
          <t xml:space="preserve">  ► CATEGORÍA: SISTEMA DE RIEGO</t>
        </is>
      </c>
      <c r="B19" s="143" t="n"/>
      <c r="C19" s="143" t="n"/>
      <c r="D19" s="143" t="n"/>
      <c r="E19" s="143" t="n"/>
      <c r="F19" s="143" t="n"/>
      <c r="G19" s="143" t="n"/>
      <c r="H19" s="143" t="n"/>
      <c r="I19" s="143" t="n"/>
      <c r="J19" s="143" t="n"/>
      <c r="K19" s="143" t="n"/>
      <c r="L19" s="143" t="n"/>
      <c r="M19" s="143" t="n"/>
      <c r="N19" s="143" t="n"/>
      <c r="O19" s="143" t="n"/>
      <c r="P19" s="143" t="n"/>
      <c r="Q19" s="144" t="n"/>
    </row>
    <row r="20">
      <c r="A20" s="293" t="inlineStr">
        <is>
          <t xml:space="preserve">      • Subcategoría Especificada: Tuberías, Aspersores, Goteo y Control</t>
        </is>
      </c>
      <c r="B20" s="143" t="n"/>
      <c r="C20" s="143" t="n"/>
      <c r="D20" s="143" t="n"/>
      <c r="E20" s="143" t="n"/>
      <c r="F20" s="143" t="n"/>
      <c r="G20" s="143" t="n"/>
      <c r="H20" s="143" t="n"/>
      <c r="I20" s="143" t="n"/>
      <c r="J20" s="143" t="n"/>
      <c r="K20" s="143" t="n"/>
      <c r="L20" s="143" t="n"/>
      <c r="M20" s="143" t="n"/>
      <c r="N20" s="143" t="n"/>
      <c r="O20" s="143" t="n"/>
      <c r="P20" s="143" t="n"/>
      <c r="Q20" s="144" t="n"/>
    </row>
    <row r="21">
      <c r="A21" s="294" t="n">
        <v>10</v>
      </c>
      <c r="B21" s="295" t="inlineStr">
        <is>
          <t xml:space="preserve">        Manguera PEAD Riego 25 mm (m)</t>
        </is>
      </c>
      <c r="C21" s="296" t="inlineStr">
        <is>
          <t>Residencial / Comercial</t>
        </is>
      </c>
      <c r="D21" s="294" t="inlineStr">
        <is>
          <t>Tubería Riego</t>
        </is>
      </c>
      <c r="E21" s="294" t="inlineStr">
        <is>
          <t>m</t>
        </is>
      </c>
      <c r="F21" s="297" t="n">
        <v>100</v>
      </c>
      <c r="G21" s="298" t="n">
        <v>0.82</v>
      </c>
      <c r="H21" s="298" t="n">
        <v>0.86</v>
      </c>
      <c r="I21" s="294" t="inlineStr">
        <is>
          <t>Vivero local GYE</t>
        </is>
      </c>
      <c r="J21" s="298" t="n">
        <v>0.89</v>
      </c>
      <c r="K21" s="294" t="inlineStr">
        <is>
          <t>Kywi / Megakywi</t>
        </is>
      </c>
      <c r="L21" s="299">
        <f>F21*G21</f>
        <v/>
      </c>
      <c r="M21" s="300" t="inlineStr">
        <is>
          <t>IS-D20-TAF-PEAD-025</t>
        </is>
      </c>
      <c r="N21" s="294" t="inlineStr">
        <is>
          <t>Instalaciones sanitarias (hidrosanitarias)</t>
        </is>
      </c>
      <c r="O21" s="294" t="inlineStr">
        <is>
          <t>Estimado DION · criterio de mercado Guayaquil 2026 (no verificado en tienda)</t>
        </is>
      </c>
      <c r="P21" s="294" t="inlineStr">
        <is>
          <t>oct-2026 (est.)</t>
        </is>
      </c>
      <c r="Q21" s="294" t="n">
        <v>5</v>
      </c>
    </row>
    <row r="22">
      <c r="A22" s="18" t="n">
        <v>11</v>
      </c>
      <c r="B22" s="19" t="inlineStr">
        <is>
          <t xml:space="preserve">        Manguera de Goteo 16 mm Gotero Integrado (m)</t>
        </is>
      </c>
      <c r="C22" s="20" t="inlineStr">
        <is>
          <t>Residencial / Comercial</t>
        </is>
      </c>
      <c r="D22" s="18" t="inlineStr">
        <is>
          <t>Goteo</t>
        </is>
      </c>
      <c r="E22" s="18" t="inlineStr">
        <is>
          <t>m</t>
        </is>
      </c>
      <c r="F22" s="21" t="n">
        <v>200</v>
      </c>
      <c r="G22" s="22" t="n">
        <v>0.32</v>
      </c>
      <c r="H22" s="22" t="n">
        <v>0.33</v>
      </c>
      <c r="I22" s="18" t="inlineStr">
        <is>
          <t>Vivero local GYE</t>
        </is>
      </c>
      <c r="J22" s="22" t="n">
        <v>0.35</v>
      </c>
      <c r="K22" s="18" t="inlineStr">
        <is>
          <t>Kywi / Megakywi</t>
        </is>
      </c>
      <c r="L22" s="8">
        <f>F22*G22</f>
        <v/>
      </c>
      <c r="M22" s="145" t="inlineStr">
        <is>
          <t>AP-G20-RIE-GOT-016</t>
        </is>
      </c>
      <c r="N22" s="18" t="inlineStr">
        <is>
          <t>Paisajismo y obras exteriores</t>
        </is>
      </c>
      <c r="O22" s="18" t="inlineStr">
        <is>
          <t>Estimado DION · criterio de mercado Guayaquil 2026 (no verificado en tienda)</t>
        </is>
      </c>
      <c r="P22" s="18" t="inlineStr">
        <is>
          <t>oct-2026 (est.)</t>
        </is>
      </c>
      <c r="Q22" s="18" t="n">
        <v>5</v>
      </c>
    </row>
    <row r="23">
      <c r="A23" s="294" t="n">
        <v>12</v>
      </c>
      <c r="B23" s="295" t="inlineStr">
        <is>
          <t xml:space="preserve">        Aspersor Emergente Rotor 4"</t>
        </is>
      </c>
      <c r="C23" s="296" t="inlineStr">
        <is>
          <t>Residencial / Comercial</t>
        </is>
      </c>
      <c r="D23" s="294" t="inlineStr">
        <is>
          <t>Aspersores</t>
        </is>
      </c>
      <c r="E23" s="294" t="inlineStr">
        <is>
          <t>U</t>
        </is>
      </c>
      <c r="F23" s="297" t="n">
        <v>10</v>
      </c>
      <c r="G23" s="298" t="n">
        <v>12.5</v>
      </c>
      <c r="H23" s="298" t="n">
        <v>12.75</v>
      </c>
      <c r="I23" s="294" t="inlineStr">
        <is>
          <t>Vivero local GYE</t>
        </is>
      </c>
      <c r="J23" s="298" t="n">
        <v>13.88</v>
      </c>
      <c r="K23" s="294" t="inlineStr">
        <is>
          <t>Kywi / Megakywi</t>
        </is>
      </c>
      <c r="L23" s="299">
        <f>F23*G23</f>
        <v/>
      </c>
      <c r="M23" s="300" t="inlineStr">
        <is>
          <t>AP-G20-RIE-ASP-EME</t>
        </is>
      </c>
      <c r="N23" s="294" t="inlineStr">
        <is>
          <t>Paisajismo y obras exteriores</t>
        </is>
      </c>
      <c r="O23" s="294" t="inlineStr">
        <is>
          <t>Estimado DION · criterio de mercado Guayaquil 2026 (no verificado en tienda)</t>
        </is>
      </c>
      <c r="P23" s="294" t="inlineStr">
        <is>
          <t>oct-2026 (est.)</t>
        </is>
      </c>
      <c r="Q23" s="294" t="n"/>
    </row>
    <row r="24">
      <c r="A24" s="18" t="n">
        <v>13</v>
      </c>
      <c r="B24" s="19" t="inlineStr">
        <is>
          <t xml:space="preserve">        Difusor Emergente 4" con Boquilla</t>
        </is>
      </c>
      <c r="C24" s="20" t="inlineStr">
        <is>
          <t>Residencial / Comercial</t>
        </is>
      </c>
      <c r="D24" s="18" t="inlineStr">
        <is>
          <t>Aspersores</t>
        </is>
      </c>
      <c r="E24" s="18" t="inlineStr">
        <is>
          <t>U</t>
        </is>
      </c>
      <c r="F24" s="21" t="n">
        <v>20</v>
      </c>
      <c r="G24" s="22" t="n">
        <v>4.5</v>
      </c>
      <c r="H24" s="22" t="n">
        <v>4.59</v>
      </c>
      <c r="I24" s="18" t="inlineStr">
        <is>
          <t>Vivero local GYE</t>
        </is>
      </c>
      <c r="J24" s="22" t="n">
        <v>4.82</v>
      </c>
      <c r="K24" s="18" t="inlineStr">
        <is>
          <t>Kywi / Megakywi</t>
        </is>
      </c>
      <c r="L24" s="8">
        <f>F24*G24</f>
        <v/>
      </c>
      <c r="M24" s="145" t="inlineStr">
        <is>
          <t>AP-G20-RIE-ASP-DIF</t>
        </is>
      </c>
      <c r="N24" s="18" t="inlineStr">
        <is>
          <t>Paisajismo y obras exteriores</t>
        </is>
      </c>
      <c r="O24" s="18" t="inlineStr">
        <is>
          <t>Estimado DION · criterio de mercado Guayaquil 2026 (no verificado en tienda)</t>
        </is>
      </c>
      <c r="P24" s="18" t="inlineStr">
        <is>
          <t>oct-2026 (est.)</t>
        </is>
      </c>
      <c r="Q24" s="18" t="n"/>
    </row>
    <row r="25">
      <c r="A25" s="294" t="n">
        <v>14</v>
      </c>
      <c r="B25" s="295" t="inlineStr">
        <is>
          <t xml:space="preserve">        Electroválvula de Riego 1" 24VAC</t>
        </is>
      </c>
      <c r="C25" s="296" t="inlineStr">
        <is>
          <t>Residencial / Comercial</t>
        </is>
      </c>
      <c r="D25" s="294" t="inlineStr">
        <is>
          <t>Válvulas Riego</t>
        </is>
      </c>
      <c r="E25" s="294" t="inlineStr">
        <is>
          <t>U</t>
        </is>
      </c>
      <c r="F25" s="297" t="n">
        <v>4</v>
      </c>
      <c r="G25" s="298" t="n">
        <v>32</v>
      </c>
      <c r="H25" s="298" t="n">
        <v>32.64</v>
      </c>
      <c r="I25" s="294" t="inlineStr">
        <is>
          <t>Vivero local GYE</t>
        </is>
      </c>
      <c r="J25" s="298" t="n">
        <v>35.2</v>
      </c>
      <c r="K25" s="294" t="inlineStr">
        <is>
          <t>Kywi / Megakywi</t>
        </is>
      </c>
      <c r="L25" s="299">
        <f>F25*G25</f>
        <v/>
      </c>
      <c r="M25" s="300" t="inlineStr">
        <is>
          <t>AP-G20-RIE-VAL-SOL</t>
        </is>
      </c>
      <c r="N25" s="294" t="inlineStr">
        <is>
          <t>Paisajismo y obras exteriores</t>
        </is>
      </c>
      <c r="O25" s="294" t="inlineStr">
        <is>
          <t>Estimado DION · criterio de mercado Guayaquil 2026 (no verificado en tienda)</t>
        </is>
      </c>
      <c r="P25" s="294" t="inlineStr">
        <is>
          <t>oct-2026 (est.)</t>
        </is>
      </c>
      <c r="Q25" s="294" t="n"/>
    </row>
    <row r="26">
      <c r="A26" s="18" t="n">
        <v>15</v>
      </c>
      <c r="B26" s="19" t="inlineStr">
        <is>
          <t xml:space="preserve">        Programador de Riego 6 Zonas WiFi</t>
        </is>
      </c>
      <c r="C26" s="20" t="inlineStr">
        <is>
          <t>Residencial / Comercial</t>
        </is>
      </c>
      <c r="D26" s="18" t="inlineStr">
        <is>
          <t>Controladores</t>
        </is>
      </c>
      <c r="E26" s="18" t="inlineStr">
        <is>
          <t>U</t>
        </is>
      </c>
      <c r="F26" s="21" t="n">
        <v>1</v>
      </c>
      <c r="G26" s="22" t="n">
        <v>165</v>
      </c>
      <c r="H26" s="22" t="n">
        <v>173.25</v>
      </c>
      <c r="I26" s="18" t="inlineStr">
        <is>
          <t>Vivero local GYE</t>
        </is>
      </c>
      <c r="J26" s="22" t="n">
        <v>178.2</v>
      </c>
      <c r="K26" s="18" t="inlineStr">
        <is>
          <t>Kywi / Megakywi</t>
        </is>
      </c>
      <c r="L26" s="8">
        <f>F26*G26</f>
        <v/>
      </c>
      <c r="M26" s="145" t="inlineStr">
        <is>
          <t>AP-G20-RIE-CON-RIE</t>
        </is>
      </c>
      <c r="N26" s="18" t="inlineStr">
        <is>
          <t>Paisajismo y obras exteriores</t>
        </is>
      </c>
      <c r="O26" s="18" t="inlineStr">
        <is>
          <t>Estimado DION · criterio de mercado Guayaquil 2026 (no verificado en tienda)</t>
        </is>
      </c>
      <c r="P26" s="18" t="inlineStr">
        <is>
          <t>oct-2026 (est.)</t>
        </is>
      </c>
      <c r="Q26" s="18" t="n"/>
    </row>
    <row r="27">
      <c r="A27" s="294" t="n">
        <v>16</v>
      </c>
      <c r="B27" s="295" t="inlineStr">
        <is>
          <t xml:space="preserve">        Sensor de Lluvia</t>
        </is>
      </c>
      <c r="C27" s="296" t="inlineStr">
        <is>
          <t>Residencial / Comercial</t>
        </is>
      </c>
      <c r="D27" s="294" t="inlineStr">
        <is>
          <t>Sensores</t>
        </is>
      </c>
      <c r="E27" s="294" t="inlineStr">
        <is>
          <t>U</t>
        </is>
      </c>
      <c r="F27" s="297" t="n">
        <v>1</v>
      </c>
      <c r="G27" s="298" t="n">
        <v>38</v>
      </c>
      <c r="H27" s="298" t="n">
        <v>39.9</v>
      </c>
      <c r="I27" s="294" t="inlineStr">
        <is>
          <t>Vivero local GYE</t>
        </is>
      </c>
      <c r="J27" s="298" t="n">
        <v>41.04</v>
      </c>
      <c r="K27" s="294" t="inlineStr">
        <is>
          <t>Kywi / Megakywi</t>
        </is>
      </c>
      <c r="L27" s="299">
        <f>F27*G27</f>
        <v/>
      </c>
      <c r="M27" s="300" t="inlineStr">
        <is>
          <t>AP-G20-RIE-SEN-LLU</t>
        </is>
      </c>
      <c r="N27" s="294" t="inlineStr">
        <is>
          <t>Paisajismo y obras exteriores</t>
        </is>
      </c>
      <c r="O27" s="294" t="inlineStr">
        <is>
          <t>Estimado DION · criterio de mercado Guayaquil 2026 (no verificado en tienda)</t>
        </is>
      </c>
      <c r="P27" s="294" t="inlineStr">
        <is>
          <t>oct-2026 (est.)</t>
        </is>
      </c>
      <c r="Q27" s="294" t="n"/>
    </row>
    <row r="28">
      <c r="A28" s="18" t="n">
        <v>17</v>
      </c>
      <c r="B28" s="19" t="inlineStr">
        <is>
          <t xml:space="preserve">        Caja de Válvulas Plástica Rectangular</t>
        </is>
      </c>
      <c r="C28" s="20" t="inlineStr">
        <is>
          <t>Residencial / Comercial</t>
        </is>
      </c>
      <c r="D28" s="18" t="inlineStr">
        <is>
          <t>Cajas Válvulas</t>
        </is>
      </c>
      <c r="E28" s="18" t="inlineStr">
        <is>
          <t>U</t>
        </is>
      </c>
      <c r="F28" s="21" t="n">
        <v>4</v>
      </c>
      <c r="G28" s="22" t="n">
        <v>18</v>
      </c>
      <c r="H28" s="22" t="n">
        <v>18.9</v>
      </c>
      <c r="I28" s="18" t="inlineStr">
        <is>
          <t>Vivero local GYE</t>
        </is>
      </c>
      <c r="J28" s="22" t="n">
        <v>19.26</v>
      </c>
      <c r="K28" s="18" t="inlineStr">
        <is>
          <t>Kywi / Megakywi</t>
        </is>
      </c>
      <c r="L28" s="8">
        <f>F28*G28</f>
        <v/>
      </c>
      <c r="M28" s="145" t="inlineStr">
        <is>
          <t>AP-G20-RIE-CAJ-VAL</t>
        </is>
      </c>
      <c r="N28" s="18" t="inlineStr">
        <is>
          <t>Paisajismo y obras exteriores</t>
        </is>
      </c>
      <c r="O28" s="18" t="inlineStr">
        <is>
          <t>Estimado DION · criterio de mercado Guayaquil 2026 (no verificado en tienda)</t>
        </is>
      </c>
      <c r="P28" s="18" t="inlineStr">
        <is>
          <t>oct-2026 (est.)</t>
        </is>
      </c>
      <c r="Q28" s="18" t="n"/>
    </row>
    <row r="29">
      <c r="A29" s="294" t="n">
        <v>18</v>
      </c>
      <c r="B29" s="295" t="inlineStr">
        <is>
          <t xml:space="preserve">        Toma de Acople Rápido 1"</t>
        </is>
      </c>
      <c r="C29" s="296" t="inlineStr">
        <is>
          <t>Residencial / Comercial</t>
        </is>
      </c>
      <c r="D29" s="294" t="inlineStr">
        <is>
          <t>Tomas Riego</t>
        </is>
      </c>
      <c r="E29" s="294" t="inlineStr">
        <is>
          <t>U</t>
        </is>
      </c>
      <c r="F29" s="297" t="n">
        <v>4</v>
      </c>
      <c r="G29" s="298" t="n">
        <v>22</v>
      </c>
      <c r="H29" s="298" t="n">
        <v>22.44</v>
      </c>
      <c r="I29" s="294" t="inlineStr">
        <is>
          <t>Vivero local GYE</t>
        </is>
      </c>
      <c r="J29" s="298" t="n">
        <v>24.42</v>
      </c>
      <c r="K29" s="294" t="inlineStr">
        <is>
          <t>Kywi / Megakywi</t>
        </is>
      </c>
      <c r="L29" s="299">
        <f>F29*G29</f>
        <v/>
      </c>
      <c r="M29" s="300" t="inlineStr">
        <is>
          <t>AP-G20-RIE-TOM-ACO</t>
        </is>
      </c>
      <c r="N29" s="294" t="inlineStr">
        <is>
          <t>Paisajismo y obras exteriores</t>
        </is>
      </c>
      <c r="O29" s="294" t="inlineStr">
        <is>
          <t>Estimado DION · criterio de mercado Guayaquil 2026 (no verificado en tienda)</t>
        </is>
      </c>
      <c r="P29" s="294" t="inlineStr">
        <is>
          <t>oct-2026 (est.)</t>
        </is>
      </c>
      <c r="Q29" s="294" t="n"/>
    </row>
    <row r="30">
      <c r="A30" s="18" t="n">
        <v>19</v>
      </c>
      <c r="B30" s="19" t="inlineStr">
        <is>
          <t xml:space="preserve">        Bomba de Riego 1 HP</t>
        </is>
      </c>
      <c r="C30" s="20" t="inlineStr">
        <is>
          <t>Residencial / Comercial</t>
        </is>
      </c>
      <c r="D30" s="18" t="inlineStr">
        <is>
          <t>Bombas Riego</t>
        </is>
      </c>
      <c r="E30" s="18" t="inlineStr">
        <is>
          <t>U</t>
        </is>
      </c>
      <c r="F30" s="21" t="n">
        <v>1</v>
      </c>
      <c r="G30" s="22" t="n">
        <v>195</v>
      </c>
      <c r="H30" s="22" t="n">
        <v>200.85</v>
      </c>
      <c r="I30" s="18" t="inlineStr">
        <is>
          <t>Vivero local GYE</t>
        </is>
      </c>
      <c r="J30" s="22" t="n">
        <v>208.65</v>
      </c>
      <c r="K30" s="18" t="inlineStr">
        <is>
          <t>Kywi / Megakywi</t>
        </is>
      </c>
      <c r="L30" s="8">
        <f>F30*G30</f>
        <v/>
      </c>
      <c r="M30" s="145" t="inlineStr">
        <is>
          <t>AP-G20-RIE-BOM-1HP</t>
        </is>
      </c>
      <c r="N30" s="18" t="inlineStr">
        <is>
          <t>Paisajismo y obras exteriores</t>
        </is>
      </c>
      <c r="O30" s="18" t="inlineStr">
        <is>
          <t>Estimado DION · criterio de mercado Guayaquil 2026 (no verificado en tienda)</t>
        </is>
      </c>
      <c r="P30" s="18" t="inlineStr">
        <is>
          <t>oct-2026 (est.)</t>
        </is>
      </c>
      <c r="Q30" s="18" t="n"/>
    </row>
    <row r="31">
      <c r="A31" s="291" t="inlineStr">
        <is>
          <t>EQUIPOS</t>
        </is>
      </c>
      <c r="B31" s="143" t="n"/>
      <c r="C31" s="143" t="n"/>
      <c r="D31" s="143" t="n"/>
      <c r="E31" s="143" t="n"/>
      <c r="F31" s="143" t="n"/>
      <c r="G31" s="143" t="n"/>
      <c r="H31" s="143" t="n"/>
      <c r="I31" s="143" t="n"/>
      <c r="J31" s="143" t="n"/>
      <c r="K31" s="143" t="n"/>
      <c r="L31" s="143" t="n"/>
      <c r="M31" s="143" t="n"/>
      <c r="N31" s="143" t="n"/>
      <c r="O31" s="143" t="n"/>
      <c r="P31" s="143" t="n"/>
      <c r="Q31" s="144" t="n"/>
    </row>
    <row r="32">
      <c r="A32" s="292" t="inlineStr">
        <is>
          <t xml:space="preserve">  ► CATEGORÍA: VEGETACIÓN</t>
        </is>
      </c>
      <c r="B32" s="143" t="n"/>
      <c r="C32" s="143" t="n"/>
      <c r="D32" s="143" t="n"/>
      <c r="E32" s="143" t="n"/>
      <c r="F32" s="143" t="n"/>
      <c r="G32" s="143" t="n"/>
      <c r="H32" s="143" t="n"/>
      <c r="I32" s="143" t="n"/>
      <c r="J32" s="143" t="n"/>
      <c r="K32" s="143" t="n"/>
      <c r="L32" s="143" t="n"/>
      <c r="M32" s="143" t="n"/>
      <c r="N32" s="143" t="n"/>
      <c r="O32" s="143" t="n"/>
      <c r="P32" s="143" t="n"/>
      <c r="Q32" s="144" t="n"/>
    </row>
    <row r="33">
      <c r="A33" s="293" t="inlineStr">
        <is>
          <t xml:space="preserve">      • Subcategoría Especificada: Especies Nativas y Adaptadas a Costa (Guayaquil)</t>
        </is>
      </c>
      <c r="B33" s="143" t="n"/>
      <c r="C33" s="143" t="n"/>
      <c r="D33" s="143" t="n"/>
      <c r="E33" s="143" t="n"/>
      <c r="F33" s="143" t="n"/>
      <c r="G33" s="143" t="n"/>
      <c r="H33" s="143" t="n"/>
      <c r="I33" s="143" t="n"/>
      <c r="J33" s="143" t="n"/>
      <c r="K33" s="143" t="n"/>
      <c r="L33" s="143" t="n"/>
      <c r="M33" s="143" t="n"/>
      <c r="N33" s="143" t="n"/>
      <c r="O33" s="143" t="n"/>
      <c r="P33" s="143" t="n"/>
      <c r="Q33" s="144" t="n"/>
    </row>
    <row r="34">
      <c r="A34" s="294" t="n">
        <v>20</v>
      </c>
      <c r="B34" s="295" t="inlineStr">
        <is>
          <t xml:space="preserve">        Árbol Guayacán Amarillo h=2.0–2.5 m</t>
        </is>
      </c>
      <c r="C34" s="296" t="inlineStr">
        <is>
          <t>Residencial / Comercial</t>
        </is>
      </c>
      <c r="D34" s="294" t="inlineStr">
        <is>
          <t>Árboles</t>
        </is>
      </c>
      <c r="E34" s="294" t="inlineStr">
        <is>
          <t>U</t>
        </is>
      </c>
      <c r="F34" s="297" t="n">
        <v>20</v>
      </c>
      <c r="G34" s="298" t="n">
        <v>35</v>
      </c>
      <c r="H34" s="298" t="n">
        <v>35.7</v>
      </c>
      <c r="I34" s="294" t="inlineStr">
        <is>
          <t>Vivero local GYE</t>
        </is>
      </c>
      <c r="J34" s="298" t="n">
        <v>38.5</v>
      </c>
      <c r="K34" s="294" t="inlineStr">
        <is>
          <t>Kywi / Megakywi</t>
        </is>
      </c>
      <c r="L34" s="299">
        <f>F34*G34</f>
        <v/>
      </c>
      <c r="M34" s="300" t="inlineStr">
        <is>
          <t>AP-G20-VEG-ARB-GUA</t>
        </is>
      </c>
      <c r="N34" s="294" t="inlineStr">
        <is>
          <t>Paisajismo y obras exteriores</t>
        </is>
      </c>
      <c r="O34" s="294" t="inlineStr">
        <is>
          <t>Estimado DION · criterio de mercado Guayaquil 2026 (no verificado en tienda)</t>
        </is>
      </c>
      <c r="P34" s="294" t="inlineStr">
        <is>
          <t>oct-2026 (est.)</t>
        </is>
      </c>
      <c r="Q34" s="294" t="n"/>
    </row>
    <row r="35">
      <c r="A35" s="18" t="n">
        <v>21</v>
      </c>
      <c r="B35" s="19" t="inlineStr">
        <is>
          <t xml:space="preserve">        Árbol Samán h=2 m</t>
        </is>
      </c>
      <c r="C35" s="20" t="inlineStr">
        <is>
          <t>Residencial / Comercial</t>
        </is>
      </c>
      <c r="D35" s="18" t="inlineStr">
        <is>
          <t>Árboles</t>
        </is>
      </c>
      <c r="E35" s="18" t="inlineStr">
        <is>
          <t>U</t>
        </is>
      </c>
      <c r="F35" s="21" t="n">
        <v>20</v>
      </c>
      <c r="G35" s="22" t="n">
        <v>28</v>
      </c>
      <c r="H35" s="22" t="n">
        <v>29.12</v>
      </c>
      <c r="I35" s="18" t="inlineStr">
        <is>
          <t>Vivero local GYE</t>
        </is>
      </c>
      <c r="J35" s="22" t="n">
        <v>30.24</v>
      </c>
      <c r="K35" s="18" t="inlineStr">
        <is>
          <t>Kywi / Megakywi</t>
        </is>
      </c>
      <c r="L35" s="8">
        <f>F35*G35</f>
        <v/>
      </c>
      <c r="M35" s="145" t="inlineStr">
        <is>
          <t>AP-G20-VEG-ARB-SAM</t>
        </is>
      </c>
      <c r="N35" s="18" t="inlineStr">
        <is>
          <t>Paisajismo y obras exteriores</t>
        </is>
      </c>
      <c r="O35" s="18" t="inlineStr">
        <is>
          <t>Estimado DION · criterio de mercado Guayaquil 2026 (no verificado en tienda)</t>
        </is>
      </c>
      <c r="P35" s="18" t="inlineStr">
        <is>
          <t>oct-2026 (est.)</t>
        </is>
      </c>
      <c r="Q35" s="18" t="n"/>
    </row>
    <row r="36">
      <c r="A36" s="294" t="n">
        <v>22</v>
      </c>
      <c r="B36" s="295" t="inlineStr">
        <is>
          <t xml:space="preserve">        Árbol Ceibo h=2 m</t>
        </is>
      </c>
      <c r="C36" s="296" t="inlineStr">
        <is>
          <t>Residencial / Comercial</t>
        </is>
      </c>
      <c r="D36" s="294" t="inlineStr">
        <is>
          <t>Árboles</t>
        </is>
      </c>
      <c r="E36" s="294" t="inlineStr">
        <is>
          <t>U</t>
        </is>
      </c>
      <c r="F36" s="297" t="n">
        <v>20</v>
      </c>
      <c r="G36" s="298" t="n">
        <v>30</v>
      </c>
      <c r="H36" s="298" t="n">
        <v>31.5</v>
      </c>
      <c r="I36" s="294" t="inlineStr">
        <is>
          <t>Vivero local GYE</t>
        </is>
      </c>
      <c r="J36" s="298" t="n">
        <v>33.3</v>
      </c>
      <c r="K36" s="294" t="inlineStr">
        <is>
          <t>Kywi / Megakywi</t>
        </is>
      </c>
      <c r="L36" s="299">
        <f>F36*G36</f>
        <v/>
      </c>
      <c r="M36" s="300" t="inlineStr">
        <is>
          <t>AP-G20-VEG-ARB-CEI</t>
        </is>
      </c>
      <c r="N36" s="294" t="inlineStr">
        <is>
          <t>Paisajismo y obras exteriores</t>
        </is>
      </c>
      <c r="O36" s="294" t="inlineStr">
        <is>
          <t>Estimado DION · criterio de mercado Guayaquil 2026 (no verificado en tienda)</t>
        </is>
      </c>
      <c r="P36" s="294" t="inlineStr">
        <is>
          <t>oct-2026 (est.)</t>
        </is>
      </c>
      <c r="Q36" s="294" t="n"/>
    </row>
    <row r="37">
      <c r="A37" s="18" t="n">
        <v>23</v>
      </c>
      <c r="B37" s="19" t="inlineStr">
        <is>
          <t xml:space="preserve">        Árbol Fernán Sánchez h=2 m</t>
        </is>
      </c>
      <c r="C37" s="20" t="inlineStr">
        <is>
          <t>Residencial / Comercial</t>
        </is>
      </c>
      <c r="D37" s="18" t="inlineStr">
        <is>
          <t>Árboles</t>
        </is>
      </c>
      <c r="E37" s="18" t="inlineStr">
        <is>
          <t>U</t>
        </is>
      </c>
      <c r="F37" s="21" t="n">
        <v>20</v>
      </c>
      <c r="G37" s="22" t="n">
        <v>30</v>
      </c>
      <c r="H37" s="22" t="n">
        <v>31.5</v>
      </c>
      <c r="I37" s="18" t="inlineStr">
        <is>
          <t>Vivero local GYE</t>
        </is>
      </c>
      <c r="J37" s="22" t="n">
        <v>32.7</v>
      </c>
      <c r="K37" s="18" t="inlineStr">
        <is>
          <t>Kywi / Megakywi</t>
        </is>
      </c>
      <c r="L37" s="8">
        <f>F37*G37</f>
        <v/>
      </c>
      <c r="M37" s="145" t="inlineStr">
        <is>
          <t>AP-G20-VEG-ARB-FER</t>
        </is>
      </c>
      <c r="N37" s="18" t="inlineStr">
        <is>
          <t>Paisajismo y obras exteriores</t>
        </is>
      </c>
      <c r="O37" s="18" t="inlineStr">
        <is>
          <t>Estimado DION · criterio de mercado Guayaquil 2026 (no verificado en tienda)</t>
        </is>
      </c>
      <c r="P37" s="18" t="inlineStr">
        <is>
          <t>oct-2026 (est.)</t>
        </is>
      </c>
      <c r="Q37" s="18" t="n"/>
    </row>
    <row r="38">
      <c r="A38" s="294" t="n">
        <v>24</v>
      </c>
      <c r="B38" s="295" t="inlineStr">
        <is>
          <t xml:space="preserve">        Árbol Laurel h=2 m</t>
        </is>
      </c>
      <c r="C38" s="296" t="inlineStr">
        <is>
          <t>Residencial / Comercial</t>
        </is>
      </c>
      <c r="D38" s="294" t="inlineStr">
        <is>
          <t>Árboles</t>
        </is>
      </c>
      <c r="E38" s="294" t="inlineStr">
        <is>
          <t>U</t>
        </is>
      </c>
      <c r="F38" s="297" t="n">
        <v>20</v>
      </c>
      <c r="G38" s="298" t="n">
        <v>25</v>
      </c>
      <c r="H38" s="298" t="n">
        <v>26.25</v>
      </c>
      <c r="I38" s="294" t="inlineStr">
        <is>
          <t>Vivero local GYE</t>
        </is>
      </c>
      <c r="J38" s="298" t="n">
        <v>27.75</v>
      </c>
      <c r="K38" s="294" t="inlineStr">
        <is>
          <t>Kywi / Megakywi</t>
        </is>
      </c>
      <c r="L38" s="299">
        <f>F38*G38</f>
        <v/>
      </c>
      <c r="M38" s="300" t="inlineStr">
        <is>
          <t>AP-G20-VEG-ARB-LAU</t>
        </is>
      </c>
      <c r="N38" s="294" t="inlineStr">
        <is>
          <t>Paisajismo y obras exteriores</t>
        </is>
      </c>
      <c r="O38" s="294" t="inlineStr">
        <is>
          <t>Estimado DION · criterio de mercado Guayaquil 2026 (no verificado en tienda)</t>
        </is>
      </c>
      <c r="P38" s="294" t="inlineStr">
        <is>
          <t>oct-2026 (est.)</t>
        </is>
      </c>
      <c r="Q38" s="294" t="n"/>
    </row>
    <row r="39">
      <c r="A39" s="18" t="n">
        <v>25</v>
      </c>
      <c r="B39" s="19" t="inlineStr">
        <is>
          <t xml:space="preserve">        Árbol Niguito h=2 m</t>
        </is>
      </c>
      <c r="C39" s="20" t="inlineStr">
        <is>
          <t>Residencial / Comercial</t>
        </is>
      </c>
      <c r="D39" s="18" t="inlineStr">
        <is>
          <t>Árboles</t>
        </is>
      </c>
      <c r="E39" s="18" t="inlineStr">
        <is>
          <t>U</t>
        </is>
      </c>
      <c r="F39" s="21" t="n">
        <v>20</v>
      </c>
      <c r="G39" s="22" t="n">
        <v>22</v>
      </c>
      <c r="H39" s="22" t="n">
        <v>22.88</v>
      </c>
      <c r="I39" s="18" t="inlineStr">
        <is>
          <t>Vivero local GYE</t>
        </is>
      </c>
      <c r="J39" s="22" t="n">
        <v>23.54</v>
      </c>
      <c r="K39" s="18" t="inlineStr">
        <is>
          <t>Kywi / Megakywi</t>
        </is>
      </c>
      <c r="L39" s="8">
        <f>F39*G39</f>
        <v/>
      </c>
      <c r="M39" s="145" t="inlineStr">
        <is>
          <t>AP-G20-VEG-ARB-NIG</t>
        </is>
      </c>
      <c r="N39" s="18" t="inlineStr">
        <is>
          <t>Paisajismo y obras exteriores</t>
        </is>
      </c>
      <c r="O39" s="18" t="inlineStr">
        <is>
          <t>Estimado DION · criterio de mercado Guayaquil 2026 (no verificado en tienda)</t>
        </is>
      </c>
      <c r="P39" s="18" t="inlineStr">
        <is>
          <t>oct-2026 (est.)</t>
        </is>
      </c>
      <c r="Q39" s="18" t="n"/>
    </row>
    <row r="40">
      <c r="A40" s="294" t="n">
        <v>26</v>
      </c>
      <c r="B40" s="295" t="inlineStr">
        <is>
          <t xml:space="preserve">        Árbol Algarrobo h=1.5 m</t>
        </is>
      </c>
      <c r="C40" s="296" t="inlineStr">
        <is>
          <t>Residencial / Comercial</t>
        </is>
      </c>
      <c r="D40" s="294" t="inlineStr">
        <is>
          <t>Árboles</t>
        </is>
      </c>
      <c r="E40" s="294" t="inlineStr">
        <is>
          <t>U</t>
        </is>
      </c>
      <c r="F40" s="297" t="n">
        <v>20</v>
      </c>
      <c r="G40" s="298" t="n">
        <v>22</v>
      </c>
      <c r="H40" s="298" t="n">
        <v>22.44</v>
      </c>
      <c r="I40" s="294" t="inlineStr">
        <is>
          <t>Vivero local GYE</t>
        </is>
      </c>
      <c r="J40" s="298" t="n">
        <v>23.98</v>
      </c>
      <c r="K40" s="294" t="inlineStr">
        <is>
          <t>Kywi / Megakywi</t>
        </is>
      </c>
      <c r="L40" s="299">
        <f>F40*G40</f>
        <v/>
      </c>
      <c r="M40" s="300" t="inlineStr">
        <is>
          <t>AP-G20-VEG-ARB-ALG</t>
        </is>
      </c>
      <c r="N40" s="294" t="inlineStr">
        <is>
          <t>Paisajismo y obras exteriores</t>
        </is>
      </c>
      <c r="O40" s="294" t="inlineStr">
        <is>
          <t>Estimado DION · criterio de mercado Guayaquil 2026 (no verificado en tienda)</t>
        </is>
      </c>
      <c r="P40" s="294" t="inlineStr">
        <is>
          <t>oct-2026 (est.)</t>
        </is>
      </c>
      <c r="Q40" s="294" t="n"/>
    </row>
    <row r="41">
      <c r="A41" s="18" t="n">
        <v>27</v>
      </c>
      <c r="B41" s="19" t="inlineStr">
        <is>
          <t xml:space="preserve">        Palma Real h=3 m</t>
        </is>
      </c>
      <c r="C41" s="20" t="inlineStr">
        <is>
          <t>Residencial / Comercial</t>
        </is>
      </c>
      <c r="D41" s="18" t="inlineStr">
        <is>
          <t>Árboles</t>
        </is>
      </c>
      <c r="E41" s="18" t="inlineStr">
        <is>
          <t>U</t>
        </is>
      </c>
      <c r="F41" s="21" t="n">
        <v>20</v>
      </c>
      <c r="G41" s="22" t="n">
        <v>85</v>
      </c>
      <c r="H41" s="22" t="n">
        <v>86.7</v>
      </c>
      <c r="I41" s="18" t="inlineStr">
        <is>
          <t>Vivero local GYE</t>
        </is>
      </c>
      <c r="J41" s="22" t="n">
        <v>93.5</v>
      </c>
      <c r="K41" s="18" t="inlineStr">
        <is>
          <t>Kywi / Megakywi</t>
        </is>
      </c>
      <c r="L41" s="8">
        <f>F41*G41</f>
        <v/>
      </c>
      <c r="M41" s="145" t="inlineStr">
        <is>
          <t>AP-G20-VEG-ARB-PAL-REA</t>
        </is>
      </c>
      <c r="N41" s="18" t="inlineStr">
        <is>
          <t>Paisajismo y obras exteriores</t>
        </is>
      </c>
      <c r="O41" s="18" t="inlineStr">
        <is>
          <t>Estimado DION · criterio de mercado Guayaquil 2026 (no verificado en tienda)</t>
        </is>
      </c>
      <c r="P41" s="18" t="inlineStr">
        <is>
          <t>oct-2026 (est.)</t>
        </is>
      </c>
      <c r="Q41" s="18" t="n"/>
    </row>
    <row r="42">
      <c r="A42" s="294" t="n">
        <v>28</v>
      </c>
      <c r="B42" s="295" t="inlineStr">
        <is>
          <t xml:space="preserve">        Palma de Coco h=2.5 m</t>
        </is>
      </c>
      <c r="C42" s="296" t="inlineStr">
        <is>
          <t>Residencial / Comercial</t>
        </is>
      </c>
      <c r="D42" s="294" t="inlineStr">
        <is>
          <t>Árboles</t>
        </is>
      </c>
      <c r="E42" s="294" t="inlineStr">
        <is>
          <t>U</t>
        </is>
      </c>
      <c r="F42" s="297" t="n">
        <v>20</v>
      </c>
      <c r="G42" s="298" t="n">
        <v>65</v>
      </c>
      <c r="H42" s="298" t="n">
        <v>67.59999999999999</v>
      </c>
      <c r="I42" s="294" t="inlineStr">
        <is>
          <t>Vivero local GYE</t>
        </is>
      </c>
      <c r="J42" s="298" t="n">
        <v>70.84999999999999</v>
      </c>
      <c r="K42" s="294" t="inlineStr">
        <is>
          <t>Kywi / Megakywi</t>
        </is>
      </c>
      <c r="L42" s="299">
        <f>F42*G42</f>
        <v/>
      </c>
      <c r="M42" s="300" t="inlineStr">
        <is>
          <t>AP-G20-VEG-ARB-PAL-COC</t>
        </is>
      </c>
      <c r="N42" s="294" t="inlineStr">
        <is>
          <t>Paisajismo y obras exteriores</t>
        </is>
      </c>
      <c r="O42" s="294" t="inlineStr">
        <is>
          <t>Estimado DION · criterio de mercado Guayaquil 2026 (no verificado en tienda)</t>
        </is>
      </c>
      <c r="P42" s="294" t="inlineStr">
        <is>
          <t>oct-2026 (est.)</t>
        </is>
      </c>
      <c r="Q42" s="294" t="n"/>
    </row>
    <row r="43">
      <c r="A43" s="18" t="n">
        <v>29</v>
      </c>
      <c r="B43" s="19" t="inlineStr">
        <is>
          <t xml:space="preserve">        Palma Areca h=1.8 m</t>
        </is>
      </c>
      <c r="C43" s="20" t="inlineStr">
        <is>
          <t>Residencial / Comercial</t>
        </is>
      </c>
      <c r="D43" s="18" t="inlineStr">
        <is>
          <t>Árboles</t>
        </is>
      </c>
      <c r="E43" s="18" t="inlineStr">
        <is>
          <t>U</t>
        </is>
      </c>
      <c r="F43" s="21" t="n">
        <v>20</v>
      </c>
      <c r="G43" s="22" t="n">
        <v>28</v>
      </c>
      <c r="H43" s="22" t="n">
        <v>29.12</v>
      </c>
      <c r="I43" s="18" t="inlineStr">
        <is>
          <t>Vivero local GYE</t>
        </is>
      </c>
      <c r="J43" s="22" t="n">
        <v>30.52</v>
      </c>
      <c r="K43" s="18" t="inlineStr">
        <is>
          <t>Kywi / Megakywi</t>
        </is>
      </c>
      <c r="L43" s="8">
        <f>F43*G43</f>
        <v/>
      </c>
      <c r="M43" s="145" t="inlineStr">
        <is>
          <t>AP-G20-VEG-ARB-PAL-ARE</t>
        </is>
      </c>
      <c r="N43" s="18" t="inlineStr">
        <is>
          <t>Paisajismo y obras exteriores</t>
        </is>
      </c>
      <c r="O43" s="18" t="inlineStr">
        <is>
          <t>Estimado DION · criterio de mercado Guayaquil 2026 (no verificado en tienda)</t>
        </is>
      </c>
      <c r="P43" s="18" t="inlineStr">
        <is>
          <t>oct-2026 (est.)</t>
        </is>
      </c>
      <c r="Q43" s="18" t="n"/>
    </row>
    <row r="44">
      <c r="A44" s="294" t="n">
        <v>30</v>
      </c>
      <c r="B44" s="295" t="inlineStr">
        <is>
          <t xml:space="preserve">        Árbol Almendro h=2 m</t>
        </is>
      </c>
      <c r="C44" s="296" t="inlineStr">
        <is>
          <t>Residencial / Comercial</t>
        </is>
      </c>
      <c r="D44" s="294" t="inlineStr">
        <is>
          <t>Árboles</t>
        </is>
      </c>
      <c r="E44" s="294" t="inlineStr">
        <is>
          <t>U</t>
        </is>
      </c>
      <c r="F44" s="297" t="n">
        <v>20</v>
      </c>
      <c r="G44" s="298" t="n">
        <v>25</v>
      </c>
      <c r="H44" s="298" t="n">
        <v>25.75</v>
      </c>
      <c r="I44" s="294" t="inlineStr">
        <is>
          <t>Vivero local GYE</t>
        </is>
      </c>
      <c r="J44" s="298" t="n">
        <v>27.25</v>
      </c>
      <c r="K44" s="294" t="inlineStr">
        <is>
          <t>Kywi / Megakywi</t>
        </is>
      </c>
      <c r="L44" s="299">
        <f>F44*G44</f>
        <v/>
      </c>
      <c r="M44" s="300" t="inlineStr">
        <is>
          <t>AP-G20-VEG-ARB-ALI</t>
        </is>
      </c>
      <c r="N44" s="294" t="inlineStr">
        <is>
          <t>Paisajismo y obras exteriores</t>
        </is>
      </c>
      <c r="O44" s="294" t="inlineStr">
        <is>
          <t>Estimado DION · criterio de mercado Guayaquil 2026 (no verificado en tienda)</t>
        </is>
      </c>
      <c r="P44" s="294" t="inlineStr">
        <is>
          <t>oct-2026 (est.)</t>
        </is>
      </c>
      <c r="Q44" s="294" t="n"/>
    </row>
    <row r="45">
      <c r="A45" s="18" t="n">
        <v>31</v>
      </c>
      <c r="B45" s="19" t="inlineStr">
        <is>
          <t xml:space="preserve">        Árbol de Mango Injerto h=1.5 m</t>
        </is>
      </c>
      <c r="C45" s="20" t="inlineStr">
        <is>
          <t>Residencial / Comercial</t>
        </is>
      </c>
      <c r="D45" s="18" t="inlineStr">
        <is>
          <t>Árboles</t>
        </is>
      </c>
      <c r="E45" s="18" t="inlineStr">
        <is>
          <t>U</t>
        </is>
      </c>
      <c r="F45" s="21" t="n">
        <v>20</v>
      </c>
      <c r="G45" s="22" t="n">
        <v>18</v>
      </c>
      <c r="H45" s="22" t="n">
        <v>18.54</v>
      </c>
      <c r="I45" s="18" t="inlineStr">
        <is>
          <t>Vivero local GYE</t>
        </is>
      </c>
      <c r="J45" s="22" t="n">
        <v>19.26</v>
      </c>
      <c r="K45" s="18" t="inlineStr">
        <is>
          <t>Kywi / Megakywi</t>
        </is>
      </c>
      <c r="L45" s="8">
        <f>F45*G45</f>
        <v/>
      </c>
      <c r="M45" s="145" t="inlineStr">
        <is>
          <t>AP-G20-VEG-ARB-MAN</t>
        </is>
      </c>
      <c r="N45" s="18" t="inlineStr">
        <is>
          <t>Paisajismo y obras exteriores</t>
        </is>
      </c>
      <c r="O45" s="18" t="inlineStr">
        <is>
          <t>Estimado DION · criterio de mercado Guayaquil 2026 (no verificado en tienda)</t>
        </is>
      </c>
      <c r="P45" s="18" t="inlineStr">
        <is>
          <t>oct-2026 (est.)</t>
        </is>
      </c>
      <c r="Q45" s="18" t="n"/>
    </row>
    <row r="46">
      <c r="A46" s="294" t="n">
        <v>32</v>
      </c>
      <c r="B46" s="295" t="inlineStr">
        <is>
          <t xml:space="preserve">        Arbusto Veranera / Buganvilla</t>
        </is>
      </c>
      <c r="C46" s="296" t="inlineStr">
        <is>
          <t>Residencial / Comercial</t>
        </is>
      </c>
      <c r="D46" s="294" t="inlineStr">
        <is>
          <t>Arbustos</t>
        </is>
      </c>
      <c r="E46" s="294" t="inlineStr">
        <is>
          <t>U</t>
        </is>
      </c>
      <c r="F46" s="297" t="n">
        <v>20</v>
      </c>
      <c r="G46" s="298" t="n">
        <v>4.5</v>
      </c>
      <c r="H46" s="298" t="n">
        <v>4.73</v>
      </c>
      <c r="I46" s="294" t="inlineStr">
        <is>
          <t>Vivero local GYE</t>
        </is>
      </c>
      <c r="J46" s="298" t="n">
        <v>4.91</v>
      </c>
      <c r="K46" s="294" t="inlineStr">
        <is>
          <t>Kywi / Megakywi</t>
        </is>
      </c>
      <c r="L46" s="299">
        <f>F46*G46</f>
        <v/>
      </c>
      <c r="M46" s="300" t="inlineStr">
        <is>
          <t>AP-G20-VEG-ARS-VER</t>
        </is>
      </c>
      <c r="N46" s="294" t="inlineStr">
        <is>
          <t>Paisajismo y obras exteriores</t>
        </is>
      </c>
      <c r="O46" s="294" t="inlineStr">
        <is>
          <t>Estimado DION · criterio de mercado Guayaquil 2026 (no verificado en tienda)</t>
        </is>
      </c>
      <c r="P46" s="294" t="inlineStr">
        <is>
          <t>oct-2026 (est.)</t>
        </is>
      </c>
      <c r="Q46" s="294" t="n"/>
    </row>
    <row r="47">
      <c r="A47" s="18" t="n">
        <v>33</v>
      </c>
      <c r="B47" s="19" t="inlineStr">
        <is>
          <t xml:space="preserve">        Arbusto Croton</t>
        </is>
      </c>
      <c r="C47" s="20" t="inlineStr">
        <is>
          <t>Residencial / Comercial</t>
        </is>
      </c>
      <c r="D47" s="18" t="inlineStr">
        <is>
          <t>Arbustos</t>
        </is>
      </c>
      <c r="E47" s="18" t="inlineStr">
        <is>
          <t>U</t>
        </is>
      </c>
      <c r="F47" s="21" t="n">
        <v>20</v>
      </c>
      <c r="G47" s="22" t="n">
        <v>3.5</v>
      </c>
      <c r="H47" s="22" t="n">
        <v>3.6</v>
      </c>
      <c r="I47" s="18" t="inlineStr">
        <is>
          <t>Vivero local GYE</t>
        </is>
      </c>
      <c r="J47" s="22" t="n">
        <v>3.82</v>
      </c>
      <c r="K47" s="18" t="inlineStr">
        <is>
          <t>Kywi / Megakywi</t>
        </is>
      </c>
      <c r="L47" s="8">
        <f>F47*G47</f>
        <v/>
      </c>
      <c r="M47" s="145" t="inlineStr">
        <is>
          <t>AP-G20-VEG-ARS-CRO</t>
        </is>
      </c>
      <c r="N47" s="18" t="inlineStr">
        <is>
          <t>Paisajismo y obras exteriores</t>
        </is>
      </c>
      <c r="O47" s="18" t="inlineStr">
        <is>
          <t>Estimado DION · criterio de mercado Guayaquil 2026 (no verificado en tienda)</t>
        </is>
      </c>
      <c r="P47" s="18" t="inlineStr">
        <is>
          <t>oct-2026 (est.)</t>
        </is>
      </c>
      <c r="Q47" s="18" t="n"/>
    </row>
    <row r="48">
      <c r="A48" s="294" t="n">
        <v>34</v>
      </c>
      <c r="B48" s="295" t="inlineStr">
        <is>
          <t xml:space="preserve">        Arbusto Ixora</t>
        </is>
      </c>
      <c r="C48" s="296" t="inlineStr">
        <is>
          <t>Residencial / Comercial</t>
        </is>
      </c>
      <c r="D48" s="294" t="inlineStr">
        <is>
          <t>Arbustos</t>
        </is>
      </c>
      <c r="E48" s="294" t="inlineStr">
        <is>
          <t>U</t>
        </is>
      </c>
      <c r="F48" s="297" t="n">
        <v>20</v>
      </c>
      <c r="G48" s="298" t="n">
        <v>3.8</v>
      </c>
      <c r="H48" s="298" t="n">
        <v>3.91</v>
      </c>
      <c r="I48" s="294" t="inlineStr">
        <is>
          <t>Vivero local GYE</t>
        </is>
      </c>
      <c r="J48" s="298" t="n">
        <v>4.18</v>
      </c>
      <c r="K48" s="294" t="inlineStr">
        <is>
          <t>Kywi / Megakywi</t>
        </is>
      </c>
      <c r="L48" s="299">
        <f>F48*G48</f>
        <v/>
      </c>
      <c r="M48" s="300" t="inlineStr">
        <is>
          <t>AP-G20-VEG-ARS-IXO</t>
        </is>
      </c>
      <c r="N48" s="294" t="inlineStr">
        <is>
          <t>Paisajismo y obras exteriores</t>
        </is>
      </c>
      <c r="O48" s="294" t="inlineStr">
        <is>
          <t>Estimado DION · criterio de mercado Guayaquil 2026 (no verificado en tienda)</t>
        </is>
      </c>
      <c r="P48" s="294" t="inlineStr">
        <is>
          <t>oct-2026 (est.)</t>
        </is>
      </c>
      <c r="Q48" s="294" t="n"/>
    </row>
    <row r="49">
      <c r="A49" s="18" t="n">
        <v>35</v>
      </c>
      <c r="B49" s="19" t="inlineStr">
        <is>
          <t xml:space="preserve">        Arbusto Sanseviera</t>
        </is>
      </c>
      <c r="C49" s="20" t="inlineStr">
        <is>
          <t>Residencial / Comercial</t>
        </is>
      </c>
      <c r="D49" s="18" t="inlineStr">
        <is>
          <t>Arbustos</t>
        </is>
      </c>
      <c r="E49" s="18" t="inlineStr">
        <is>
          <t>U</t>
        </is>
      </c>
      <c r="F49" s="21" t="n">
        <v>20</v>
      </c>
      <c r="G49" s="22" t="n">
        <v>3.2</v>
      </c>
      <c r="H49" s="22" t="n">
        <v>3.33</v>
      </c>
      <c r="I49" s="18" t="inlineStr">
        <is>
          <t>Vivero local GYE</t>
        </is>
      </c>
      <c r="J49" s="22" t="n">
        <v>3.49</v>
      </c>
      <c r="K49" s="18" t="inlineStr">
        <is>
          <t>Kywi / Megakywi</t>
        </is>
      </c>
      <c r="L49" s="8">
        <f>F49*G49</f>
        <v/>
      </c>
      <c r="M49" s="145" t="inlineStr">
        <is>
          <t>AP-G20-VEG-ARS-SAN</t>
        </is>
      </c>
      <c r="N49" s="18" t="inlineStr">
        <is>
          <t>Paisajismo y obras exteriores</t>
        </is>
      </c>
      <c r="O49" s="18" t="inlineStr">
        <is>
          <t>Estimado DION · criterio de mercado Guayaquil 2026 (no verificado en tienda)</t>
        </is>
      </c>
      <c r="P49" s="18" t="inlineStr">
        <is>
          <t>oct-2026 (est.)</t>
        </is>
      </c>
      <c r="Q49" s="18" t="n"/>
    </row>
    <row r="50">
      <c r="A50" s="294" t="n">
        <v>36</v>
      </c>
      <c r="B50" s="295" t="inlineStr">
        <is>
          <t xml:space="preserve">        Heliconia</t>
        </is>
      </c>
      <c r="C50" s="296" t="inlineStr">
        <is>
          <t>Residencial / Comercial</t>
        </is>
      </c>
      <c r="D50" s="294" t="inlineStr">
        <is>
          <t>Arbustos</t>
        </is>
      </c>
      <c r="E50" s="294" t="inlineStr">
        <is>
          <t>U</t>
        </is>
      </c>
      <c r="F50" s="297" t="n">
        <v>20</v>
      </c>
      <c r="G50" s="298" t="n">
        <v>6.5</v>
      </c>
      <c r="H50" s="298" t="n">
        <v>6.7</v>
      </c>
      <c r="I50" s="294" t="inlineStr">
        <is>
          <t>Vivero local GYE</t>
        </is>
      </c>
      <c r="J50" s="298" t="n">
        <v>6.96</v>
      </c>
      <c r="K50" s="294" t="inlineStr">
        <is>
          <t>Kywi / Megakywi</t>
        </is>
      </c>
      <c r="L50" s="299">
        <f>F50*G50</f>
        <v/>
      </c>
      <c r="M50" s="300" t="inlineStr">
        <is>
          <t>AP-G20-VEG-ARS-HEL</t>
        </is>
      </c>
      <c r="N50" s="294" t="inlineStr">
        <is>
          <t>Paisajismo y obras exteriores</t>
        </is>
      </c>
      <c r="O50" s="294" t="inlineStr">
        <is>
          <t>Estimado DION · criterio de mercado Guayaquil 2026 (no verificado en tienda)</t>
        </is>
      </c>
      <c r="P50" s="294" t="inlineStr">
        <is>
          <t>oct-2026 (est.)</t>
        </is>
      </c>
      <c r="Q50" s="294" t="n"/>
    </row>
    <row r="51">
      <c r="A51" s="18" t="n">
        <v>37</v>
      </c>
      <c r="B51" s="19" t="inlineStr">
        <is>
          <t xml:space="preserve">        Papiro</t>
        </is>
      </c>
      <c r="C51" s="20" t="inlineStr">
        <is>
          <t>Residencial / Comercial</t>
        </is>
      </c>
      <c r="D51" s="18" t="inlineStr">
        <is>
          <t>Arbustos</t>
        </is>
      </c>
      <c r="E51" s="18" t="inlineStr">
        <is>
          <t>U</t>
        </is>
      </c>
      <c r="F51" s="21" t="n">
        <v>20</v>
      </c>
      <c r="G51" s="22" t="n">
        <v>4.5</v>
      </c>
      <c r="H51" s="22" t="n">
        <v>4.59</v>
      </c>
      <c r="I51" s="18" t="inlineStr">
        <is>
          <t>Vivero local GYE</t>
        </is>
      </c>
      <c r="J51" s="22" t="n">
        <v>4.86</v>
      </c>
      <c r="K51" s="18" t="inlineStr">
        <is>
          <t>Kywi / Megakywi</t>
        </is>
      </c>
      <c r="L51" s="8">
        <f>F51*G51</f>
        <v/>
      </c>
      <c r="M51" s="145" t="inlineStr">
        <is>
          <t>AP-G20-VEG-ARS-PAP</t>
        </is>
      </c>
      <c r="N51" s="18" t="inlineStr">
        <is>
          <t>Paisajismo y obras exteriores</t>
        </is>
      </c>
      <c r="O51" s="18" t="inlineStr">
        <is>
          <t>Estimado DION · criterio de mercado Guayaquil 2026 (no verificado en tienda)</t>
        </is>
      </c>
      <c r="P51" s="18" t="inlineStr">
        <is>
          <t>oct-2026 (est.)</t>
        </is>
      </c>
      <c r="Q51" s="18" t="n"/>
    </row>
    <row r="52">
      <c r="A52" s="294" t="n">
        <v>38</v>
      </c>
      <c r="B52" s="295" t="inlineStr">
        <is>
          <t xml:space="preserve">        Arbusto Cucarda / Hibiscus</t>
        </is>
      </c>
      <c r="C52" s="296" t="inlineStr">
        <is>
          <t>Residencial / Comercial</t>
        </is>
      </c>
      <c r="D52" s="294" t="inlineStr">
        <is>
          <t>Arbustos</t>
        </is>
      </c>
      <c r="E52" s="294" t="inlineStr">
        <is>
          <t>U</t>
        </is>
      </c>
      <c r="F52" s="297" t="n">
        <v>20</v>
      </c>
      <c r="G52" s="298" t="n">
        <v>3.5</v>
      </c>
      <c r="H52" s="298" t="n">
        <v>3.68</v>
      </c>
      <c r="I52" s="294" t="inlineStr">
        <is>
          <t>Vivero local GYE</t>
        </is>
      </c>
      <c r="J52" s="298" t="n">
        <v>3.78</v>
      </c>
      <c r="K52" s="294" t="inlineStr">
        <is>
          <t>Kywi / Megakywi</t>
        </is>
      </c>
      <c r="L52" s="299">
        <f>F52*G52</f>
        <v/>
      </c>
      <c r="M52" s="300" t="inlineStr">
        <is>
          <t>AP-G20-VEG-ARS-HIB</t>
        </is>
      </c>
      <c r="N52" s="294" t="inlineStr">
        <is>
          <t>Paisajismo y obras exteriores</t>
        </is>
      </c>
      <c r="O52" s="294" t="inlineStr">
        <is>
          <t>Estimado DION · criterio de mercado Guayaquil 2026 (no verificado en tienda)</t>
        </is>
      </c>
      <c r="P52" s="294" t="inlineStr">
        <is>
          <t>oct-2026 (est.)</t>
        </is>
      </c>
      <c r="Q52" s="294" t="n"/>
    </row>
    <row r="53">
      <c r="A53" s="18" t="n">
        <v>39</v>
      </c>
      <c r="B53" s="19" t="inlineStr">
        <is>
          <t xml:space="preserve">        Cubresuelo Maní Forrajero (m²)</t>
        </is>
      </c>
      <c r="C53" s="20" t="inlineStr">
        <is>
          <t>Residencial / Comercial</t>
        </is>
      </c>
      <c r="D53" s="18" t="inlineStr">
        <is>
          <t>Cubresuelos y Céspedes</t>
        </is>
      </c>
      <c r="E53" s="18" t="inlineStr">
        <is>
          <t>m2</t>
        </is>
      </c>
      <c r="F53" s="21" t="n">
        <v>20</v>
      </c>
      <c r="G53" s="22" t="n">
        <v>6.5</v>
      </c>
      <c r="H53" s="22" t="n">
        <v>6.7</v>
      </c>
      <c r="I53" s="18" t="inlineStr">
        <is>
          <t>Vivero local GYE</t>
        </is>
      </c>
      <c r="J53" s="22" t="n">
        <v>7.02</v>
      </c>
      <c r="K53" s="18" t="inlineStr">
        <is>
          <t>Kywi / Megakywi</t>
        </is>
      </c>
      <c r="L53" s="8">
        <f>F53*G53</f>
        <v/>
      </c>
      <c r="M53" s="145" t="inlineStr">
        <is>
          <t>AP-G20-VEG-CUB-MAN</t>
        </is>
      </c>
      <c r="N53" s="18" t="inlineStr">
        <is>
          <t>Paisajismo y obras exteriores</t>
        </is>
      </c>
      <c r="O53" s="18" t="inlineStr">
        <is>
          <t>Estimado DION · criterio de mercado Guayaquil 2026 (no verificado en tienda)</t>
        </is>
      </c>
      <c r="P53" s="18" t="inlineStr">
        <is>
          <t>oct-2026 (est.)</t>
        </is>
      </c>
      <c r="Q53" s="18" t="n">
        <v>5</v>
      </c>
    </row>
    <row r="54">
      <c r="A54" s="294" t="n">
        <v>40</v>
      </c>
      <c r="B54" s="295" t="inlineStr">
        <is>
          <t xml:space="preserve">        Cubresuelo Lirio / Liriope (m²)</t>
        </is>
      </c>
      <c r="C54" s="296" t="inlineStr">
        <is>
          <t>Residencial / Comercial</t>
        </is>
      </c>
      <c r="D54" s="294" t="inlineStr">
        <is>
          <t>Cubresuelos y Céspedes</t>
        </is>
      </c>
      <c r="E54" s="294" t="inlineStr">
        <is>
          <t>m2</t>
        </is>
      </c>
      <c r="F54" s="297" t="n">
        <v>20</v>
      </c>
      <c r="G54" s="298" t="n">
        <v>8.5</v>
      </c>
      <c r="H54" s="298" t="n">
        <v>8.76</v>
      </c>
      <c r="I54" s="294" t="inlineStr">
        <is>
          <t>Vivero local GYE</t>
        </is>
      </c>
      <c r="J54" s="298" t="n">
        <v>9.27</v>
      </c>
      <c r="K54" s="294" t="inlineStr">
        <is>
          <t>Kywi / Megakywi</t>
        </is>
      </c>
      <c r="L54" s="299">
        <f>F54*G54</f>
        <v/>
      </c>
      <c r="M54" s="300" t="inlineStr">
        <is>
          <t>AP-G20-VEG-CUB-LIR</t>
        </is>
      </c>
      <c r="N54" s="294" t="inlineStr">
        <is>
          <t>Paisajismo y obras exteriores</t>
        </is>
      </c>
      <c r="O54" s="294" t="inlineStr">
        <is>
          <t>Estimado DION · criterio de mercado Guayaquil 2026 (no verificado en tienda)</t>
        </is>
      </c>
      <c r="P54" s="294" t="inlineStr">
        <is>
          <t>oct-2026 (est.)</t>
        </is>
      </c>
      <c r="Q54" s="294" t="n">
        <v>5</v>
      </c>
    </row>
    <row r="55">
      <c r="A55" s="18" t="n">
        <v>41</v>
      </c>
      <c r="B55" s="19" t="inlineStr">
        <is>
          <t xml:space="preserve">        Césped Bermuda en Champa (m²)</t>
        </is>
      </c>
      <c r="C55" s="20" t="inlineStr">
        <is>
          <t>Residencial / Comercial</t>
        </is>
      </c>
      <c r="D55" s="18" t="inlineStr">
        <is>
          <t>Cubresuelos y Céspedes</t>
        </is>
      </c>
      <c r="E55" s="18" t="inlineStr">
        <is>
          <t>m2</t>
        </is>
      </c>
      <c r="F55" s="21" t="n">
        <v>20</v>
      </c>
      <c r="G55" s="22" t="n">
        <v>3.2</v>
      </c>
      <c r="H55" s="22" t="n">
        <v>3.36</v>
      </c>
      <c r="I55" s="18" t="inlineStr">
        <is>
          <t>Vivero local GYE</t>
        </is>
      </c>
      <c r="J55" s="22" t="n">
        <v>3.55</v>
      </c>
      <c r="K55" s="18" t="inlineStr">
        <is>
          <t>Kywi / Megakywi</t>
        </is>
      </c>
      <c r="L55" s="8">
        <f>F55*G55</f>
        <v/>
      </c>
      <c r="M55" s="145" t="inlineStr">
        <is>
          <t>AP-G20-VEG-CES-BER</t>
        </is>
      </c>
      <c r="N55" s="18" t="inlineStr">
        <is>
          <t>Paisajismo y obras exteriores</t>
        </is>
      </c>
      <c r="O55" s="18" t="inlineStr">
        <is>
          <t>Estimado DION · criterio de mercado Guayaquil 2026 (no verificado en tienda)</t>
        </is>
      </c>
      <c r="P55" s="18" t="inlineStr">
        <is>
          <t>oct-2026 (est.)</t>
        </is>
      </c>
      <c r="Q55" s="18" t="n">
        <v>5</v>
      </c>
    </row>
    <row r="56">
      <c r="A56" s="294" t="n">
        <v>42</v>
      </c>
      <c r="B56" s="295" t="inlineStr">
        <is>
          <t xml:space="preserve">        Césped San Agustín en Champa (m²)</t>
        </is>
      </c>
      <c r="C56" s="296" t="inlineStr">
        <is>
          <t>Residencial / Comercial</t>
        </is>
      </c>
      <c r="D56" s="294" t="inlineStr">
        <is>
          <t>Cubresuelos y Céspedes</t>
        </is>
      </c>
      <c r="E56" s="294" t="inlineStr">
        <is>
          <t>m2</t>
        </is>
      </c>
      <c r="F56" s="297" t="n">
        <v>20</v>
      </c>
      <c r="G56" s="298" t="n">
        <v>3.8</v>
      </c>
      <c r="H56" s="298" t="n">
        <v>3.99</v>
      </c>
      <c r="I56" s="294" t="inlineStr">
        <is>
          <t>Vivero local GYE</t>
        </is>
      </c>
      <c r="J56" s="298" t="n">
        <v>4.1</v>
      </c>
      <c r="K56" s="294" t="inlineStr">
        <is>
          <t>Kywi / Megakywi</t>
        </is>
      </c>
      <c r="L56" s="299">
        <f>F56*G56</f>
        <v/>
      </c>
      <c r="M56" s="300" t="inlineStr">
        <is>
          <t>AP-G20-VEG-CES-SAN</t>
        </is>
      </c>
      <c r="N56" s="294" t="inlineStr">
        <is>
          <t>Paisajismo y obras exteriores</t>
        </is>
      </c>
      <c r="O56" s="294" t="inlineStr">
        <is>
          <t>Estimado DION · criterio de mercado Guayaquil 2026 (no verificado en tienda)</t>
        </is>
      </c>
      <c r="P56" s="294" t="inlineStr">
        <is>
          <t>oct-2026 (est.)</t>
        </is>
      </c>
      <c r="Q56" s="294" t="n">
        <v>5</v>
      </c>
    </row>
    <row r="57">
      <c r="A57" s="18" t="n">
        <v>43</v>
      </c>
      <c r="B57" s="19" t="inlineStr">
        <is>
          <t xml:space="preserve">        Césped Sintético 40 mm (m²)</t>
        </is>
      </c>
      <c r="C57" s="20" t="inlineStr">
        <is>
          <t>Residencial / Comercial</t>
        </is>
      </c>
      <c r="D57" s="18" t="inlineStr">
        <is>
          <t>Cubresuelos y Céspedes</t>
        </is>
      </c>
      <c r="E57" s="18" t="inlineStr">
        <is>
          <t>m2</t>
        </is>
      </c>
      <c r="F57" s="21" t="n">
        <v>20</v>
      </c>
      <c r="G57" s="22" t="n">
        <v>14</v>
      </c>
      <c r="H57" s="22" t="n">
        <v>14.28</v>
      </c>
      <c r="I57" s="18" t="inlineStr">
        <is>
          <t>Vivero local GYE</t>
        </is>
      </c>
      <c r="J57" s="22" t="n">
        <v>14.98</v>
      </c>
      <c r="K57" s="18" t="inlineStr">
        <is>
          <t>Kywi / Megakywi</t>
        </is>
      </c>
      <c r="L57" s="8">
        <f>F57*G57</f>
        <v/>
      </c>
      <c r="M57" s="145" t="inlineStr">
        <is>
          <t>AP-G20-VEG-CES-SIN</t>
        </is>
      </c>
      <c r="N57" s="18" t="inlineStr">
        <is>
          <t>Paisajismo y obras exteriores</t>
        </is>
      </c>
      <c r="O57" s="18" t="inlineStr">
        <is>
          <t>Estimado DION · criterio de mercado Guayaquil 2026 (no verificado en tienda)</t>
        </is>
      </c>
      <c r="P57" s="18" t="inlineStr">
        <is>
          <t>oct-2026 (est.)</t>
        </is>
      </c>
      <c r="Q57" s="18" t="n">
        <v>5</v>
      </c>
    </row>
    <row r="58">
      <c r="A58" s="294" t="n">
        <v>44</v>
      </c>
      <c r="B58" s="295" t="inlineStr">
        <is>
          <t xml:space="preserve">        Jardín Vertical Hidropónico (m², instalado)</t>
        </is>
      </c>
      <c r="C58" s="296" t="inlineStr">
        <is>
          <t>Residencial / Comercial</t>
        </is>
      </c>
      <c r="D58" s="294" t="inlineStr">
        <is>
          <t>Cubresuelos y Céspedes</t>
        </is>
      </c>
      <c r="E58" s="294" t="inlineStr">
        <is>
          <t>U</t>
        </is>
      </c>
      <c r="F58" s="297" t="n">
        <v>20</v>
      </c>
      <c r="G58" s="298" t="n">
        <v>165</v>
      </c>
      <c r="H58" s="298" t="n">
        <v>173.25</v>
      </c>
      <c r="I58" s="294" t="inlineStr">
        <is>
          <t>Vivero local GYE</t>
        </is>
      </c>
      <c r="J58" s="298" t="n">
        <v>176.55</v>
      </c>
      <c r="K58" s="294" t="inlineStr">
        <is>
          <t>Kywi / Megakywi</t>
        </is>
      </c>
      <c r="L58" s="299">
        <f>F58*G58</f>
        <v/>
      </c>
      <c r="M58" s="300" t="inlineStr">
        <is>
          <t>AP-G20-VEG-JAR-VER</t>
        </is>
      </c>
      <c r="N58" s="294" t="inlineStr">
        <is>
          <t>Paisajismo y obras exteriores</t>
        </is>
      </c>
      <c r="O58" s="294" t="inlineStr">
        <is>
          <t>Estimado DION · criterio de mercado Guayaquil 2026 (no verificado en tienda)</t>
        </is>
      </c>
      <c r="P58" s="294" t="inlineStr">
        <is>
          <t>oct-2026 (est.)</t>
        </is>
      </c>
      <c r="Q58" s="294" t="n"/>
    </row>
    <row r="59">
      <c r="A59" s="291" t="inlineStr">
        <is>
          <t>CONEXIONES</t>
        </is>
      </c>
      <c r="B59" s="143" t="n"/>
      <c r="C59" s="143" t="n"/>
      <c r="D59" s="143" t="n"/>
      <c r="E59" s="143" t="n"/>
      <c r="F59" s="143" t="n"/>
      <c r="G59" s="143" t="n"/>
      <c r="H59" s="143" t="n"/>
      <c r="I59" s="143" t="n"/>
      <c r="J59" s="143" t="n"/>
      <c r="K59" s="143" t="n"/>
      <c r="L59" s="143" t="n"/>
      <c r="M59" s="143" t="n"/>
      <c r="N59" s="143" t="n"/>
      <c r="O59" s="143" t="n"/>
      <c r="P59" s="143" t="n"/>
      <c r="Q59" s="144" t="n"/>
    </row>
    <row r="60">
      <c r="A60" s="292" t="inlineStr">
        <is>
          <t xml:space="preserve">  ► CATEGORÍA: PAVIMENTOS EXTERIORES Y BORDES</t>
        </is>
      </c>
      <c r="B60" s="143" t="n"/>
      <c r="C60" s="143" t="n"/>
      <c r="D60" s="143" t="n"/>
      <c r="E60" s="143" t="n"/>
      <c r="F60" s="143" t="n"/>
      <c r="G60" s="143" t="n"/>
      <c r="H60" s="143" t="n"/>
      <c r="I60" s="143" t="n"/>
      <c r="J60" s="143" t="n"/>
      <c r="K60" s="143" t="n"/>
      <c r="L60" s="143" t="n"/>
      <c r="M60" s="143" t="n"/>
      <c r="N60" s="143" t="n"/>
      <c r="O60" s="143" t="n"/>
      <c r="P60" s="143" t="n"/>
      <c r="Q60" s="144" t="n"/>
    </row>
    <row r="61">
      <c r="A61" s="293" t="inlineStr">
        <is>
          <t xml:space="preserve">      • Subcategoría Especificada: Rubros por m² / m</t>
        </is>
      </c>
      <c r="B61" s="143" t="n"/>
      <c r="C61" s="143" t="n"/>
      <c r="D61" s="143" t="n"/>
      <c r="E61" s="143" t="n"/>
      <c r="F61" s="143" t="n"/>
      <c r="G61" s="143" t="n"/>
      <c r="H61" s="143" t="n"/>
      <c r="I61" s="143" t="n"/>
      <c r="J61" s="143" t="n"/>
      <c r="K61" s="143" t="n"/>
      <c r="L61" s="143" t="n"/>
      <c r="M61" s="143" t="n"/>
      <c r="N61" s="143" t="n"/>
      <c r="O61" s="143" t="n"/>
      <c r="P61" s="143" t="n"/>
      <c r="Q61" s="144" t="n"/>
    </row>
    <row r="62">
      <c r="A62" s="18" t="n">
        <v>45</v>
      </c>
      <c r="B62" s="19" t="inlineStr">
        <is>
          <t xml:space="preserve">        Acera de Hormigón f'c=180 e=8 cm (m²)</t>
        </is>
      </c>
      <c r="C62" s="20" t="inlineStr">
        <is>
          <t>Residencial / Comercial</t>
        </is>
      </c>
      <c r="D62" s="18" t="inlineStr">
        <is>
          <t>Aceras</t>
        </is>
      </c>
      <c r="E62" s="18" t="inlineStr">
        <is>
          <t>m2</t>
        </is>
      </c>
      <c r="F62" s="21" t="n">
        <v>100</v>
      </c>
      <c r="G62" s="22" t="n">
        <v>17.5</v>
      </c>
      <c r="H62" s="22" t="n">
        <v>17.85</v>
      </c>
      <c r="I62" s="18" t="inlineStr">
        <is>
          <t>Vivero local GYE</t>
        </is>
      </c>
      <c r="J62" s="22" t="n">
        <v>19.25</v>
      </c>
      <c r="K62" s="18" t="inlineStr">
        <is>
          <t>Kywi / Megakywi</t>
        </is>
      </c>
      <c r="L62" s="8">
        <f>F62*G62</f>
        <v/>
      </c>
      <c r="M62" s="145" t="inlineStr">
        <is>
          <t>AP-G20-PEX-FND-ACE</t>
        </is>
      </c>
      <c r="N62" s="18" t="inlineStr">
        <is>
          <t>Paisajismo y obras exteriores</t>
        </is>
      </c>
      <c r="O62" s="18" t="inlineStr">
        <is>
          <t>Estimado DION · criterio de mercado Guayaquil 2026 (no verificado en tienda)</t>
        </is>
      </c>
      <c r="P62" s="18" t="inlineStr">
        <is>
          <t>oct-2026 (est.)</t>
        </is>
      </c>
      <c r="Q62" s="18" t="n"/>
    </row>
    <row r="63">
      <c r="A63" s="294" t="n">
        <v>46</v>
      </c>
      <c r="B63" s="295" t="inlineStr">
        <is>
          <t xml:space="preserve">        Hormigón Estampado (m²)</t>
        </is>
      </c>
      <c r="C63" s="296" t="inlineStr">
        <is>
          <t>Residencial / Comercial</t>
        </is>
      </c>
      <c r="D63" s="294" t="inlineStr">
        <is>
          <t>Pavimentos Decorativos</t>
        </is>
      </c>
      <c r="E63" s="294" t="inlineStr">
        <is>
          <t>m2</t>
        </is>
      </c>
      <c r="F63" s="297" t="n">
        <v>50</v>
      </c>
      <c r="G63" s="298" t="n">
        <v>28</v>
      </c>
      <c r="H63" s="298" t="n">
        <v>29.12</v>
      </c>
      <c r="I63" s="294" t="inlineStr">
        <is>
          <t>Vivero local GYE</t>
        </is>
      </c>
      <c r="J63" s="298" t="n">
        <v>29.96</v>
      </c>
      <c r="K63" s="294" t="inlineStr">
        <is>
          <t>Kywi / Megakywi</t>
        </is>
      </c>
      <c r="L63" s="299">
        <f>F63*G63</f>
        <v/>
      </c>
      <c r="M63" s="300" t="inlineStr">
        <is>
          <t>AP-G20-PEX-FND-EST</t>
        </is>
      </c>
      <c r="N63" s="294" t="inlineStr">
        <is>
          <t>Paisajismo y obras exteriores</t>
        </is>
      </c>
      <c r="O63" s="294" t="inlineStr">
        <is>
          <t>Estimado DION · criterio de mercado Guayaquil 2026 (no verificado en tienda)</t>
        </is>
      </c>
      <c r="P63" s="294" t="inlineStr">
        <is>
          <t>oct-2026 (est.)</t>
        </is>
      </c>
      <c r="Q63" s="294" t="n"/>
    </row>
    <row r="64">
      <c r="A64" s="18" t="n">
        <v>47</v>
      </c>
      <c r="B64" s="19" t="inlineStr">
        <is>
          <t xml:space="preserve">        Gravilla Suelta Estabilizada (m²)</t>
        </is>
      </c>
      <c r="C64" s="20" t="inlineStr">
        <is>
          <t>Residencial / Comercial</t>
        </is>
      </c>
      <c r="D64" s="18" t="inlineStr">
        <is>
          <t>Pavimentos Sueltos</t>
        </is>
      </c>
      <c r="E64" s="18" t="inlineStr">
        <is>
          <t>m2</t>
        </is>
      </c>
      <c r="F64" s="21" t="n">
        <v>50</v>
      </c>
      <c r="G64" s="22" t="n">
        <v>6.5</v>
      </c>
      <c r="H64" s="22" t="n">
        <v>6.76</v>
      </c>
      <c r="I64" s="18" t="inlineStr">
        <is>
          <t>Vivero local GYE</t>
        </is>
      </c>
      <c r="J64" s="22" t="n">
        <v>6.96</v>
      </c>
      <c r="K64" s="18" t="inlineStr">
        <is>
          <t>Kywi / Megakywi</t>
        </is>
      </c>
      <c r="L64" s="8">
        <f>F64*G64</f>
        <v/>
      </c>
      <c r="M64" s="145" t="inlineStr">
        <is>
          <t>AP-G20-PEX-GRV-SUE</t>
        </is>
      </c>
      <c r="N64" s="18" t="inlineStr">
        <is>
          <t>Paisajismo y obras exteriores</t>
        </is>
      </c>
      <c r="O64" s="18" t="inlineStr">
        <is>
          <t>Estimado DION · criterio de mercado Guayaquil 2026 (no verificado en tienda)</t>
        </is>
      </c>
      <c r="P64" s="18" t="inlineStr">
        <is>
          <t>oct-2026 (est.)</t>
        </is>
      </c>
      <c r="Q64" s="18" t="n">
        <v>10</v>
      </c>
    </row>
    <row r="65">
      <c r="A65" s="294" t="n">
        <v>48</v>
      </c>
      <c r="B65" s="295" t="inlineStr">
        <is>
          <t xml:space="preserve">        Deck de Madera Tratada Exterior (m²)</t>
        </is>
      </c>
      <c r="C65" s="296" t="inlineStr">
        <is>
          <t>Residencial / Comercial</t>
        </is>
      </c>
      <c r="D65" s="294" t="inlineStr">
        <is>
          <t>Decks</t>
        </is>
      </c>
      <c r="E65" s="294" t="inlineStr">
        <is>
          <t>m2</t>
        </is>
      </c>
      <c r="F65" s="297" t="n">
        <v>30</v>
      </c>
      <c r="G65" s="298" t="n">
        <v>62</v>
      </c>
      <c r="H65" s="298" t="n">
        <v>64.48</v>
      </c>
      <c r="I65" s="294" t="inlineStr">
        <is>
          <t>Vivero local GYE</t>
        </is>
      </c>
      <c r="J65" s="298" t="n">
        <v>67.58</v>
      </c>
      <c r="K65" s="294" t="inlineStr">
        <is>
          <t>Kywi / Megakywi</t>
        </is>
      </c>
      <c r="L65" s="299">
        <f>F65*G65</f>
        <v/>
      </c>
      <c r="M65" s="300" t="inlineStr">
        <is>
          <t>AP-G20-PEX-DEC-MAD</t>
        </is>
      </c>
      <c r="N65" s="294" t="inlineStr">
        <is>
          <t>Paisajismo y obras exteriores</t>
        </is>
      </c>
      <c r="O65" s="294" t="inlineStr">
        <is>
          <t>Estimado DION · criterio de mercado Guayaquil 2026 (no verificado en tienda)</t>
        </is>
      </c>
      <c r="P65" s="294" t="inlineStr">
        <is>
          <t>oct-2026 (est.)</t>
        </is>
      </c>
      <c r="Q65" s="294" t="n">
        <v>8</v>
      </c>
    </row>
    <row r="66">
      <c r="A66" s="18" t="n">
        <v>49</v>
      </c>
      <c r="B66" s="19" t="inlineStr">
        <is>
          <t xml:space="preserve">        Piso de Caucho para Juegos Infantiles 4 cm (m²)</t>
        </is>
      </c>
      <c r="C66" s="20" t="inlineStr">
        <is>
          <t>Residencial / Comercial</t>
        </is>
      </c>
      <c r="D66" s="18" t="inlineStr">
        <is>
          <t>Pisos Seguridad</t>
        </is>
      </c>
      <c r="E66" s="18" t="inlineStr">
        <is>
          <t>m2</t>
        </is>
      </c>
      <c r="F66" s="21" t="n">
        <v>30</v>
      </c>
      <c r="G66" s="22" t="n">
        <v>48</v>
      </c>
      <c r="H66" s="22" t="n">
        <v>49.44</v>
      </c>
      <c r="I66" s="18" t="inlineStr">
        <is>
          <t>Vivero local GYE</t>
        </is>
      </c>
      <c r="J66" s="22" t="n">
        <v>53.28</v>
      </c>
      <c r="K66" s="18" t="inlineStr">
        <is>
          <t>Kywi / Megakywi</t>
        </is>
      </c>
      <c r="L66" s="8">
        <f>F66*G66</f>
        <v/>
      </c>
      <c r="M66" s="145" t="inlineStr">
        <is>
          <t>AP-G20-PEX-CAU-JUE</t>
        </is>
      </c>
      <c r="N66" s="18" t="inlineStr">
        <is>
          <t>Paisajismo y obras exteriores</t>
        </is>
      </c>
      <c r="O66" s="18" t="inlineStr">
        <is>
          <t>Estimado DION · criterio de mercado Guayaquil 2026 (no verificado en tienda)</t>
        </is>
      </c>
      <c r="P66" s="18" t="inlineStr">
        <is>
          <t>oct-2026 (est.)</t>
        </is>
      </c>
      <c r="Q66" s="18" t="n">
        <v>5</v>
      </c>
    </row>
    <row r="67">
      <c r="A67" s="294" t="n">
        <v>50</v>
      </c>
      <c r="B67" s="295" t="inlineStr">
        <is>
          <t xml:space="preserve">        Asfalto Peatonal / Ciclovía e=5 cm (m²)</t>
        </is>
      </c>
      <c r="C67" s="296" t="inlineStr">
        <is>
          <t>Residencial / Comercial</t>
        </is>
      </c>
      <c r="D67" s="294" t="inlineStr">
        <is>
          <t>Pavimentos</t>
        </is>
      </c>
      <c r="E67" s="294" t="inlineStr">
        <is>
          <t>m2</t>
        </is>
      </c>
      <c r="F67" s="297" t="n">
        <v>100</v>
      </c>
      <c r="G67" s="298" t="n">
        <v>14</v>
      </c>
      <c r="H67" s="298" t="n">
        <v>14.28</v>
      </c>
      <c r="I67" s="294" t="inlineStr">
        <is>
          <t>Vivero local GYE</t>
        </is>
      </c>
      <c r="J67" s="298" t="n">
        <v>15.4</v>
      </c>
      <c r="K67" s="294" t="inlineStr">
        <is>
          <t>Kywi / Megakywi</t>
        </is>
      </c>
      <c r="L67" s="299">
        <f>F67*G67</f>
        <v/>
      </c>
      <c r="M67" s="300" t="inlineStr">
        <is>
          <t>AP-G20-PEX-ASF-PEA</t>
        </is>
      </c>
      <c r="N67" s="294" t="inlineStr">
        <is>
          <t>Paisajismo y obras exteriores</t>
        </is>
      </c>
      <c r="O67" s="294" t="inlineStr">
        <is>
          <t>Estimado DION · criterio de mercado Guayaquil 2026 (no verificado en tienda)</t>
        </is>
      </c>
      <c r="P67" s="294" t="inlineStr">
        <is>
          <t>oct-2026 (est.)</t>
        </is>
      </c>
      <c r="Q67" s="294" t="n"/>
    </row>
    <row r="68">
      <c r="A68" s="18" t="n">
        <v>51</v>
      </c>
      <c r="B68" s="19" t="inlineStr">
        <is>
          <t xml:space="preserve">        Sendero de Arena / Maicillo (m²)</t>
        </is>
      </c>
      <c r="C68" s="20" t="inlineStr">
        <is>
          <t>Residencial / Comercial</t>
        </is>
      </c>
      <c r="D68" s="18" t="inlineStr">
        <is>
          <t>Senderos</t>
        </is>
      </c>
      <c r="E68" s="18" t="inlineStr">
        <is>
          <t>m2</t>
        </is>
      </c>
      <c r="F68" s="21" t="n">
        <v>50</v>
      </c>
      <c r="G68" s="22" t="n">
        <v>5.5</v>
      </c>
      <c r="H68" s="22" t="n">
        <v>5.78</v>
      </c>
      <c r="I68" s="18" t="inlineStr">
        <is>
          <t>Vivero local GYE</t>
        </is>
      </c>
      <c r="J68" s="22" t="n">
        <v>6.11</v>
      </c>
      <c r="K68" s="18" t="inlineStr">
        <is>
          <t>Kywi / Megakywi</t>
        </is>
      </c>
      <c r="L68" s="8">
        <f>F68*G68</f>
        <v/>
      </c>
      <c r="M68" s="145" t="inlineStr">
        <is>
          <t>AP-G20-PEX-ARE-SEN</t>
        </is>
      </c>
      <c r="N68" s="18" t="inlineStr">
        <is>
          <t>Paisajismo y obras exteriores</t>
        </is>
      </c>
      <c r="O68" s="18" t="inlineStr">
        <is>
          <t>Estimado DION · criterio de mercado Guayaquil 2026 (no verificado en tienda)</t>
        </is>
      </c>
      <c r="P68" s="18" t="inlineStr">
        <is>
          <t>oct-2026 (est.)</t>
        </is>
      </c>
      <c r="Q68" s="18" t="n">
        <v>10</v>
      </c>
    </row>
    <row r="69">
      <c r="A69" s="294" t="n">
        <v>52</v>
      </c>
      <c r="B69" s="295" t="inlineStr">
        <is>
          <t xml:space="preserve">        Borde Metálico de Jardín Acero Corten (m)</t>
        </is>
      </c>
      <c r="C69" s="296" t="inlineStr">
        <is>
          <t>Residencial / Comercial</t>
        </is>
      </c>
      <c r="D69" s="294" t="inlineStr">
        <is>
          <t>Bordes</t>
        </is>
      </c>
      <c r="E69" s="294" t="inlineStr">
        <is>
          <t>m</t>
        </is>
      </c>
      <c r="F69" s="297" t="n">
        <v>30</v>
      </c>
      <c r="G69" s="298" t="n">
        <v>14</v>
      </c>
      <c r="H69" s="298" t="n">
        <v>14.7</v>
      </c>
      <c r="I69" s="294" t="inlineStr">
        <is>
          <t>Vivero local GYE</t>
        </is>
      </c>
      <c r="J69" s="298" t="n">
        <v>14.98</v>
      </c>
      <c r="K69" s="294" t="inlineStr">
        <is>
          <t>Kywi / Megakywi</t>
        </is>
      </c>
      <c r="L69" s="299">
        <f>F69*G69</f>
        <v/>
      </c>
      <c r="M69" s="300" t="inlineStr">
        <is>
          <t>AP-G20-BOR-ACE-JAR</t>
        </is>
      </c>
      <c r="N69" s="294" t="inlineStr">
        <is>
          <t>Paisajismo y obras exteriores</t>
        </is>
      </c>
      <c r="O69" s="294" t="inlineStr">
        <is>
          <t>Estimado DION · criterio de mercado Guayaquil 2026 (no verificado en tienda)</t>
        </is>
      </c>
      <c r="P69" s="294" t="inlineStr">
        <is>
          <t>oct-2026 (est.)</t>
        </is>
      </c>
      <c r="Q69" s="294" t="n">
        <v>5</v>
      </c>
    </row>
    <row r="70">
      <c r="A70" s="18" t="n">
        <v>53</v>
      </c>
      <c r="B70" s="19" t="inlineStr">
        <is>
          <t xml:space="preserve">        Bordillo de Piedra Natural (m)</t>
        </is>
      </c>
      <c r="C70" s="20" t="inlineStr">
        <is>
          <t>Residencial / Comercial</t>
        </is>
      </c>
      <c r="D70" s="18" t="inlineStr">
        <is>
          <t>Bordes</t>
        </is>
      </c>
      <c r="E70" s="18" t="inlineStr">
        <is>
          <t>m</t>
        </is>
      </c>
      <c r="F70" s="21" t="n">
        <v>30</v>
      </c>
      <c r="G70" s="22" t="n">
        <v>12</v>
      </c>
      <c r="H70" s="22" t="n">
        <v>12.24</v>
      </c>
      <c r="I70" s="18" t="inlineStr">
        <is>
          <t>Vivero local GYE</t>
        </is>
      </c>
      <c r="J70" s="22" t="n">
        <v>13.32</v>
      </c>
      <c r="K70" s="18" t="inlineStr">
        <is>
          <t>Kywi / Megakywi</t>
        </is>
      </c>
      <c r="L70" s="8">
        <f>F70*G70</f>
        <v/>
      </c>
      <c r="M70" s="145" t="inlineStr">
        <is>
          <t>AP-G20-BOR-PIE-BOR</t>
        </is>
      </c>
      <c r="N70" s="18" t="inlineStr">
        <is>
          <t>Paisajismo y obras exteriores</t>
        </is>
      </c>
      <c r="O70" s="18" t="inlineStr">
        <is>
          <t>Estimado DION · criterio de mercado Guayaquil 2026 (no verificado en tienda)</t>
        </is>
      </c>
      <c r="P70" s="18" t="inlineStr">
        <is>
          <t>oct-2026 (est.)</t>
        </is>
      </c>
      <c r="Q70" s="18" t="n">
        <v>5</v>
      </c>
    </row>
    <row r="71">
      <c r="A71" s="291" t="inlineStr">
        <is>
          <t>EQUIPOS ESPECIALIZADOS</t>
        </is>
      </c>
      <c r="B71" s="143" t="n"/>
      <c r="C71" s="143" t="n"/>
      <c r="D71" s="143" t="n"/>
      <c r="E71" s="143" t="n"/>
      <c r="F71" s="143" t="n"/>
      <c r="G71" s="143" t="n"/>
      <c r="H71" s="143" t="n"/>
      <c r="I71" s="143" t="n"/>
      <c r="J71" s="143" t="n"/>
      <c r="K71" s="143" t="n"/>
      <c r="L71" s="143" t="n"/>
      <c r="M71" s="143" t="n"/>
      <c r="N71" s="143" t="n"/>
      <c r="O71" s="143" t="n"/>
      <c r="P71" s="143" t="n"/>
      <c r="Q71" s="144" t="n"/>
    </row>
    <row r="72">
      <c r="A72" s="292" t="inlineStr">
        <is>
          <t xml:space="preserve">  ► CATEGORÍA: MOBILIARIO URBANO Y EQUIPAMIENTO EXTERIOR</t>
        </is>
      </c>
      <c r="B72" s="143" t="n"/>
      <c r="C72" s="143" t="n"/>
      <c r="D72" s="143" t="n"/>
      <c r="E72" s="143" t="n"/>
      <c r="F72" s="143" t="n"/>
      <c r="G72" s="143" t="n"/>
      <c r="H72" s="143" t="n"/>
      <c r="I72" s="143" t="n"/>
      <c r="J72" s="143" t="n"/>
      <c r="K72" s="143" t="n"/>
      <c r="L72" s="143" t="n"/>
      <c r="M72" s="143" t="n"/>
      <c r="N72" s="143" t="n"/>
      <c r="O72" s="143" t="n"/>
      <c r="P72" s="143" t="n"/>
      <c r="Q72" s="144" t="n"/>
    </row>
    <row r="73">
      <c r="A73" s="293" t="inlineStr">
        <is>
          <t xml:space="preserve">      • Subcategoría Especificada: Por Unidad</t>
        </is>
      </c>
      <c r="B73" s="143" t="n"/>
      <c r="C73" s="143" t="n"/>
      <c r="D73" s="143" t="n"/>
      <c r="E73" s="143" t="n"/>
      <c r="F73" s="143" t="n"/>
      <c r="G73" s="143" t="n"/>
      <c r="H73" s="143" t="n"/>
      <c r="I73" s="143" t="n"/>
      <c r="J73" s="143" t="n"/>
      <c r="K73" s="143" t="n"/>
      <c r="L73" s="143" t="n"/>
      <c r="M73" s="143" t="n"/>
      <c r="N73" s="143" t="n"/>
      <c r="O73" s="143" t="n"/>
      <c r="P73" s="143" t="n"/>
      <c r="Q73" s="144" t="n"/>
    </row>
    <row r="74">
      <c r="A74" s="294" t="n">
        <v>54</v>
      </c>
      <c r="B74" s="295" t="inlineStr">
        <is>
          <t xml:space="preserve">        Banca de Hormigón Prefabricada</t>
        </is>
      </c>
      <c r="C74" s="296" t="inlineStr">
        <is>
          <t>Residencial / Comercial</t>
        </is>
      </c>
      <c r="D74" s="294" t="inlineStr">
        <is>
          <t>Bancas</t>
        </is>
      </c>
      <c r="E74" s="294" t="inlineStr">
        <is>
          <t>U</t>
        </is>
      </c>
      <c r="F74" s="297" t="n">
        <v>4</v>
      </c>
      <c r="G74" s="298" t="n">
        <v>185</v>
      </c>
      <c r="H74" s="298" t="n">
        <v>188.7</v>
      </c>
      <c r="I74" s="294" t="inlineStr">
        <is>
          <t>Vivero local GYE</t>
        </is>
      </c>
      <c r="J74" s="298" t="n">
        <v>203.5</v>
      </c>
      <c r="K74" s="294" t="inlineStr">
        <is>
          <t>Kywi / Megakywi</t>
        </is>
      </c>
      <c r="L74" s="299">
        <f>F74*G74</f>
        <v/>
      </c>
      <c r="M74" s="300" t="inlineStr">
        <is>
          <t>AP-G20-MBU-BAN-FND</t>
        </is>
      </c>
      <c r="N74" s="294" t="inlineStr">
        <is>
          <t>Paisajismo y obras exteriores</t>
        </is>
      </c>
      <c r="O74" s="294" t="inlineStr">
        <is>
          <t>Estimado DION · criterio de mercado Guayaquil 2026 (no verificado en tienda)</t>
        </is>
      </c>
      <c r="P74" s="294" t="inlineStr">
        <is>
          <t>oct-2026 (est.)</t>
        </is>
      </c>
      <c r="Q74" s="294" t="n"/>
    </row>
    <row r="75">
      <c r="A75" s="18" t="n">
        <v>55</v>
      </c>
      <c r="B75" s="19" t="inlineStr">
        <is>
          <t xml:space="preserve">        Banca de Madera y Estructura Metálica</t>
        </is>
      </c>
      <c r="C75" s="20" t="inlineStr">
        <is>
          <t>Residencial / Comercial</t>
        </is>
      </c>
      <c r="D75" s="18" t="inlineStr">
        <is>
          <t>Bancas</t>
        </is>
      </c>
      <c r="E75" s="18" t="inlineStr">
        <is>
          <t>U</t>
        </is>
      </c>
      <c r="F75" s="21" t="n">
        <v>4</v>
      </c>
      <c r="G75" s="22" t="n">
        <v>280</v>
      </c>
      <c r="H75" s="22" t="n">
        <v>285.6</v>
      </c>
      <c r="I75" s="18" t="inlineStr">
        <is>
          <t>Vivero local GYE</t>
        </is>
      </c>
      <c r="J75" s="22" t="n">
        <v>302.4</v>
      </c>
      <c r="K75" s="18" t="inlineStr">
        <is>
          <t>Kywi / Megakywi</t>
        </is>
      </c>
      <c r="L75" s="8">
        <f>F75*G75</f>
        <v/>
      </c>
      <c r="M75" s="145" t="inlineStr">
        <is>
          <t>AP-G20-MBU-BAN-MAD</t>
        </is>
      </c>
      <c r="N75" s="18" t="inlineStr">
        <is>
          <t>Paisajismo y obras exteriores</t>
        </is>
      </c>
      <c r="O75" s="18" t="inlineStr">
        <is>
          <t>Estimado DION · criterio de mercado Guayaquil 2026 (no verificado en tienda)</t>
        </is>
      </c>
      <c r="P75" s="18" t="inlineStr">
        <is>
          <t>oct-2026 (est.)</t>
        </is>
      </c>
      <c r="Q75" s="18" t="n"/>
    </row>
    <row r="76">
      <c r="A76" s="294" t="n">
        <v>56</v>
      </c>
      <c r="B76" s="295" t="inlineStr">
        <is>
          <t xml:space="preserve">        Basurero Doble Reciclaje Metálico</t>
        </is>
      </c>
      <c r="C76" s="296" t="inlineStr">
        <is>
          <t>Residencial / Comercial</t>
        </is>
      </c>
      <c r="D76" s="294" t="inlineStr">
        <is>
          <t>Basureros</t>
        </is>
      </c>
      <c r="E76" s="294" t="inlineStr">
        <is>
          <t>U</t>
        </is>
      </c>
      <c r="F76" s="297" t="n">
        <v>4</v>
      </c>
      <c r="G76" s="298" t="n">
        <v>165</v>
      </c>
      <c r="H76" s="298" t="n">
        <v>173.25</v>
      </c>
      <c r="I76" s="294" t="inlineStr">
        <is>
          <t>Vivero local GYE</t>
        </is>
      </c>
      <c r="J76" s="298" t="n">
        <v>178.2</v>
      </c>
      <c r="K76" s="294" t="inlineStr">
        <is>
          <t>Kywi / Megakywi</t>
        </is>
      </c>
      <c r="L76" s="299">
        <f>F76*G76</f>
        <v/>
      </c>
      <c r="M76" s="300" t="inlineStr">
        <is>
          <t>AP-G20-MBU-BAS-DOB</t>
        </is>
      </c>
      <c r="N76" s="294" t="inlineStr">
        <is>
          <t>Paisajismo y obras exteriores</t>
        </is>
      </c>
      <c r="O76" s="294" t="inlineStr">
        <is>
          <t>Estimado DION · criterio de mercado Guayaquil 2026 (no verificado en tienda)</t>
        </is>
      </c>
      <c r="P76" s="294" t="inlineStr">
        <is>
          <t>oct-2026 (est.)</t>
        </is>
      </c>
      <c r="Q76" s="294" t="n"/>
    </row>
    <row r="77">
      <c r="A77" s="18" t="n">
        <v>57</v>
      </c>
      <c r="B77" s="19" t="inlineStr">
        <is>
          <t xml:space="preserve">        Bolardo de Acero Inox Ø4"</t>
        </is>
      </c>
      <c r="C77" s="20" t="inlineStr">
        <is>
          <t>Residencial / Comercial</t>
        </is>
      </c>
      <c r="D77" s="18" t="inlineStr">
        <is>
          <t>Bolardos</t>
        </is>
      </c>
      <c r="E77" s="18" t="inlineStr">
        <is>
          <t>U</t>
        </is>
      </c>
      <c r="F77" s="21" t="n">
        <v>6</v>
      </c>
      <c r="G77" s="22" t="n">
        <v>85</v>
      </c>
      <c r="H77" s="22" t="n">
        <v>89.25</v>
      </c>
      <c r="I77" s="18" t="inlineStr">
        <is>
          <t>Vivero local GYE</t>
        </is>
      </c>
      <c r="J77" s="22" t="n">
        <v>91.8</v>
      </c>
      <c r="K77" s="18" t="inlineStr">
        <is>
          <t>Kywi / Megakywi</t>
        </is>
      </c>
      <c r="L77" s="8">
        <f>F77*G77</f>
        <v/>
      </c>
      <c r="M77" s="145" t="inlineStr">
        <is>
          <t>AP-G20-MBU-BOL-ACE</t>
        </is>
      </c>
      <c r="N77" s="18" t="inlineStr">
        <is>
          <t>Paisajismo y obras exteriores</t>
        </is>
      </c>
      <c r="O77" s="18" t="inlineStr">
        <is>
          <t>Estimado DION · criterio de mercado Guayaquil 2026 (no verificado en tienda)</t>
        </is>
      </c>
      <c r="P77" s="18" t="inlineStr">
        <is>
          <t>oct-2026 (est.)</t>
        </is>
      </c>
      <c r="Q77" s="18" t="n"/>
    </row>
    <row r="78">
      <c r="A78" s="294" t="n">
        <v>58</v>
      </c>
      <c r="B78" s="295" t="inlineStr">
        <is>
          <t xml:space="preserve">        Bolardo de Hormigón</t>
        </is>
      </c>
      <c r="C78" s="296" t="inlineStr">
        <is>
          <t>Residencial / Comercial</t>
        </is>
      </c>
      <c r="D78" s="294" t="inlineStr">
        <is>
          <t>Bolardos</t>
        </is>
      </c>
      <c r="E78" s="294" t="inlineStr">
        <is>
          <t>U</t>
        </is>
      </c>
      <c r="F78" s="297" t="n">
        <v>6</v>
      </c>
      <c r="G78" s="298" t="n">
        <v>45</v>
      </c>
      <c r="H78" s="298" t="n">
        <v>46.8</v>
      </c>
      <c r="I78" s="294" t="inlineStr">
        <is>
          <t>Vivero local GYE</t>
        </is>
      </c>
      <c r="J78" s="298" t="n">
        <v>49.05</v>
      </c>
      <c r="K78" s="294" t="inlineStr">
        <is>
          <t>Kywi / Megakywi</t>
        </is>
      </c>
      <c r="L78" s="299">
        <f>F78*G78</f>
        <v/>
      </c>
      <c r="M78" s="300" t="inlineStr">
        <is>
          <t>AP-G20-MBU-BOL-FND</t>
        </is>
      </c>
      <c r="N78" s="294" t="inlineStr">
        <is>
          <t>Paisajismo y obras exteriores</t>
        </is>
      </c>
      <c r="O78" s="294" t="inlineStr">
        <is>
          <t>Estimado DION · criterio de mercado Guayaquil 2026 (no verificado en tienda)</t>
        </is>
      </c>
      <c r="P78" s="294" t="inlineStr">
        <is>
          <t>oct-2026 (est.)</t>
        </is>
      </c>
      <c r="Q78" s="294" t="n"/>
    </row>
    <row r="79">
      <c r="A79" s="18" t="n">
        <v>59</v>
      </c>
      <c r="B79" s="19" t="inlineStr">
        <is>
          <t xml:space="preserve">        Bebedero Exterior Acero Inox</t>
        </is>
      </c>
      <c r="C79" s="20" t="inlineStr">
        <is>
          <t>Residencial / Comercial</t>
        </is>
      </c>
      <c r="D79" s="18" t="inlineStr">
        <is>
          <t>Bebederos</t>
        </is>
      </c>
      <c r="E79" s="18" t="inlineStr">
        <is>
          <t>U</t>
        </is>
      </c>
      <c r="F79" s="21" t="n">
        <v>0</v>
      </c>
      <c r="G79" s="22" t="n">
        <v>850</v>
      </c>
      <c r="H79" s="22" t="n">
        <v>867</v>
      </c>
      <c r="I79" s="18" t="inlineStr">
        <is>
          <t>Vivero local GYE</t>
        </is>
      </c>
      <c r="J79" s="22" t="n">
        <v>943.5</v>
      </c>
      <c r="K79" s="18" t="inlineStr">
        <is>
          <t>Kywi / Megakywi</t>
        </is>
      </c>
      <c r="L79" s="8">
        <f>F79*G79</f>
        <v/>
      </c>
      <c r="M79" s="145" t="inlineStr">
        <is>
          <t>AP-G20-MBU-BEB</t>
        </is>
      </c>
      <c r="N79" s="18" t="inlineStr">
        <is>
          <t>Paisajismo y obras exteriores</t>
        </is>
      </c>
      <c r="O79" s="18" t="inlineStr">
        <is>
          <t>Estimado DION · criterio de mercado Guayaquil 2026 (no verificado en tienda)</t>
        </is>
      </c>
      <c r="P79" s="18" t="inlineStr">
        <is>
          <t>oct-2026 (est.)</t>
        </is>
      </c>
      <c r="Q79" s="18" t="n"/>
    </row>
    <row r="80">
      <c r="A80" s="294" t="n">
        <v>60</v>
      </c>
      <c r="B80" s="295" t="inlineStr">
        <is>
          <t xml:space="preserve">        Biciparqueadero 5 Puestos Tipo U Invertida</t>
        </is>
      </c>
      <c r="C80" s="296" t="inlineStr">
        <is>
          <t>Residencial / Comercial</t>
        </is>
      </c>
      <c r="D80" s="294" t="inlineStr">
        <is>
          <t>Biciparqueaderos</t>
        </is>
      </c>
      <c r="E80" s="294" t="inlineStr">
        <is>
          <t>U</t>
        </is>
      </c>
      <c r="F80" s="297" t="n">
        <v>2</v>
      </c>
      <c r="G80" s="298" t="n">
        <v>320</v>
      </c>
      <c r="H80" s="298" t="n">
        <v>332.8</v>
      </c>
      <c r="I80" s="294" t="inlineStr">
        <is>
          <t>Vivero local GYE</t>
        </is>
      </c>
      <c r="J80" s="298" t="n">
        <v>352</v>
      </c>
      <c r="K80" s="294" t="inlineStr">
        <is>
          <t>Kywi / Megakywi</t>
        </is>
      </c>
      <c r="L80" s="299">
        <f>F80*G80</f>
        <v/>
      </c>
      <c r="M80" s="300" t="inlineStr">
        <is>
          <t>AP-G20-MBU-BIC-RAC</t>
        </is>
      </c>
      <c r="N80" s="294" t="inlineStr">
        <is>
          <t>Paisajismo y obras exteriores</t>
        </is>
      </c>
      <c r="O80" s="294" t="inlineStr">
        <is>
          <t>Estimado DION · criterio de mercado Guayaquil 2026 (no verificado en tienda)</t>
        </is>
      </c>
      <c r="P80" s="294" t="inlineStr">
        <is>
          <t>oct-2026 (est.)</t>
        </is>
      </c>
      <c r="Q80" s="294" t="n"/>
    </row>
    <row r="81">
      <c r="A81" s="18" t="n">
        <v>61</v>
      </c>
      <c r="B81" s="19" t="inlineStr">
        <is>
          <t xml:space="preserve">        Pérgola de Madera (m²)</t>
        </is>
      </c>
      <c r="C81" s="20" t="inlineStr">
        <is>
          <t>Residencial / Comercial</t>
        </is>
      </c>
      <c r="D81" s="18" t="inlineStr">
        <is>
          <t>Pérgolas</t>
        </is>
      </c>
      <c r="E81" s="18" t="inlineStr">
        <is>
          <t>U</t>
        </is>
      </c>
      <c r="F81" s="21" t="n">
        <v>20</v>
      </c>
      <c r="G81" s="22" t="n">
        <v>85</v>
      </c>
      <c r="H81" s="22" t="n">
        <v>89.25</v>
      </c>
      <c r="I81" s="18" t="inlineStr">
        <is>
          <t>Vivero local GYE</t>
        </is>
      </c>
      <c r="J81" s="22" t="n">
        <v>94.34999999999999</v>
      </c>
      <c r="K81" s="18" t="inlineStr">
        <is>
          <t>Kywi / Megakywi</t>
        </is>
      </c>
      <c r="L81" s="8">
        <f>F81*G81</f>
        <v/>
      </c>
      <c r="M81" s="145" t="inlineStr">
        <is>
          <t>AP-G20-MBU-PER-MAD</t>
        </is>
      </c>
      <c r="N81" s="18" t="inlineStr">
        <is>
          <t>Paisajismo y obras exteriores</t>
        </is>
      </c>
      <c r="O81" s="18" t="inlineStr">
        <is>
          <t>Estimado DION · criterio de mercado Guayaquil 2026 (no verificado en tienda)</t>
        </is>
      </c>
      <c r="P81" s="18" t="inlineStr">
        <is>
          <t>oct-2026 (est.)</t>
        </is>
      </c>
      <c r="Q81" s="18" t="n"/>
    </row>
    <row r="82">
      <c r="A82" s="294" t="n">
        <v>62</v>
      </c>
      <c r="B82" s="295" t="inlineStr">
        <is>
          <t xml:space="preserve">        Pérgola Metálica (m²)</t>
        </is>
      </c>
      <c r="C82" s="296" t="inlineStr">
        <is>
          <t>Residencial / Comercial</t>
        </is>
      </c>
      <c r="D82" s="294" t="inlineStr">
        <is>
          <t>Pérgolas</t>
        </is>
      </c>
      <c r="E82" s="294" t="inlineStr">
        <is>
          <t>U</t>
        </is>
      </c>
      <c r="F82" s="297" t="n">
        <v>20</v>
      </c>
      <c r="G82" s="298" t="n">
        <v>95</v>
      </c>
      <c r="H82" s="298" t="n">
        <v>96.90000000000001</v>
      </c>
      <c r="I82" s="294" t="inlineStr">
        <is>
          <t>Vivero local GYE</t>
        </is>
      </c>
      <c r="J82" s="298" t="n">
        <v>104.5</v>
      </c>
      <c r="K82" s="294" t="inlineStr">
        <is>
          <t>Kywi / Megakywi</t>
        </is>
      </c>
      <c r="L82" s="299">
        <f>F82*G82</f>
        <v/>
      </c>
      <c r="M82" s="300" t="inlineStr">
        <is>
          <t>AP-G20-MBU-PER-ACE</t>
        </is>
      </c>
      <c r="N82" s="294" t="inlineStr">
        <is>
          <t>Paisajismo y obras exteriores</t>
        </is>
      </c>
      <c r="O82" s="294" t="inlineStr">
        <is>
          <t>Estimado DION · criterio de mercado Guayaquil 2026 (no verificado en tienda)</t>
        </is>
      </c>
      <c r="P82" s="294" t="inlineStr">
        <is>
          <t>oct-2026 (est.)</t>
        </is>
      </c>
      <c r="Q82" s="294" t="n"/>
    </row>
    <row r="83">
      <c r="A83" s="18" t="n">
        <v>63</v>
      </c>
      <c r="B83" s="19" t="inlineStr">
        <is>
          <t xml:space="preserve">        Módulo de Juegos Infantiles Multifunción</t>
        </is>
      </c>
      <c r="C83" s="20" t="inlineStr">
        <is>
          <t>Residencial / Comercial</t>
        </is>
      </c>
      <c r="D83" s="18" t="inlineStr">
        <is>
          <t>Juegos</t>
        </is>
      </c>
      <c r="E83" s="18" t="inlineStr">
        <is>
          <t>U</t>
        </is>
      </c>
      <c r="F83" s="21" t="n">
        <v>0</v>
      </c>
      <c r="G83" s="22" t="n">
        <v>4800</v>
      </c>
      <c r="H83" s="22" t="n">
        <v>4896</v>
      </c>
      <c r="I83" s="18" t="inlineStr">
        <is>
          <t>Vivero local GYE</t>
        </is>
      </c>
      <c r="J83" s="22" t="n">
        <v>5280</v>
      </c>
      <c r="K83" s="18" t="inlineStr">
        <is>
          <t>Kywi / Megakywi</t>
        </is>
      </c>
      <c r="L83" s="8">
        <f>F83*G83</f>
        <v/>
      </c>
      <c r="M83" s="145" t="inlineStr">
        <is>
          <t>AP-G20-MBU-JUE-INF</t>
        </is>
      </c>
      <c r="N83" s="18" t="inlineStr">
        <is>
          <t>Paisajismo y obras exteriores</t>
        </is>
      </c>
      <c r="O83" s="18" t="inlineStr">
        <is>
          <t>Estimado DION · criterio de mercado Guayaquil 2026 (no verificado en tienda)</t>
        </is>
      </c>
      <c r="P83" s="18" t="inlineStr">
        <is>
          <t>oct-2026 (est.)</t>
        </is>
      </c>
      <c r="Q83" s="18" t="n"/>
    </row>
    <row r="84">
      <c r="A84" s="294" t="n">
        <v>64</v>
      </c>
      <c r="B84" s="295" t="inlineStr">
        <is>
          <t xml:space="preserve">        Máquina de Gimnasio al Aire Libre</t>
        </is>
      </c>
      <c r="C84" s="296" t="inlineStr">
        <is>
          <t>Residencial / Comercial</t>
        </is>
      </c>
      <c r="D84" s="294" t="inlineStr">
        <is>
          <t>Gimnasios</t>
        </is>
      </c>
      <c r="E84" s="294" t="inlineStr">
        <is>
          <t>U</t>
        </is>
      </c>
      <c r="F84" s="297" t="n">
        <v>0</v>
      </c>
      <c r="G84" s="298" t="n">
        <v>650</v>
      </c>
      <c r="H84" s="298" t="n">
        <v>663</v>
      </c>
      <c r="I84" s="294" t="inlineStr">
        <is>
          <t>Vivero local GYE</t>
        </is>
      </c>
      <c r="J84" s="298" t="n">
        <v>708.5</v>
      </c>
      <c r="K84" s="294" t="inlineStr">
        <is>
          <t>Kywi / Megakywi</t>
        </is>
      </c>
      <c r="L84" s="299">
        <f>F84*G84</f>
        <v/>
      </c>
      <c r="M84" s="300" t="inlineStr">
        <is>
          <t>AP-G20-MBU-GIM-EXT</t>
        </is>
      </c>
      <c r="N84" s="294" t="inlineStr">
        <is>
          <t>Paisajismo y obras exteriores</t>
        </is>
      </c>
      <c r="O84" s="294" t="inlineStr">
        <is>
          <t>Estimado DION · criterio de mercado Guayaquil 2026 (no verificado en tienda)</t>
        </is>
      </c>
      <c r="P84" s="294" t="inlineStr">
        <is>
          <t>oct-2026 (est.)</t>
        </is>
      </c>
      <c r="Q84" s="294" t="n"/>
    </row>
    <row r="85">
      <c r="A85" s="18" t="n">
        <v>65</v>
      </c>
      <c r="B85" s="19" t="inlineStr">
        <is>
          <t xml:space="preserve">        Fuente / Espejo de Agua con Bomba y Filtro (Global)</t>
        </is>
      </c>
      <c r="C85" s="20" t="inlineStr">
        <is>
          <t>Residencial / Comercial</t>
        </is>
      </c>
      <c r="D85" s="18" t="inlineStr">
        <is>
          <t>Fuentes</t>
        </is>
      </c>
      <c r="E85" s="18" t="inlineStr">
        <is>
          <t>U</t>
        </is>
      </c>
      <c r="F85" s="21" t="n">
        <v>0</v>
      </c>
      <c r="G85" s="22" t="n">
        <v>3800</v>
      </c>
      <c r="H85" s="22" t="n">
        <v>3914</v>
      </c>
      <c r="I85" s="18" t="inlineStr">
        <is>
          <t>Vivero local GYE</t>
        </is>
      </c>
      <c r="J85" s="22" t="n">
        <v>4142</v>
      </c>
      <c r="K85" s="18" t="inlineStr">
        <is>
          <t>Kywi / Megakywi</t>
        </is>
      </c>
      <c r="L85" s="8">
        <f>F85*G85</f>
        <v/>
      </c>
      <c r="M85" s="145" t="inlineStr">
        <is>
          <t>AP-G20-MBU-FUE-AGU</t>
        </is>
      </c>
      <c r="N85" s="18" t="inlineStr">
        <is>
          <t>Paisajismo y obras exteriores</t>
        </is>
      </c>
      <c r="O85" s="18" t="inlineStr">
        <is>
          <t>Estimado DION · criterio de mercado Guayaquil 2026 (no verificado en tienda)</t>
        </is>
      </c>
      <c r="P85" s="18" t="inlineStr">
        <is>
          <t>oct-2026 (est.)</t>
        </is>
      </c>
      <c r="Q85" s="18" t="n"/>
    </row>
    <row r="86">
      <c r="A86" s="294" t="n">
        <v>66</v>
      </c>
      <c r="B86" s="295" t="inlineStr">
        <is>
          <t xml:space="preserve">        Toldo / Velaria Tensada (m²)</t>
        </is>
      </c>
      <c r="C86" s="296" t="inlineStr">
        <is>
          <t>Residencial / Comercial</t>
        </is>
      </c>
      <c r="D86" s="294" t="inlineStr">
        <is>
          <t>Sombras</t>
        </is>
      </c>
      <c r="E86" s="294" t="inlineStr">
        <is>
          <t>U</t>
        </is>
      </c>
      <c r="F86" s="297" t="n">
        <v>30</v>
      </c>
      <c r="G86" s="298" t="n">
        <v>48</v>
      </c>
      <c r="H86" s="298" t="n">
        <v>49.92</v>
      </c>
      <c r="I86" s="294" t="inlineStr">
        <is>
          <t>Vivero local GYE</t>
        </is>
      </c>
      <c r="J86" s="298" t="n">
        <v>52.32</v>
      </c>
      <c r="K86" s="294" t="inlineStr">
        <is>
          <t>Kywi / Megakywi</t>
        </is>
      </c>
      <c r="L86" s="299">
        <f>F86*G86</f>
        <v/>
      </c>
      <c r="M86" s="300" t="inlineStr">
        <is>
          <t>AP-G20-MBU-SOM-TEN</t>
        </is>
      </c>
      <c r="N86" s="294" t="inlineStr">
        <is>
          <t>Paisajismo y obras exteriores</t>
        </is>
      </c>
      <c r="O86" s="294" t="inlineStr">
        <is>
          <t>Estimado DION · criterio de mercado Guayaquil 2026 (no verificado en tienda)</t>
        </is>
      </c>
      <c r="P86" s="294" t="inlineStr">
        <is>
          <t>oct-2026 (est.)</t>
        </is>
      </c>
      <c r="Q86" s="294" t="n"/>
    </row>
    <row r="87">
      <c r="A87" s="18" t="n">
        <v>67</v>
      </c>
      <c r="B87" s="19" t="inlineStr">
        <is>
          <t xml:space="preserve">        Parada de Bus con Cubierta</t>
        </is>
      </c>
      <c r="C87" s="20" t="inlineStr">
        <is>
          <t>Residencial / Comercial</t>
        </is>
      </c>
      <c r="D87" s="18" t="inlineStr">
        <is>
          <t>Paradas</t>
        </is>
      </c>
      <c r="E87" s="18" t="inlineStr">
        <is>
          <t>U</t>
        </is>
      </c>
      <c r="F87" s="21" t="n">
        <v>0</v>
      </c>
      <c r="G87" s="22" t="n">
        <v>2400</v>
      </c>
      <c r="H87" s="22" t="n">
        <v>2448</v>
      </c>
      <c r="I87" s="18" t="inlineStr">
        <is>
          <t>Vivero local GYE</t>
        </is>
      </c>
      <c r="J87" s="22" t="n">
        <v>2616</v>
      </c>
      <c r="K87" s="18" t="inlineStr">
        <is>
          <t>Kywi / Megakywi</t>
        </is>
      </c>
      <c r="L87" s="8">
        <f>F87*G87</f>
        <v/>
      </c>
      <c r="M87" s="145" t="inlineStr">
        <is>
          <t>AP-G20-MBU-PAR-BUS</t>
        </is>
      </c>
      <c r="N87" s="18" t="inlineStr">
        <is>
          <t>Paisajismo y obras exteriores</t>
        </is>
      </c>
      <c r="O87" s="18" t="inlineStr">
        <is>
          <t>Estimado DION · criterio de mercado Guayaquil 2026 (no verificado en tienda)</t>
        </is>
      </c>
      <c r="P87" s="18" t="inlineStr">
        <is>
          <t>oct-2026 (est.)</t>
        </is>
      </c>
      <c r="Q87" s="18" t="n"/>
    </row>
    <row r="88">
      <c r="A88" s="10" t="n"/>
      <c r="B88" s="147" t="inlineStr">
        <is>
          <t>TOTAL BASE DE DATOS PAISAJISMO (ESTIMADO)</t>
        </is>
      </c>
      <c r="C88" s="148" t="n"/>
      <c r="D88" s="148" t="n"/>
      <c r="E88" s="148" t="n"/>
      <c r="F88" s="148" t="n"/>
      <c r="G88" s="148" t="n"/>
      <c r="H88" s="148" t="n"/>
      <c r="I88" s="148" t="n"/>
      <c r="J88" s="148" t="n"/>
      <c r="K88" s="148" t="n"/>
      <c r="L88" s="30">
        <f>SUM(L6:L87)</f>
        <v/>
      </c>
      <c r="M88" s="30" t="n"/>
      <c r="N88" s="30" t="n"/>
      <c r="O88" s="30" t="n"/>
      <c r="P88" s="30" t="n"/>
      <c r="Q88" s="30" t="n"/>
    </row>
  </sheetData>
  <mergeCells count="16">
    <mergeCell ref="A8:Q8"/>
    <mergeCell ref="A31:Q31"/>
    <mergeCell ref="A6:Q6"/>
    <mergeCell ref="A61:Q61"/>
    <mergeCell ref="A18:Q18"/>
    <mergeCell ref="A71:Q71"/>
    <mergeCell ref="B88:K88"/>
    <mergeCell ref="A7:Q7"/>
    <mergeCell ref="A59:Q59"/>
    <mergeCell ref="A20:Q20"/>
    <mergeCell ref="A73:Q73"/>
    <mergeCell ref="A72:Q72"/>
    <mergeCell ref="A33:Q33"/>
    <mergeCell ref="A60:Q60"/>
    <mergeCell ref="A19:Q19"/>
    <mergeCell ref="A32:Q32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8" customWidth="1" min="2" max="2"/>
    <col width="30" customWidth="1" min="3" max="3"/>
    <col width="32" customWidth="1" min="4" max="4"/>
    <col width="8" customWidth="1" min="5" max="5"/>
    <col width="10" customWidth="1" min="6" max="6"/>
    <col width="15" customWidth="1" min="7" max="7"/>
    <col width="16" customWidth="1" min="8" max="8"/>
    <col width="22" customWidth="1" min="9" max="9"/>
    <col width="16" customWidth="1" min="10" max="10"/>
    <col width="20" customWidth="1" min="11" max="11"/>
    <col width="16" customWidth="1" min="12" max="12"/>
    <col width="27" customWidth="1" min="13" max="13"/>
    <col width="30" customWidth="1" min="14" max="14"/>
    <col width="44" customWidth="1" min="15" max="15"/>
    <col width="15" customWidth="1" min="16" max="16"/>
    <col width="14" customWidth="1" min="17" max="17"/>
  </cols>
  <sheetData>
    <row r="1">
      <c r="A1" s="1" t="inlineStr">
        <is>
          <t>BASE DE DATOS COMPLETA DE CATALOGACIÓN: ASCENSORES (REFERENCIAL)</t>
        </is>
      </c>
    </row>
    <row r="2">
      <c r="A2" s="2" t="inlineStr">
        <is>
          <t>Estructura Jerárquica Homogénea: Accesorios &gt; Tuberías &gt; Equipos &gt; Conexiones &gt; Equipos Especializados | Degradé por Niveles (Ecuador - USD)</t>
        </is>
      </c>
    </row>
    <row r="3">
      <c r="A3" s="13" t="inlineStr">
        <is>
          <t>« Volver al Índice General</t>
        </is>
      </c>
    </row>
    <row r="5" ht="30" customHeight="1">
      <c r="A5" s="4" t="inlineStr">
        <is>
          <t>Item</t>
        </is>
      </c>
      <c r="B5" s="4" t="inlineStr">
        <is>
          <t>Descripción de Accesorio / Ítem Especificado</t>
        </is>
      </c>
      <c r="C5" s="4" t="inlineStr">
        <is>
          <t>Clasificación / Ámbito de Uso
(Residencial/Comercial/Industrial)</t>
        </is>
      </c>
      <c r="D5" s="4" t="inlineStr">
        <is>
          <t>Tipo / Familia</t>
        </is>
      </c>
      <c r="E5" s="4" t="inlineStr">
        <is>
          <t>Unidad</t>
        </is>
      </c>
      <c r="F5" s="4" t="inlineStr">
        <is>
          <t>Cant.</t>
        </is>
      </c>
      <c r="G5" s="4" t="inlineStr">
        <is>
          <t>P. Ref. Est. ($)</t>
        </is>
      </c>
      <c r="H5" s="4" t="inlineStr">
        <is>
          <t>P. Unit. Local A ($)
(Proveedor A (Schindler/Otis/KONE/TK))</t>
        </is>
      </c>
      <c r="I5" s="4" t="inlineStr">
        <is>
          <t>Local A
Especificado</t>
        </is>
      </c>
      <c r="J5" s="4" t="inlineStr">
        <is>
          <t>P. Unit. Local B ($)
(Proveedor B (Orona/Mitsubishi/Hyundai))</t>
        </is>
      </c>
      <c r="K5" s="4" t="inlineStr">
        <is>
          <t>Local B
Especificado</t>
        </is>
      </c>
      <c r="L5" s="4" t="inlineStr">
        <is>
          <t>Subtotal Est. ($)</t>
        </is>
      </c>
      <c r="M5" s="4" t="inlineStr">
        <is>
          <t>Código DION</t>
        </is>
      </c>
      <c r="N5" s="4" t="inlineStr">
        <is>
          <t>Disciplina</t>
        </is>
      </c>
      <c r="O5" s="4" t="inlineStr">
        <is>
          <t>Fuente del precio</t>
        </is>
      </c>
      <c r="P5" s="4" t="inlineStr">
        <is>
          <t>Fecha precio</t>
        </is>
      </c>
      <c r="Q5" s="4" t="inlineStr">
        <is>
          <t>Rendimiento /
desperdicio %</t>
        </is>
      </c>
    </row>
    <row r="6">
      <c r="A6" s="301" t="inlineStr">
        <is>
          <t>ACCESORIOS</t>
        </is>
      </c>
      <c r="B6" s="143" t="n"/>
      <c r="C6" s="143" t="n"/>
      <c r="D6" s="143" t="n"/>
      <c r="E6" s="143" t="n"/>
      <c r="F6" s="143" t="n"/>
      <c r="G6" s="143" t="n"/>
      <c r="H6" s="143" t="n"/>
      <c r="I6" s="143" t="n"/>
      <c r="J6" s="143" t="n"/>
      <c r="K6" s="143" t="n"/>
      <c r="L6" s="143" t="n"/>
      <c r="M6" s="143" t="n"/>
      <c r="N6" s="143" t="n"/>
      <c r="O6" s="143" t="n"/>
      <c r="P6" s="143" t="n"/>
      <c r="Q6" s="144" t="n"/>
    </row>
    <row r="7">
      <c r="A7" s="302" t="inlineStr">
        <is>
          <t xml:space="preserve">  ► CATEGORÍA: COMPONENTES Y OBRA CIVIL ASOCIADA</t>
        </is>
      </c>
      <c r="B7" s="143" t="n"/>
      <c r="C7" s="143" t="n"/>
      <c r="D7" s="143" t="n"/>
      <c r="E7" s="143" t="n"/>
      <c r="F7" s="143" t="n"/>
      <c r="G7" s="143" t="n"/>
      <c r="H7" s="143" t="n"/>
      <c r="I7" s="143" t="n"/>
      <c r="J7" s="143" t="n"/>
      <c r="K7" s="143" t="n"/>
      <c r="L7" s="143" t="n"/>
      <c r="M7" s="143" t="n"/>
      <c r="N7" s="143" t="n"/>
      <c r="O7" s="143" t="n"/>
      <c r="P7" s="143" t="n"/>
      <c r="Q7" s="144" t="n"/>
    </row>
    <row r="8">
      <c r="A8" s="303" t="inlineStr">
        <is>
          <t xml:space="preserve">      • Subcategoría Especificada: Por Unidad / Global</t>
        </is>
      </c>
      <c r="B8" s="143" t="n"/>
      <c r="C8" s="143" t="n"/>
      <c r="D8" s="143" t="n"/>
      <c r="E8" s="143" t="n"/>
      <c r="F8" s="143" t="n"/>
      <c r="G8" s="143" t="n"/>
      <c r="H8" s="143" t="n"/>
      <c r="I8" s="143" t="n"/>
      <c r="J8" s="143" t="n"/>
      <c r="K8" s="143" t="n"/>
      <c r="L8" s="143" t="n"/>
      <c r="M8" s="143" t="n"/>
      <c r="N8" s="143" t="n"/>
      <c r="O8" s="143" t="n"/>
      <c r="P8" s="143" t="n"/>
      <c r="Q8" s="144" t="n"/>
    </row>
    <row r="9">
      <c r="A9" s="18" t="n">
        <v>1</v>
      </c>
      <c r="B9" s="19" t="inlineStr">
        <is>
          <t xml:space="preserve">        Foso de Ascensor Impermeabilizado (Global Obra Civil)</t>
        </is>
      </c>
      <c r="C9" s="20" t="inlineStr">
        <is>
          <t>Comercial / Industrial</t>
        </is>
      </c>
      <c r="D9" s="18" t="inlineStr">
        <is>
          <t>Obra Civil</t>
        </is>
      </c>
      <c r="E9" s="18" t="inlineStr">
        <is>
          <t>Glb</t>
        </is>
      </c>
      <c r="F9" s="21" t="n">
        <v>0</v>
      </c>
      <c r="G9" s="22" t="n">
        <v>2800</v>
      </c>
      <c r="H9" s="22" t="n">
        <v>2912</v>
      </c>
      <c r="I9" s="18" t="inlineStr">
        <is>
          <t>Proveedor A (Schindler/Otis/KONE/TK)</t>
        </is>
      </c>
      <c r="J9" s="22" t="n">
        <v>3080</v>
      </c>
      <c r="K9" s="18" t="inlineStr">
        <is>
          <t>Proveedor B (Orona/Mitsubishi/Hyundai)</t>
        </is>
      </c>
      <c r="L9" s="8">
        <f>F9*G9</f>
        <v/>
      </c>
      <c r="M9" s="145" t="inlineStr">
        <is>
          <t>V-D10-COM-FOS</t>
        </is>
      </c>
      <c r="N9" s="18" t="inlineStr">
        <is>
          <t>Transporte vertical</t>
        </is>
      </c>
      <c r="O9" s="18" t="inlineStr">
        <is>
          <t>Estimado DION · criterio de mercado Guayaquil 2026 (no verificado en tienda)</t>
        </is>
      </c>
      <c r="P9" s="18" t="inlineStr">
        <is>
          <t>oct-2026 (est.)</t>
        </is>
      </c>
      <c r="Q9" s="18" t="n"/>
    </row>
    <row r="10">
      <c r="A10" s="304" t="n">
        <v>2</v>
      </c>
      <c r="B10" s="305" t="inlineStr">
        <is>
          <t xml:space="preserve">        Sala de Máquinas / Ventilación (Global)</t>
        </is>
      </c>
      <c r="C10" s="306" t="inlineStr">
        <is>
          <t>Comercial / Industrial</t>
        </is>
      </c>
      <c r="D10" s="304" t="inlineStr">
        <is>
          <t>Obra Civil</t>
        </is>
      </c>
      <c r="E10" s="304" t="inlineStr">
        <is>
          <t>Glb</t>
        </is>
      </c>
      <c r="F10" s="307" t="n">
        <v>0</v>
      </c>
      <c r="G10" s="308" t="n">
        <v>2400</v>
      </c>
      <c r="H10" s="308" t="n">
        <v>2496</v>
      </c>
      <c r="I10" s="304" t="inlineStr">
        <is>
          <t>Proveedor A (Schindler/Otis/KONE/TK)</t>
        </is>
      </c>
      <c r="J10" s="308" t="n">
        <v>2640</v>
      </c>
      <c r="K10" s="304" t="inlineStr">
        <is>
          <t>Proveedor B (Orona/Mitsubishi/Hyundai)</t>
        </is>
      </c>
      <c r="L10" s="309">
        <f>F10*G10</f>
        <v/>
      </c>
      <c r="M10" s="310" t="inlineStr">
        <is>
          <t>V-D10-COM-SAL-MAQ</t>
        </is>
      </c>
      <c r="N10" s="304" t="inlineStr">
        <is>
          <t>Transporte vertical</t>
        </is>
      </c>
      <c r="O10" s="304" t="inlineStr">
        <is>
          <t>Estimado DION · criterio de mercado Guayaquil 2026 (no verificado en tienda)</t>
        </is>
      </c>
      <c r="P10" s="304" t="inlineStr">
        <is>
          <t>oct-2026 (est.)</t>
        </is>
      </c>
      <c r="Q10" s="304" t="n"/>
    </row>
    <row r="11">
      <c r="A11" s="18" t="n">
        <v>3</v>
      </c>
      <c r="B11" s="19" t="inlineStr">
        <is>
          <t xml:space="preserve">        Botonera de Piso con Braille</t>
        </is>
      </c>
      <c r="C11" s="20" t="inlineStr">
        <is>
          <t>Comercial / Industrial</t>
        </is>
      </c>
      <c r="D11" s="18" t="inlineStr">
        <is>
          <t>Botoneras</t>
        </is>
      </c>
      <c r="E11" s="18" t="inlineStr">
        <is>
          <t>U</t>
        </is>
      </c>
      <c r="F11" s="21" t="n">
        <v>6</v>
      </c>
      <c r="G11" s="22" t="n">
        <v>180</v>
      </c>
      <c r="H11" s="22" t="n">
        <v>185.4</v>
      </c>
      <c r="I11" s="18" t="inlineStr">
        <is>
          <t>Proveedor A (Schindler/Otis/KONE/TK)</t>
        </is>
      </c>
      <c r="J11" s="22" t="n">
        <v>196.2</v>
      </c>
      <c r="K11" s="18" t="inlineStr">
        <is>
          <t>Proveedor B (Orona/Mitsubishi/Hyundai)</t>
        </is>
      </c>
      <c r="L11" s="8">
        <f>F11*G11</f>
        <v/>
      </c>
      <c r="M11" s="145" t="inlineStr">
        <is>
          <t>V-D10-COM-BOT-PIS</t>
        </is>
      </c>
      <c r="N11" s="18" t="inlineStr">
        <is>
          <t>Transporte vertical</t>
        </is>
      </c>
      <c r="O11" s="18" t="inlineStr">
        <is>
          <t>Estimado DION · criterio de mercado Guayaquil 2026 (no verificado en tienda)</t>
        </is>
      </c>
      <c r="P11" s="18" t="inlineStr">
        <is>
          <t>oct-2026 (est.)</t>
        </is>
      </c>
      <c r="Q11" s="18" t="n"/>
    </row>
    <row r="12">
      <c r="A12" s="304" t="n">
        <v>4</v>
      </c>
      <c r="B12" s="305" t="inlineStr">
        <is>
          <t xml:space="preserve">        Indicador de Piso Digital</t>
        </is>
      </c>
      <c r="C12" s="306" t="inlineStr">
        <is>
          <t>Comercial / Industrial</t>
        </is>
      </c>
      <c r="D12" s="304" t="inlineStr">
        <is>
          <t>Indicadores</t>
        </is>
      </c>
      <c r="E12" s="304" t="inlineStr">
        <is>
          <t>U</t>
        </is>
      </c>
      <c r="F12" s="307" t="n">
        <v>6</v>
      </c>
      <c r="G12" s="308" t="n">
        <v>150</v>
      </c>
      <c r="H12" s="308" t="n">
        <v>153</v>
      </c>
      <c r="I12" s="304" t="inlineStr">
        <is>
          <t>Proveedor A (Schindler/Otis/KONE/TK)</t>
        </is>
      </c>
      <c r="J12" s="308" t="n">
        <v>165</v>
      </c>
      <c r="K12" s="304" t="inlineStr">
        <is>
          <t>Proveedor B (Orona/Mitsubishi/Hyundai)</t>
        </is>
      </c>
      <c r="L12" s="309">
        <f>F12*G12</f>
        <v/>
      </c>
      <c r="M12" s="310" t="inlineStr">
        <is>
          <t>V-D10-COM-IND-PIS</t>
        </is>
      </c>
      <c r="N12" s="304" t="inlineStr">
        <is>
          <t>Transporte vertical</t>
        </is>
      </c>
      <c r="O12" s="304" t="inlineStr">
        <is>
          <t>Estimado DION · criterio de mercado Guayaquil 2026 (no verificado en tienda)</t>
        </is>
      </c>
      <c r="P12" s="304" t="inlineStr">
        <is>
          <t>oct-2026 (est.)</t>
        </is>
      </c>
      <c r="Q12" s="304" t="n"/>
    </row>
    <row r="13">
      <c r="A13" s="18" t="n">
        <v>5</v>
      </c>
      <c r="B13" s="19" t="inlineStr">
        <is>
          <t xml:space="preserve">        Gancho de Izaje en Losa de Foso</t>
        </is>
      </c>
      <c r="C13" s="20" t="inlineStr">
        <is>
          <t>Comercial / Industrial</t>
        </is>
      </c>
      <c r="D13" s="18" t="inlineStr">
        <is>
          <t>Obra Civil</t>
        </is>
      </c>
      <c r="E13" s="18" t="inlineStr">
        <is>
          <t>U</t>
        </is>
      </c>
      <c r="F13" s="21" t="n">
        <v>1</v>
      </c>
      <c r="G13" s="22" t="n">
        <v>120</v>
      </c>
      <c r="H13" s="22" t="n">
        <v>122.4</v>
      </c>
      <c r="I13" s="18" t="inlineStr">
        <is>
          <t>Proveedor A (Schindler/Otis/KONE/TK)</t>
        </is>
      </c>
      <c r="J13" s="22" t="n">
        <v>133.2</v>
      </c>
      <c r="K13" s="18" t="inlineStr">
        <is>
          <t>Proveedor B (Orona/Mitsubishi/Hyundai)</t>
        </is>
      </c>
      <c r="L13" s="8">
        <f>F13*G13</f>
        <v/>
      </c>
      <c r="M13" s="145" t="inlineStr">
        <is>
          <t>V-D10-COM-GAN-SOP</t>
        </is>
      </c>
      <c r="N13" s="18" t="inlineStr">
        <is>
          <t>Transporte vertical</t>
        </is>
      </c>
      <c r="O13" s="18" t="inlineStr">
        <is>
          <t>Estimado DION · criterio de mercado Guayaquil 2026 (no verificado en tienda)</t>
        </is>
      </c>
      <c r="P13" s="18" t="inlineStr">
        <is>
          <t>oct-2026 (est.)</t>
        </is>
      </c>
      <c r="Q13" s="18" t="n"/>
    </row>
    <row r="14">
      <c r="A14" s="301" t="inlineStr">
        <is>
          <t>TUBERÍAS</t>
        </is>
      </c>
      <c r="B14" s="143" t="n"/>
      <c r="C14" s="143" t="n"/>
      <c r="D14" s="143" t="n"/>
      <c r="E14" s="143" t="n"/>
      <c r="F14" s="143" t="n"/>
      <c r="G14" s="143" t="n"/>
      <c r="H14" s="143" t="n"/>
      <c r="I14" s="143" t="n"/>
      <c r="J14" s="143" t="n"/>
      <c r="K14" s="143" t="n"/>
      <c r="L14" s="143" t="n"/>
      <c r="M14" s="143" t="n"/>
      <c r="N14" s="143" t="n"/>
      <c r="O14" s="143" t="n"/>
      <c r="P14" s="143" t="n"/>
      <c r="Q14" s="144" t="n"/>
    </row>
    <row r="15">
      <c r="A15" s="302" t="inlineStr">
        <is>
          <t xml:space="preserve">  ► CATEGORÍA: MANTENIMIENTO Y SERVICIOS</t>
        </is>
      </c>
      <c r="B15" s="143" t="n"/>
      <c r="C15" s="143" t="n"/>
      <c r="D15" s="143" t="n"/>
      <c r="E15" s="143" t="n"/>
      <c r="F15" s="143" t="n"/>
      <c r="G15" s="143" t="n"/>
      <c r="H15" s="143" t="n"/>
      <c r="I15" s="143" t="n"/>
      <c r="J15" s="143" t="n"/>
      <c r="K15" s="143" t="n"/>
      <c r="L15" s="143" t="n"/>
      <c r="M15" s="143" t="n"/>
      <c r="N15" s="143" t="n"/>
      <c r="O15" s="143" t="n"/>
      <c r="P15" s="143" t="n"/>
      <c r="Q15" s="144" t="n"/>
    </row>
    <row r="16">
      <c r="A16" s="303" t="inlineStr">
        <is>
          <t xml:space="preserve">      • Subcategoría Especificada: Contrato Mensual Referencial</t>
        </is>
      </c>
      <c r="B16" s="143" t="n"/>
      <c r="C16" s="143" t="n"/>
      <c r="D16" s="143" t="n"/>
      <c r="E16" s="143" t="n"/>
      <c r="F16" s="143" t="n"/>
      <c r="G16" s="143" t="n"/>
      <c r="H16" s="143" t="n"/>
      <c r="I16" s="143" t="n"/>
      <c r="J16" s="143" t="n"/>
      <c r="K16" s="143" t="n"/>
      <c r="L16" s="143" t="n"/>
      <c r="M16" s="143" t="n"/>
      <c r="N16" s="143" t="n"/>
      <c r="O16" s="143" t="n"/>
      <c r="P16" s="143" t="n"/>
      <c r="Q16" s="144" t="n"/>
    </row>
    <row r="17">
      <c r="A17" s="304" t="n">
        <v>6</v>
      </c>
      <c r="B17" s="305" t="inlineStr">
        <is>
          <t xml:space="preserve">        Mantenimiento Preventivo Ascensor de Pasajeros (mes)</t>
        </is>
      </c>
      <c r="C17" s="306" t="inlineStr">
        <is>
          <t>Comercial / Industrial</t>
        </is>
      </c>
      <c r="D17" s="304" t="inlineStr">
        <is>
          <t>Mantenimiento</t>
        </is>
      </c>
      <c r="E17" s="304" t="inlineStr">
        <is>
          <t>mes</t>
        </is>
      </c>
      <c r="F17" s="307" t="n">
        <v>12</v>
      </c>
      <c r="G17" s="308" t="n">
        <v>120</v>
      </c>
      <c r="H17" s="308" t="n">
        <v>123.6</v>
      </c>
      <c r="I17" s="304" t="inlineStr">
        <is>
          <t>Proveedor A (Schindler/Otis/KONE/TK)</t>
        </is>
      </c>
      <c r="J17" s="308" t="n">
        <v>129.6</v>
      </c>
      <c r="K17" s="304" t="inlineStr">
        <is>
          <t>Proveedor B (Orona/Mitsubishi/Hyundai)</t>
        </is>
      </c>
      <c r="L17" s="309">
        <f>F17*G17</f>
        <v/>
      </c>
      <c r="M17" s="310" t="inlineStr">
        <is>
          <t>V-D10-ASC-MAN-PAS</t>
        </is>
      </c>
      <c r="N17" s="304" t="inlineStr">
        <is>
          <t>Transporte vertical</t>
        </is>
      </c>
      <c r="O17" s="304" t="inlineStr">
        <is>
          <t>Estimado DION · criterio de mercado Guayaquil 2026 (no verificado en tienda)</t>
        </is>
      </c>
      <c r="P17" s="304" t="inlineStr">
        <is>
          <t>oct-2026 (est.)</t>
        </is>
      </c>
      <c r="Q17" s="304" t="n"/>
    </row>
    <row r="18">
      <c r="A18" s="18" t="n">
        <v>7</v>
      </c>
      <c r="B18" s="19" t="inlineStr">
        <is>
          <t xml:space="preserve">        Mantenimiento Montacamillas Hospitalario (mes)</t>
        </is>
      </c>
      <c r="C18" s="20" t="inlineStr">
        <is>
          <t>Comercial / Industrial</t>
        </is>
      </c>
      <c r="D18" s="18" t="inlineStr">
        <is>
          <t>Mantenimiento</t>
        </is>
      </c>
      <c r="E18" s="18" t="inlineStr">
        <is>
          <t>mes</t>
        </is>
      </c>
      <c r="F18" s="21" t="n">
        <v>12</v>
      </c>
      <c r="G18" s="22" t="n">
        <v>180</v>
      </c>
      <c r="H18" s="22" t="n">
        <v>183.6</v>
      </c>
      <c r="I18" s="18" t="inlineStr">
        <is>
          <t>Proveedor A (Schindler/Otis/KONE/TK)</t>
        </is>
      </c>
      <c r="J18" s="22" t="n">
        <v>194.4</v>
      </c>
      <c r="K18" s="18" t="inlineStr">
        <is>
          <t>Proveedor B (Orona/Mitsubishi/Hyundai)</t>
        </is>
      </c>
      <c r="L18" s="8">
        <f>F18*G18</f>
        <v/>
      </c>
      <c r="M18" s="145" t="inlineStr">
        <is>
          <t>V-D10-ASC-MAN-CAM</t>
        </is>
      </c>
      <c r="N18" s="18" t="inlineStr">
        <is>
          <t>Transporte vertical</t>
        </is>
      </c>
      <c r="O18" s="18" t="inlineStr">
        <is>
          <t>Estimado DION · criterio de mercado Guayaquil 2026 (no verificado en tienda)</t>
        </is>
      </c>
      <c r="P18" s="18" t="inlineStr">
        <is>
          <t>oct-2026 (est.)</t>
        </is>
      </c>
      <c r="Q18" s="18" t="n"/>
    </row>
    <row r="19">
      <c r="A19" s="301" t="inlineStr">
        <is>
          <t>EQUIPOS</t>
        </is>
      </c>
      <c r="B19" s="143" t="n"/>
      <c r="C19" s="143" t="n"/>
      <c r="D19" s="143" t="n"/>
      <c r="E19" s="143" t="n"/>
      <c r="F19" s="143" t="n"/>
      <c r="G19" s="143" t="n"/>
      <c r="H19" s="143" t="n"/>
      <c r="I19" s="143" t="n"/>
      <c r="J19" s="143" t="n"/>
      <c r="K19" s="143" t="n"/>
      <c r="L19" s="143" t="n"/>
      <c r="M19" s="143" t="n"/>
      <c r="N19" s="143" t="n"/>
      <c r="O19" s="143" t="n"/>
      <c r="P19" s="143" t="n"/>
      <c r="Q19" s="144" t="n"/>
    </row>
    <row r="20">
      <c r="A20" s="302" t="inlineStr">
        <is>
          <t xml:space="preserve">  ► CATEGORÍA: ASCENSORES DE PASAJEROS</t>
        </is>
      </c>
      <c r="B20" s="143" t="n"/>
      <c r="C20" s="143" t="n"/>
      <c r="D20" s="143" t="n"/>
      <c r="E20" s="143" t="n"/>
      <c r="F20" s="143" t="n"/>
      <c r="G20" s="143" t="n"/>
      <c r="H20" s="143" t="n"/>
      <c r="I20" s="143" t="n"/>
      <c r="J20" s="143" t="n"/>
      <c r="K20" s="143" t="n"/>
      <c r="L20" s="143" t="n"/>
      <c r="M20" s="143" t="n"/>
      <c r="N20" s="143" t="n"/>
      <c r="O20" s="143" t="n"/>
      <c r="P20" s="143" t="n"/>
      <c r="Q20" s="144" t="n"/>
    </row>
    <row r="21">
      <c r="A21" s="303" t="inlineStr">
        <is>
          <t xml:space="preserve">      • Subcategoría Especificada: Por Capacidad (Hasta 6 Paradas, Instalado, Referencial)</t>
        </is>
      </c>
      <c r="B21" s="143" t="n"/>
      <c r="C21" s="143" t="n"/>
      <c r="D21" s="143" t="n"/>
      <c r="E21" s="143" t="n"/>
      <c r="F21" s="143" t="n"/>
      <c r="G21" s="143" t="n"/>
      <c r="H21" s="143" t="n"/>
      <c r="I21" s="143" t="n"/>
      <c r="J21" s="143" t="n"/>
      <c r="K21" s="143" t="n"/>
      <c r="L21" s="143" t="n"/>
      <c r="M21" s="143" t="n"/>
      <c r="N21" s="143" t="n"/>
      <c r="O21" s="143" t="n"/>
      <c r="P21" s="143" t="n"/>
      <c r="Q21" s="144" t="n"/>
    </row>
    <row r="22">
      <c r="A22" s="304" t="n">
        <v>8</v>
      </c>
      <c r="B22" s="305" t="inlineStr">
        <is>
          <t xml:space="preserve">        Ascensor de Pasajeros 450 kg (6 Personas) sin Cuarto de Máquinas</t>
        </is>
      </c>
      <c r="C22" s="306" t="inlineStr">
        <is>
          <t>Residencial / Comercial</t>
        </is>
      </c>
      <c r="D22" s="304" t="inlineStr">
        <is>
          <t>Ascensores Pasajeros</t>
        </is>
      </c>
      <c r="E22" s="304" t="inlineStr">
        <is>
          <t>U</t>
        </is>
      </c>
      <c r="F22" s="307" t="n">
        <v>0</v>
      </c>
      <c r="G22" s="308" t="n">
        <v>28500</v>
      </c>
      <c r="H22" s="308" t="n">
        <v>29640</v>
      </c>
      <c r="I22" s="304" t="inlineStr">
        <is>
          <t>Proveedor A (Schindler/Otis/KONE/TK)</t>
        </is>
      </c>
      <c r="J22" s="308" t="n">
        <v>30780</v>
      </c>
      <c r="K22" s="304" t="inlineStr">
        <is>
          <t>Proveedor B (Orona/Mitsubishi/Hyundai)</t>
        </is>
      </c>
      <c r="L22" s="309">
        <f>F22*G22</f>
        <v/>
      </c>
      <c r="M22" s="310" t="inlineStr">
        <is>
          <t>V-D10-ASC-PAS-0450KG</t>
        </is>
      </c>
      <c r="N22" s="304" t="inlineStr">
        <is>
          <t>Transporte vertical</t>
        </is>
      </c>
      <c r="O22" s="304" t="inlineStr">
        <is>
          <t>Estimado DION · criterio de mercado Guayaquil 2026 (no verificado en tienda)</t>
        </is>
      </c>
      <c r="P22" s="304" t="inlineStr">
        <is>
          <t>oct-2026 (est.)</t>
        </is>
      </c>
      <c r="Q22" s="304" t="n"/>
    </row>
    <row r="23">
      <c r="A23" s="18" t="n">
        <v>9</v>
      </c>
      <c r="B23" s="19" t="inlineStr">
        <is>
          <t xml:space="preserve">        Ascensor de Pasajeros 630 kg (8 Personas) sin Cuarto de Máquinas</t>
        </is>
      </c>
      <c r="C23" s="20" t="inlineStr">
        <is>
          <t>Residencial / Comercial</t>
        </is>
      </c>
      <c r="D23" s="18" t="inlineStr">
        <is>
          <t>Ascensores Pasajeros</t>
        </is>
      </c>
      <c r="E23" s="18" t="inlineStr">
        <is>
          <t>U</t>
        </is>
      </c>
      <c r="F23" s="21" t="n">
        <v>0</v>
      </c>
      <c r="G23" s="22" t="n">
        <v>32500</v>
      </c>
      <c r="H23" s="22" t="n">
        <v>33475</v>
      </c>
      <c r="I23" s="18" t="inlineStr">
        <is>
          <t>Proveedor A (Schindler/Otis/KONE/TK)</t>
        </is>
      </c>
      <c r="J23" s="22" t="n">
        <v>34775</v>
      </c>
      <c r="K23" s="18" t="inlineStr">
        <is>
          <t>Proveedor B (Orona/Mitsubishi/Hyundai)</t>
        </is>
      </c>
      <c r="L23" s="8">
        <f>F23*G23</f>
        <v/>
      </c>
      <c r="M23" s="145" t="inlineStr">
        <is>
          <t>V-D10-ASC-PAS-0630KG</t>
        </is>
      </c>
      <c r="N23" s="18" t="inlineStr">
        <is>
          <t>Transporte vertical</t>
        </is>
      </c>
      <c r="O23" s="18" t="inlineStr">
        <is>
          <t>Estimado DION · criterio de mercado Guayaquil 2026 (no verificado en tienda)</t>
        </is>
      </c>
      <c r="P23" s="18" t="inlineStr">
        <is>
          <t>oct-2026 (est.)</t>
        </is>
      </c>
      <c r="Q23" s="18" t="n"/>
    </row>
    <row r="24">
      <c r="A24" s="304" t="n">
        <v>10</v>
      </c>
      <c r="B24" s="305" t="inlineStr">
        <is>
          <t xml:space="preserve">        Ascensor de Pasajeros 800 kg (10 Personas) sin Cuarto de Máquinas</t>
        </is>
      </c>
      <c r="C24" s="306" t="inlineStr">
        <is>
          <t>Comercial / Industrial</t>
        </is>
      </c>
      <c r="D24" s="304" t="inlineStr">
        <is>
          <t>Ascensores Pasajeros</t>
        </is>
      </c>
      <c r="E24" s="304" t="inlineStr">
        <is>
          <t>U</t>
        </is>
      </c>
      <c r="F24" s="307" t="n">
        <v>0</v>
      </c>
      <c r="G24" s="308" t="n">
        <v>36500</v>
      </c>
      <c r="H24" s="308" t="n">
        <v>37230</v>
      </c>
      <c r="I24" s="304" t="inlineStr">
        <is>
          <t>Proveedor A (Schindler/Otis/KONE/TK)</t>
        </is>
      </c>
      <c r="J24" s="308" t="n">
        <v>40150</v>
      </c>
      <c r="K24" s="304" t="inlineStr">
        <is>
          <t>Proveedor B (Orona/Mitsubishi/Hyundai)</t>
        </is>
      </c>
      <c r="L24" s="309">
        <f>F24*G24</f>
        <v/>
      </c>
      <c r="M24" s="310" t="inlineStr">
        <is>
          <t>V-D10-ASC-PAS-0800KG</t>
        </is>
      </c>
      <c r="N24" s="304" t="inlineStr">
        <is>
          <t>Transporte vertical</t>
        </is>
      </c>
      <c r="O24" s="304" t="inlineStr">
        <is>
          <t>Estimado DION · criterio de mercado Guayaquil 2026 (no verificado en tienda)</t>
        </is>
      </c>
      <c r="P24" s="304" t="inlineStr">
        <is>
          <t>oct-2026 (est.)</t>
        </is>
      </c>
      <c r="Q24" s="304" t="n"/>
    </row>
    <row r="25">
      <c r="A25" s="18" t="n">
        <v>11</v>
      </c>
      <c r="B25" s="19" t="inlineStr">
        <is>
          <t xml:space="preserve">        Ascensor de Pasajeros 1000 kg (13 Personas) sin Cuarto de Máquinas</t>
        </is>
      </c>
      <c r="C25" s="20" t="inlineStr">
        <is>
          <t>Comercial / Industrial</t>
        </is>
      </c>
      <c r="D25" s="18" t="inlineStr">
        <is>
          <t>Ascensores Pasajeros</t>
        </is>
      </c>
      <c r="E25" s="18" t="inlineStr">
        <is>
          <t>U</t>
        </is>
      </c>
      <c r="F25" s="21" t="n">
        <v>0</v>
      </c>
      <c r="G25" s="22" t="n">
        <v>42000</v>
      </c>
      <c r="H25" s="22" t="n">
        <v>43260</v>
      </c>
      <c r="I25" s="18" t="inlineStr">
        <is>
          <t>Proveedor A (Schindler/Otis/KONE/TK)</t>
        </is>
      </c>
      <c r="J25" s="22" t="n">
        <v>45360</v>
      </c>
      <c r="K25" s="18" t="inlineStr">
        <is>
          <t>Proveedor B (Orona/Mitsubishi/Hyundai)</t>
        </is>
      </c>
      <c r="L25" s="8">
        <f>F25*G25</f>
        <v/>
      </c>
      <c r="M25" s="145" t="inlineStr">
        <is>
          <t>V-D10-ASC-PAS-1000KG</t>
        </is>
      </c>
      <c r="N25" s="18" t="inlineStr">
        <is>
          <t>Transporte vertical</t>
        </is>
      </c>
      <c r="O25" s="18" t="inlineStr">
        <is>
          <t>Estimado DION · criterio de mercado Guayaquil 2026 (no verificado en tienda)</t>
        </is>
      </c>
      <c r="P25" s="18" t="inlineStr">
        <is>
          <t>oct-2026 (est.)</t>
        </is>
      </c>
      <c r="Q25" s="18" t="n"/>
    </row>
    <row r="26">
      <c r="A26" s="304" t="n">
        <v>12</v>
      </c>
      <c r="B26" s="305" t="inlineStr">
        <is>
          <t xml:space="preserve">        Ascensor de Pasajeros 1275 kg (17 Personas) sin Cuarto de Máquinas</t>
        </is>
      </c>
      <c r="C26" s="306" t="inlineStr">
        <is>
          <t>Comercial / Industrial</t>
        </is>
      </c>
      <c r="D26" s="304" t="inlineStr">
        <is>
          <t>Ascensores Pasajeros</t>
        </is>
      </c>
      <c r="E26" s="304" t="inlineStr">
        <is>
          <t>U</t>
        </is>
      </c>
      <c r="F26" s="307" t="n">
        <v>0</v>
      </c>
      <c r="G26" s="308" t="n">
        <v>49500</v>
      </c>
      <c r="H26" s="308" t="n">
        <v>51480</v>
      </c>
      <c r="I26" s="304" t="inlineStr">
        <is>
          <t>Proveedor A (Schindler/Otis/KONE/TK)</t>
        </is>
      </c>
      <c r="J26" s="308" t="n">
        <v>54945</v>
      </c>
      <c r="K26" s="304" t="inlineStr">
        <is>
          <t>Proveedor B (Orona/Mitsubishi/Hyundai)</t>
        </is>
      </c>
      <c r="L26" s="309">
        <f>F26*G26</f>
        <v/>
      </c>
      <c r="M26" s="310" t="inlineStr">
        <is>
          <t>V-D10-ASC-PAS-1275KG</t>
        </is>
      </c>
      <c r="N26" s="304" t="inlineStr">
        <is>
          <t>Transporte vertical</t>
        </is>
      </c>
      <c r="O26" s="304" t="inlineStr">
        <is>
          <t>Estimado DION · criterio de mercado Guayaquil 2026 (no verificado en tienda)</t>
        </is>
      </c>
      <c r="P26" s="304" t="inlineStr">
        <is>
          <t>oct-2026 (est.)</t>
        </is>
      </c>
      <c r="Q26" s="304" t="n"/>
    </row>
    <row r="27">
      <c r="A27" s="18" t="n">
        <v>13</v>
      </c>
      <c r="B27" s="19" t="inlineStr">
        <is>
          <t xml:space="preserve">        Ascensor de Pasajeros 1600 kg (21 Personas) sin Cuarto de Máquinas</t>
        </is>
      </c>
      <c r="C27" s="20" t="inlineStr">
        <is>
          <t>Comercial / Industrial</t>
        </is>
      </c>
      <c r="D27" s="18" t="inlineStr">
        <is>
          <t>Ascensores Pasajeros</t>
        </is>
      </c>
      <c r="E27" s="18" t="inlineStr">
        <is>
          <t>U</t>
        </is>
      </c>
      <c r="F27" s="21" t="n">
        <v>0</v>
      </c>
      <c r="G27" s="22" t="n">
        <v>58000</v>
      </c>
      <c r="H27" s="22" t="n">
        <v>59160</v>
      </c>
      <c r="I27" s="18" t="inlineStr">
        <is>
          <t>Proveedor A (Schindler/Otis/KONE/TK)</t>
        </is>
      </c>
      <c r="J27" s="22" t="n">
        <v>62060</v>
      </c>
      <c r="K27" s="18" t="inlineStr">
        <is>
          <t>Proveedor B (Orona/Mitsubishi/Hyundai)</t>
        </is>
      </c>
      <c r="L27" s="8">
        <f>F27*G27</f>
        <v/>
      </c>
      <c r="M27" s="145" t="inlineStr">
        <is>
          <t>V-D10-ASC-PAS-1600KG</t>
        </is>
      </c>
      <c r="N27" s="18" t="inlineStr">
        <is>
          <t>Transporte vertical</t>
        </is>
      </c>
      <c r="O27" s="18" t="inlineStr">
        <is>
          <t>Estimado DION · criterio de mercado Guayaquil 2026 (no verificado en tienda)</t>
        </is>
      </c>
      <c r="P27" s="18" t="inlineStr">
        <is>
          <t>oct-2026 (est.)</t>
        </is>
      </c>
      <c r="Q27" s="18" t="n"/>
    </row>
    <row r="28">
      <c r="A28" s="301" t="inlineStr">
        <is>
          <t>CONEXIONES</t>
        </is>
      </c>
      <c r="B28" s="143" t="n"/>
      <c r="C28" s="143" t="n"/>
      <c r="D28" s="143" t="n"/>
      <c r="E28" s="143" t="n"/>
      <c r="F28" s="143" t="n"/>
      <c r="G28" s="143" t="n"/>
      <c r="H28" s="143" t="n"/>
      <c r="I28" s="143" t="n"/>
      <c r="J28" s="143" t="n"/>
      <c r="K28" s="143" t="n"/>
      <c r="L28" s="143" t="n"/>
      <c r="M28" s="143" t="n"/>
      <c r="N28" s="143" t="n"/>
      <c r="O28" s="143" t="n"/>
      <c r="P28" s="143" t="n"/>
      <c r="Q28" s="144" t="n"/>
    </row>
    <row r="29">
      <c r="A29" s="302" t="inlineStr">
        <is>
          <t xml:space="preserve">  ► CATEGORÍA: MONTACAMILLAS Y MONTACARGAS</t>
        </is>
      </c>
      <c r="B29" s="143" t="n"/>
      <c r="C29" s="143" t="n"/>
      <c r="D29" s="143" t="n"/>
      <c r="E29" s="143" t="n"/>
      <c r="F29" s="143" t="n"/>
      <c r="G29" s="143" t="n"/>
      <c r="H29" s="143" t="n"/>
      <c r="I29" s="143" t="n"/>
      <c r="J29" s="143" t="n"/>
      <c r="K29" s="143" t="n"/>
      <c r="L29" s="143" t="n"/>
      <c r="M29" s="143" t="n"/>
      <c r="N29" s="143" t="n"/>
      <c r="O29" s="143" t="n"/>
      <c r="P29" s="143" t="n"/>
      <c r="Q29" s="144" t="n"/>
    </row>
    <row r="30">
      <c r="A30" s="303" t="inlineStr">
        <is>
          <t xml:space="preserve">      • Subcategoría Especificada: Por Capacidad</t>
        </is>
      </c>
      <c r="B30" s="143" t="n"/>
      <c r="C30" s="143" t="n"/>
      <c r="D30" s="143" t="n"/>
      <c r="E30" s="143" t="n"/>
      <c r="F30" s="143" t="n"/>
      <c r="G30" s="143" t="n"/>
      <c r="H30" s="143" t="n"/>
      <c r="I30" s="143" t="n"/>
      <c r="J30" s="143" t="n"/>
      <c r="K30" s="143" t="n"/>
      <c r="L30" s="143" t="n"/>
      <c r="M30" s="143" t="n"/>
      <c r="N30" s="143" t="n"/>
      <c r="O30" s="143" t="n"/>
      <c r="P30" s="143" t="n"/>
      <c r="Q30" s="144" t="n"/>
    </row>
    <row r="31">
      <c r="A31" s="304" t="n">
        <v>14</v>
      </c>
      <c r="B31" s="305" t="inlineStr">
        <is>
          <t xml:space="preserve">        Montacamillas Hospitalario 1 600 kg</t>
        </is>
      </c>
      <c r="C31" s="306" t="inlineStr">
        <is>
          <t>Hospitalario</t>
        </is>
      </c>
      <c r="D31" s="304" t="inlineStr">
        <is>
          <t>Montacamillas</t>
        </is>
      </c>
      <c r="E31" s="304" t="inlineStr">
        <is>
          <t>U</t>
        </is>
      </c>
      <c r="F31" s="307" t="n">
        <v>0</v>
      </c>
      <c r="G31" s="308" t="n">
        <v>62000</v>
      </c>
      <c r="H31" s="308" t="n">
        <v>63860</v>
      </c>
      <c r="I31" s="304" t="inlineStr">
        <is>
          <t>Proveedor A (Schindler/Otis/KONE/TK)</t>
        </is>
      </c>
      <c r="J31" s="308" t="n">
        <v>67580</v>
      </c>
      <c r="K31" s="304" t="inlineStr">
        <is>
          <t>Proveedor B (Orona/Mitsubishi/Hyundai)</t>
        </is>
      </c>
      <c r="L31" s="309">
        <f>F31*G31</f>
        <v/>
      </c>
      <c r="M31" s="310" t="inlineStr">
        <is>
          <t>V-D10-ASC-CAM-1600KG</t>
        </is>
      </c>
      <c r="N31" s="304" t="inlineStr">
        <is>
          <t>Transporte vertical</t>
        </is>
      </c>
      <c r="O31" s="304" t="inlineStr">
        <is>
          <t>Estimado DION · criterio de mercado Guayaquil 2026 (no verificado en tienda)</t>
        </is>
      </c>
      <c r="P31" s="304" t="inlineStr">
        <is>
          <t>oct-2026 (est.)</t>
        </is>
      </c>
      <c r="Q31" s="304" t="n"/>
    </row>
    <row r="32">
      <c r="A32" s="18" t="n">
        <v>15</v>
      </c>
      <c r="B32" s="19" t="inlineStr">
        <is>
          <t xml:space="preserve">        Montacamillas Hospitalario 2 000 kg</t>
        </is>
      </c>
      <c r="C32" s="20" t="inlineStr">
        <is>
          <t>Hospitalario</t>
        </is>
      </c>
      <c r="D32" s="18" t="inlineStr">
        <is>
          <t>Montacamillas</t>
        </is>
      </c>
      <c r="E32" s="18" t="inlineStr">
        <is>
          <t>U</t>
        </is>
      </c>
      <c r="F32" s="21" t="n">
        <v>0</v>
      </c>
      <c r="G32" s="22" t="n">
        <v>70000</v>
      </c>
      <c r="H32" s="22" t="n">
        <v>72100</v>
      </c>
      <c r="I32" s="18" t="inlineStr">
        <is>
          <t>Proveedor A (Schindler/Otis/KONE/TK)</t>
        </is>
      </c>
      <c r="J32" s="22" t="n">
        <v>77700</v>
      </c>
      <c r="K32" s="18" t="inlineStr">
        <is>
          <t>Proveedor B (Orona/Mitsubishi/Hyundai)</t>
        </is>
      </c>
      <c r="L32" s="8">
        <f>F32*G32</f>
        <v/>
      </c>
      <c r="M32" s="145" t="inlineStr">
        <is>
          <t>V-D10-ASC-CAM-2000KG</t>
        </is>
      </c>
      <c r="N32" s="18" t="inlineStr">
        <is>
          <t>Transporte vertical</t>
        </is>
      </c>
      <c r="O32" s="18" t="inlineStr">
        <is>
          <t>Estimado DION · criterio de mercado Guayaquil 2026 (no verificado en tienda)</t>
        </is>
      </c>
      <c r="P32" s="18" t="inlineStr">
        <is>
          <t>oct-2026 (est.)</t>
        </is>
      </c>
      <c r="Q32" s="18" t="n"/>
    </row>
    <row r="33">
      <c r="A33" s="304" t="n">
        <v>16</v>
      </c>
      <c r="B33" s="305" t="inlineStr">
        <is>
          <t xml:space="preserve">        Montacargas 1 000 kg</t>
        </is>
      </c>
      <c r="C33" s="306" t="inlineStr">
        <is>
          <t>Comercial / Industrial</t>
        </is>
      </c>
      <c r="D33" s="304" t="inlineStr">
        <is>
          <t>Montacargas</t>
        </is>
      </c>
      <c r="E33" s="304" t="inlineStr">
        <is>
          <t>U</t>
        </is>
      </c>
      <c r="F33" s="307" t="n">
        <v>0</v>
      </c>
      <c r="G33" s="308" t="n">
        <v>38000</v>
      </c>
      <c r="H33" s="308" t="n">
        <v>39520</v>
      </c>
      <c r="I33" s="304" t="inlineStr">
        <is>
          <t>Proveedor A (Schindler/Otis/KONE/TK)</t>
        </is>
      </c>
      <c r="J33" s="308" t="n">
        <v>41420</v>
      </c>
      <c r="K33" s="304" t="inlineStr">
        <is>
          <t>Proveedor B (Orona/Mitsubishi/Hyundai)</t>
        </is>
      </c>
      <c r="L33" s="309">
        <f>F33*G33</f>
        <v/>
      </c>
      <c r="M33" s="310" t="inlineStr">
        <is>
          <t>V-D10-ASC-CAR-1000KG</t>
        </is>
      </c>
      <c r="N33" s="304" t="inlineStr">
        <is>
          <t>Transporte vertical</t>
        </is>
      </c>
      <c r="O33" s="304" t="inlineStr">
        <is>
          <t>Estimado DION · criterio de mercado Guayaquil 2026 (no verificado en tienda)</t>
        </is>
      </c>
      <c r="P33" s="304" t="inlineStr">
        <is>
          <t>oct-2026 (est.)</t>
        </is>
      </c>
      <c r="Q33" s="304" t="n"/>
    </row>
    <row r="34">
      <c r="A34" s="18" t="n">
        <v>17</v>
      </c>
      <c r="B34" s="19" t="inlineStr">
        <is>
          <t xml:space="preserve">        Montacargas 2 000 kg</t>
        </is>
      </c>
      <c r="C34" s="20" t="inlineStr">
        <is>
          <t>Industrial</t>
        </is>
      </c>
      <c r="D34" s="18" t="inlineStr">
        <is>
          <t>Montacargas</t>
        </is>
      </c>
      <c r="E34" s="18" t="inlineStr">
        <is>
          <t>U</t>
        </is>
      </c>
      <c r="F34" s="21" t="n">
        <v>0</v>
      </c>
      <c r="G34" s="22" t="n">
        <v>52000</v>
      </c>
      <c r="H34" s="22" t="n">
        <v>53560</v>
      </c>
      <c r="I34" s="18" t="inlineStr">
        <is>
          <t>Proveedor A (Schindler/Otis/KONE/TK)</t>
        </is>
      </c>
      <c r="J34" s="22" t="n">
        <v>56160</v>
      </c>
      <c r="K34" s="18" t="inlineStr">
        <is>
          <t>Proveedor B (Orona/Mitsubishi/Hyundai)</t>
        </is>
      </c>
      <c r="L34" s="8">
        <f>F34*G34</f>
        <v/>
      </c>
      <c r="M34" s="145" t="inlineStr">
        <is>
          <t>V-D10-ASC-CAR-2000KG</t>
        </is>
      </c>
      <c r="N34" s="18" t="inlineStr">
        <is>
          <t>Transporte vertical</t>
        </is>
      </c>
      <c r="O34" s="18" t="inlineStr">
        <is>
          <t>Estimado DION · criterio de mercado Guayaquil 2026 (no verificado en tienda)</t>
        </is>
      </c>
      <c r="P34" s="18" t="inlineStr">
        <is>
          <t>oct-2026 (est.)</t>
        </is>
      </c>
      <c r="Q34" s="18" t="n"/>
    </row>
    <row r="35">
      <c r="A35" s="304" t="n">
        <v>18</v>
      </c>
      <c r="B35" s="305" t="inlineStr">
        <is>
          <t xml:space="preserve">        Montacargas 3 000 kg</t>
        </is>
      </c>
      <c r="C35" s="306" t="inlineStr">
        <is>
          <t>Industrial</t>
        </is>
      </c>
      <c r="D35" s="304" t="inlineStr">
        <is>
          <t>Montacargas</t>
        </is>
      </c>
      <c r="E35" s="304" t="inlineStr">
        <is>
          <t>U</t>
        </is>
      </c>
      <c r="F35" s="307" t="n">
        <v>0</v>
      </c>
      <c r="G35" s="308" t="n">
        <v>65000</v>
      </c>
      <c r="H35" s="308" t="n">
        <v>66300</v>
      </c>
      <c r="I35" s="304" t="inlineStr">
        <is>
          <t>Proveedor A (Schindler/Otis/KONE/TK)</t>
        </is>
      </c>
      <c r="J35" s="308" t="n">
        <v>72150</v>
      </c>
      <c r="K35" s="304" t="inlineStr">
        <is>
          <t>Proveedor B (Orona/Mitsubishi/Hyundai)</t>
        </is>
      </c>
      <c r="L35" s="309">
        <f>F35*G35</f>
        <v/>
      </c>
      <c r="M35" s="310" t="inlineStr">
        <is>
          <t>V-D10-ASC-CAR-3000KG</t>
        </is>
      </c>
      <c r="N35" s="304" t="inlineStr">
        <is>
          <t>Transporte vertical</t>
        </is>
      </c>
      <c r="O35" s="304" t="inlineStr">
        <is>
          <t>Estimado DION · criterio de mercado Guayaquil 2026 (no verificado en tienda)</t>
        </is>
      </c>
      <c r="P35" s="304" t="inlineStr">
        <is>
          <t>oct-2026 (est.)</t>
        </is>
      </c>
      <c r="Q35" s="304" t="n"/>
    </row>
    <row r="36">
      <c r="A36" s="18" t="n">
        <v>19</v>
      </c>
      <c r="B36" s="19" t="inlineStr">
        <is>
          <t xml:space="preserve">        Montaplatos 50 kg</t>
        </is>
      </c>
      <c r="C36" s="20" t="inlineStr">
        <is>
          <t>Comercial / Restaurant</t>
        </is>
      </c>
      <c r="D36" s="18" t="inlineStr">
        <is>
          <t>Montaplatos</t>
        </is>
      </c>
      <c r="E36" s="18" t="inlineStr">
        <is>
          <t>U</t>
        </is>
      </c>
      <c r="F36" s="21" t="n">
        <v>0</v>
      </c>
      <c r="G36" s="22" t="n">
        <v>9500</v>
      </c>
      <c r="H36" s="22" t="n">
        <v>9975</v>
      </c>
      <c r="I36" s="18" t="inlineStr">
        <is>
          <t>Proveedor A (Schindler/Otis/KONE/TK)</t>
        </is>
      </c>
      <c r="J36" s="22" t="n">
        <v>10355</v>
      </c>
      <c r="K36" s="18" t="inlineStr">
        <is>
          <t>Proveedor B (Orona/Mitsubishi/Hyundai)</t>
        </is>
      </c>
      <c r="L36" s="8">
        <f>F36*G36</f>
        <v/>
      </c>
      <c r="M36" s="145" t="inlineStr">
        <is>
          <t>V-D10-ASC-MPL-050KG</t>
        </is>
      </c>
      <c r="N36" s="18" t="inlineStr">
        <is>
          <t>Transporte vertical</t>
        </is>
      </c>
      <c r="O36" s="18" t="inlineStr">
        <is>
          <t>Estimado DION · criterio de mercado Guayaquil 2026 (no verificado en tienda)</t>
        </is>
      </c>
      <c r="P36" s="18" t="inlineStr">
        <is>
          <t>oct-2026 (est.)</t>
        </is>
      </c>
      <c r="Q36" s="18" t="n"/>
    </row>
    <row r="37">
      <c r="A37" s="304" t="n">
        <v>20</v>
      </c>
      <c r="B37" s="305" t="inlineStr">
        <is>
          <t xml:space="preserve">        Montaplatos 100 kg</t>
        </is>
      </c>
      <c r="C37" s="306" t="inlineStr">
        <is>
          <t>Comercial / Hospitalario</t>
        </is>
      </c>
      <c r="D37" s="304" t="inlineStr">
        <is>
          <t>Montaplatos</t>
        </is>
      </c>
      <c r="E37" s="304" t="inlineStr">
        <is>
          <t>U</t>
        </is>
      </c>
      <c r="F37" s="307" t="n">
        <v>0</v>
      </c>
      <c r="G37" s="308" t="n">
        <v>12500</v>
      </c>
      <c r="H37" s="308" t="n">
        <v>12875</v>
      </c>
      <c r="I37" s="304" t="inlineStr">
        <is>
          <t>Proveedor A (Schindler/Otis/KONE/TK)</t>
        </is>
      </c>
      <c r="J37" s="308" t="n">
        <v>13875</v>
      </c>
      <c r="K37" s="304" t="inlineStr">
        <is>
          <t>Proveedor B (Orona/Mitsubishi/Hyundai)</t>
        </is>
      </c>
      <c r="L37" s="309">
        <f>F37*G37</f>
        <v/>
      </c>
      <c r="M37" s="310" t="inlineStr">
        <is>
          <t>V-D10-ASC-MPL-100KG</t>
        </is>
      </c>
      <c r="N37" s="304" t="inlineStr">
        <is>
          <t>Transporte vertical</t>
        </is>
      </c>
      <c r="O37" s="304" t="inlineStr">
        <is>
          <t>Estimado DION · criterio de mercado Guayaquil 2026 (no verificado en tienda)</t>
        </is>
      </c>
      <c r="P37" s="304" t="inlineStr">
        <is>
          <t>oct-2026 (est.)</t>
        </is>
      </c>
      <c r="Q37" s="304" t="n"/>
    </row>
    <row r="38">
      <c r="A38" s="18" t="n">
        <v>21</v>
      </c>
      <c r="B38" s="19" t="inlineStr">
        <is>
          <t xml:space="preserve">        Ascensor Panorámico 1 000 kg</t>
        </is>
      </c>
      <c r="C38" s="20" t="inlineStr">
        <is>
          <t>Comercial</t>
        </is>
      </c>
      <c r="D38" s="18" t="inlineStr">
        <is>
          <t>Panorámicos</t>
        </is>
      </c>
      <c r="E38" s="18" t="inlineStr">
        <is>
          <t>U</t>
        </is>
      </c>
      <c r="F38" s="21" t="n">
        <v>0</v>
      </c>
      <c r="G38" s="22" t="n">
        <v>68000</v>
      </c>
      <c r="H38" s="22" t="n">
        <v>70720</v>
      </c>
      <c r="I38" s="18" t="inlineStr">
        <is>
          <t>Proveedor A (Schindler/Otis/KONE/TK)</t>
        </is>
      </c>
      <c r="J38" s="22" t="n">
        <v>73440</v>
      </c>
      <c r="K38" s="18" t="inlineStr">
        <is>
          <t>Proveedor B (Orona/Mitsubishi/Hyundai)</t>
        </is>
      </c>
      <c r="L38" s="8">
        <f>F38*G38</f>
        <v/>
      </c>
      <c r="M38" s="145" t="inlineStr">
        <is>
          <t>V-D10-ASC-PAN-1000KG</t>
        </is>
      </c>
      <c r="N38" s="18" t="inlineStr">
        <is>
          <t>Transporte vertical</t>
        </is>
      </c>
      <c r="O38" s="18" t="inlineStr">
        <is>
          <t>Estimado DION · criterio de mercado Guayaquil 2026 (no verificado en tienda)</t>
        </is>
      </c>
      <c r="P38" s="18" t="inlineStr">
        <is>
          <t>oct-2026 (est.)</t>
        </is>
      </c>
      <c r="Q38" s="18" t="n"/>
    </row>
    <row r="39">
      <c r="A39" s="304" t="n">
        <v>22</v>
      </c>
      <c r="B39" s="305" t="inlineStr">
        <is>
          <t xml:space="preserve">        Ascensor Residencial Unifamiliar 320 kg</t>
        </is>
      </c>
      <c r="C39" s="306" t="inlineStr">
        <is>
          <t>Residencial</t>
        </is>
      </c>
      <c r="D39" s="304" t="inlineStr">
        <is>
          <t>Residenciales</t>
        </is>
      </c>
      <c r="E39" s="304" t="inlineStr">
        <is>
          <t>U</t>
        </is>
      </c>
      <c r="F39" s="307" t="n">
        <v>0</v>
      </c>
      <c r="G39" s="308" t="n">
        <v>19500</v>
      </c>
      <c r="H39" s="308" t="n">
        <v>20085</v>
      </c>
      <c r="I39" s="304" t="inlineStr">
        <is>
          <t>Proveedor A (Schindler/Otis/KONE/TK)</t>
        </is>
      </c>
      <c r="J39" s="308" t="n">
        <v>21645</v>
      </c>
      <c r="K39" s="304" t="inlineStr">
        <is>
          <t>Proveedor B (Orona/Mitsubishi/Hyundai)</t>
        </is>
      </c>
      <c r="L39" s="309">
        <f>F39*G39</f>
        <v/>
      </c>
      <c r="M39" s="310" t="inlineStr">
        <is>
          <t>V-D10-ASC-RES-320KG</t>
        </is>
      </c>
      <c r="N39" s="304" t="inlineStr">
        <is>
          <t>Transporte vertical</t>
        </is>
      </c>
      <c r="O39" s="304" t="inlineStr">
        <is>
          <t>Estimado DION · criterio de mercado Guayaquil 2026 (no verificado en tienda)</t>
        </is>
      </c>
      <c r="P39" s="304" t="inlineStr">
        <is>
          <t>oct-2026 (est.)</t>
        </is>
      </c>
      <c r="Q39" s="304" t="n"/>
    </row>
    <row r="40">
      <c r="A40" s="18" t="n">
        <v>23</v>
      </c>
      <c r="B40" s="19" t="inlineStr">
        <is>
          <t xml:space="preserve">        Ascensor de Emergencia / Bomberos 1 000 kg</t>
        </is>
      </c>
      <c r="C40" s="20" t="inlineStr">
        <is>
          <t>Edificios Altos</t>
        </is>
      </c>
      <c r="D40" s="18" t="inlineStr">
        <is>
          <t>Emergencia</t>
        </is>
      </c>
      <c r="E40" s="18" t="inlineStr">
        <is>
          <t>U</t>
        </is>
      </c>
      <c r="F40" s="21" t="n">
        <v>0</v>
      </c>
      <c r="G40" s="22" t="n">
        <v>56000</v>
      </c>
      <c r="H40" s="22" t="n">
        <v>58800</v>
      </c>
      <c r="I40" s="18" t="inlineStr">
        <is>
          <t>Proveedor A (Schindler/Otis/KONE/TK)</t>
        </is>
      </c>
      <c r="J40" s="22" t="n">
        <v>60480</v>
      </c>
      <c r="K40" s="18" t="inlineStr">
        <is>
          <t>Proveedor B (Orona/Mitsubishi/Hyundai)</t>
        </is>
      </c>
      <c r="L40" s="8">
        <f>F40*G40</f>
        <v/>
      </c>
      <c r="M40" s="145" t="inlineStr">
        <is>
          <t>V-D10-ASC-BOM-1000KG</t>
        </is>
      </c>
      <c r="N40" s="18" t="inlineStr">
        <is>
          <t>Transporte vertical</t>
        </is>
      </c>
      <c r="O40" s="18" t="inlineStr">
        <is>
          <t>Estimado DION · criterio de mercado Guayaquil 2026 (no verificado en tienda)</t>
        </is>
      </c>
      <c r="P40" s="18" t="inlineStr">
        <is>
          <t>oct-2026 (est.)</t>
        </is>
      </c>
      <c r="Q40" s="18" t="n"/>
    </row>
    <row r="41">
      <c r="A41" s="301" t="inlineStr">
        <is>
          <t>EQUIPOS ESPECIALIZADOS</t>
        </is>
      </c>
      <c r="B41" s="143" t="n"/>
      <c r="C41" s="143" t="n"/>
      <c r="D41" s="143" t="n"/>
      <c r="E41" s="143" t="n"/>
      <c r="F41" s="143" t="n"/>
      <c r="G41" s="143" t="n"/>
      <c r="H41" s="143" t="n"/>
      <c r="I41" s="143" t="n"/>
      <c r="J41" s="143" t="n"/>
      <c r="K41" s="143" t="n"/>
      <c r="L41" s="143" t="n"/>
      <c r="M41" s="143" t="n"/>
      <c r="N41" s="143" t="n"/>
      <c r="O41" s="143" t="n"/>
      <c r="P41" s="143" t="n"/>
      <c r="Q41" s="144" t="n"/>
    </row>
    <row r="42">
      <c r="A42" s="302" t="inlineStr">
        <is>
          <t xml:space="preserve">  ► CATEGORÍA: PLATAFORMAS Y ESCALERAS MECÁNICAS</t>
        </is>
      </c>
      <c r="B42" s="143" t="n"/>
      <c r="C42" s="143" t="n"/>
      <c r="D42" s="143" t="n"/>
      <c r="E42" s="143" t="n"/>
      <c r="F42" s="143" t="n"/>
      <c r="G42" s="143" t="n"/>
      <c r="H42" s="143" t="n"/>
      <c r="I42" s="143" t="n"/>
      <c r="J42" s="143" t="n"/>
      <c r="K42" s="143" t="n"/>
      <c r="L42" s="143" t="n"/>
      <c r="M42" s="143" t="n"/>
      <c r="N42" s="143" t="n"/>
      <c r="O42" s="143" t="n"/>
      <c r="P42" s="143" t="n"/>
      <c r="Q42" s="144" t="n"/>
    </row>
    <row r="43">
      <c r="A43" s="303" t="inlineStr">
        <is>
          <t xml:space="preserve">      • Subcategoría Especificada: Accesibilidad y Transporte Horizontal</t>
        </is>
      </c>
      <c r="B43" s="143" t="n"/>
      <c r="C43" s="143" t="n"/>
      <c r="D43" s="143" t="n"/>
      <c r="E43" s="143" t="n"/>
      <c r="F43" s="143" t="n"/>
      <c r="G43" s="143" t="n"/>
      <c r="H43" s="143" t="n"/>
      <c r="I43" s="143" t="n"/>
      <c r="J43" s="143" t="n"/>
      <c r="K43" s="143" t="n"/>
      <c r="L43" s="143" t="n"/>
      <c r="M43" s="143" t="n"/>
      <c r="N43" s="143" t="n"/>
      <c r="O43" s="143" t="n"/>
      <c r="P43" s="143" t="n"/>
      <c r="Q43" s="144" t="n"/>
    </row>
    <row r="44">
      <c r="A44" s="304" t="n">
        <v>24</v>
      </c>
      <c r="B44" s="305" t="inlineStr">
        <is>
          <t xml:space="preserve">        Plataforma Elevadora Vertical Accesible 250 kg</t>
        </is>
      </c>
      <c r="C44" s="306" t="inlineStr">
        <is>
          <t>Accesibilidad</t>
        </is>
      </c>
      <c r="D44" s="304" t="inlineStr">
        <is>
          <t>Plataformas</t>
        </is>
      </c>
      <c r="E44" s="304" t="inlineStr">
        <is>
          <t>U</t>
        </is>
      </c>
      <c r="F44" s="307" t="n">
        <v>0</v>
      </c>
      <c r="G44" s="308" t="n">
        <v>14500</v>
      </c>
      <c r="H44" s="308" t="n">
        <v>15080</v>
      </c>
      <c r="I44" s="304" t="inlineStr">
        <is>
          <t>Proveedor A (Schindler/Otis/KONE/TK)</t>
        </is>
      </c>
      <c r="J44" s="308" t="n">
        <v>15950</v>
      </c>
      <c r="K44" s="304" t="inlineStr">
        <is>
          <t>Proveedor B (Orona/Mitsubishi/Hyundai)</t>
        </is>
      </c>
      <c r="L44" s="309">
        <f>F44*G44</f>
        <v/>
      </c>
      <c r="M44" s="310" t="inlineStr">
        <is>
          <t>V-D10-PLA-VER-250</t>
        </is>
      </c>
      <c r="N44" s="304" t="inlineStr">
        <is>
          <t>Transporte vertical</t>
        </is>
      </c>
      <c r="O44" s="304" t="inlineStr">
        <is>
          <t>Estimado DION · criterio de mercado Guayaquil 2026 (no verificado en tienda)</t>
        </is>
      </c>
      <c r="P44" s="304" t="inlineStr">
        <is>
          <t>oct-2026 (est.)</t>
        </is>
      </c>
      <c r="Q44" s="304" t="n"/>
    </row>
    <row r="45">
      <c r="A45" s="18" t="n">
        <v>25</v>
      </c>
      <c r="B45" s="19" t="inlineStr">
        <is>
          <t xml:space="preserve">        Salvaescaleras de Plataforma Inclinada</t>
        </is>
      </c>
      <c r="C45" s="20" t="inlineStr">
        <is>
          <t>Accesibilidad</t>
        </is>
      </c>
      <c r="D45" s="18" t="inlineStr">
        <is>
          <t>Plataformas</t>
        </is>
      </c>
      <c r="E45" s="18" t="inlineStr">
        <is>
          <t>U</t>
        </is>
      </c>
      <c r="F45" s="21" t="n">
        <v>0</v>
      </c>
      <c r="G45" s="22" t="n">
        <v>16500</v>
      </c>
      <c r="H45" s="22" t="n">
        <v>16830</v>
      </c>
      <c r="I45" s="18" t="inlineStr">
        <is>
          <t>Proveedor A (Schindler/Otis/KONE/TK)</t>
        </is>
      </c>
      <c r="J45" s="22" t="n">
        <v>18150</v>
      </c>
      <c r="K45" s="18" t="inlineStr">
        <is>
          <t>Proveedor B (Orona/Mitsubishi/Hyundai)</t>
        </is>
      </c>
      <c r="L45" s="8">
        <f>F45*G45</f>
        <v/>
      </c>
      <c r="M45" s="145" t="inlineStr">
        <is>
          <t>V-D10-PLA-SAL-ESC</t>
        </is>
      </c>
      <c r="N45" s="18" t="inlineStr">
        <is>
          <t>Transporte vertical</t>
        </is>
      </c>
      <c r="O45" s="18" t="inlineStr">
        <is>
          <t>Estimado DION · criterio de mercado Guayaquil 2026 (no verificado en tienda)</t>
        </is>
      </c>
      <c r="P45" s="18" t="inlineStr">
        <is>
          <t>oct-2026 (est.)</t>
        </is>
      </c>
      <c r="Q45" s="18" t="n"/>
    </row>
    <row r="46">
      <c r="A46" s="304" t="n">
        <v>26</v>
      </c>
      <c r="B46" s="305" t="inlineStr">
        <is>
          <t xml:space="preserve">        Silla Salvaescaleras</t>
        </is>
      </c>
      <c r="C46" s="306" t="inlineStr">
        <is>
          <t>Residencial</t>
        </is>
      </c>
      <c r="D46" s="304" t="inlineStr">
        <is>
          <t>Plataformas</t>
        </is>
      </c>
      <c r="E46" s="304" t="inlineStr">
        <is>
          <t>U</t>
        </is>
      </c>
      <c r="F46" s="307" t="n">
        <v>0</v>
      </c>
      <c r="G46" s="308" t="n">
        <v>6500</v>
      </c>
      <c r="H46" s="308" t="n">
        <v>6760</v>
      </c>
      <c r="I46" s="304" t="inlineStr">
        <is>
          <t>Proveedor A (Schindler/Otis/KONE/TK)</t>
        </is>
      </c>
      <c r="J46" s="308" t="n">
        <v>7085</v>
      </c>
      <c r="K46" s="304" t="inlineStr">
        <is>
          <t>Proveedor B (Orona/Mitsubishi/Hyundai)</t>
        </is>
      </c>
      <c r="L46" s="309">
        <f>F46*G46</f>
        <v/>
      </c>
      <c r="M46" s="310" t="inlineStr">
        <is>
          <t>V-D10-PLA-SIL-ESC</t>
        </is>
      </c>
      <c r="N46" s="304" t="inlineStr">
        <is>
          <t>Transporte vertical</t>
        </is>
      </c>
      <c r="O46" s="304" t="inlineStr">
        <is>
          <t>Estimado DION · criterio de mercado Guayaquil 2026 (no verificado en tienda)</t>
        </is>
      </c>
      <c r="P46" s="304" t="inlineStr">
        <is>
          <t>oct-2026 (est.)</t>
        </is>
      </c>
      <c r="Q46" s="304" t="n"/>
    </row>
    <row r="47">
      <c r="A47" s="18" t="n">
        <v>27</v>
      </c>
      <c r="B47" s="19" t="inlineStr">
        <is>
          <t xml:space="preserve">        Elevador de Tijera Vehicular 3 t</t>
        </is>
      </c>
      <c r="C47" s="20" t="inlineStr">
        <is>
          <t>Industrial</t>
        </is>
      </c>
      <c r="D47" s="18" t="inlineStr">
        <is>
          <t>Plataformas</t>
        </is>
      </c>
      <c r="E47" s="18" t="inlineStr">
        <is>
          <t>U</t>
        </is>
      </c>
      <c r="F47" s="21" t="n">
        <v>0</v>
      </c>
      <c r="G47" s="22" t="n">
        <v>9800</v>
      </c>
      <c r="H47" s="22" t="n">
        <v>10290</v>
      </c>
      <c r="I47" s="18" t="inlineStr">
        <is>
          <t>Proveedor A (Schindler/Otis/KONE/TK)</t>
        </is>
      </c>
      <c r="J47" s="22" t="n">
        <v>10780</v>
      </c>
      <c r="K47" s="18" t="inlineStr">
        <is>
          <t>Proveedor B (Orona/Mitsubishi/Hyundai)</t>
        </is>
      </c>
      <c r="L47" s="8">
        <f>F47*G47</f>
        <v/>
      </c>
      <c r="M47" s="145" t="inlineStr">
        <is>
          <t>V-D10-PLA-TIJ-VEH</t>
        </is>
      </c>
      <c r="N47" s="18" t="inlineStr">
        <is>
          <t>Transporte vertical</t>
        </is>
      </c>
      <c r="O47" s="18" t="inlineStr">
        <is>
          <t>Estimado DION · criterio de mercado Guayaquil 2026 (no verificado en tienda)</t>
        </is>
      </c>
      <c r="P47" s="18" t="inlineStr">
        <is>
          <t>oct-2026 (est.)</t>
        </is>
      </c>
      <c r="Q47" s="18" t="n"/>
    </row>
    <row r="48">
      <c r="A48" s="304" t="n">
        <v>28</v>
      </c>
      <c r="B48" s="305" t="inlineStr">
        <is>
          <t xml:space="preserve">        Escalera Mecánica 1 000 mm 30° (≤6 m Desnivel)</t>
        </is>
      </c>
      <c r="C48" s="306" t="inlineStr">
        <is>
          <t>Comercial / Transporte</t>
        </is>
      </c>
      <c r="D48" s="304" t="inlineStr">
        <is>
          <t>Escaleras Mecánicas</t>
        </is>
      </c>
      <c r="E48" s="304" t="inlineStr">
        <is>
          <t>U</t>
        </is>
      </c>
      <c r="F48" s="307" t="n">
        <v>0</v>
      </c>
      <c r="G48" s="308" t="n">
        <v>125000</v>
      </c>
      <c r="H48" s="308" t="n">
        <v>130000</v>
      </c>
      <c r="I48" s="304" t="inlineStr">
        <is>
          <t>Proveedor A (Schindler/Otis/KONE/TK)</t>
        </is>
      </c>
      <c r="J48" s="308" t="n">
        <v>136250</v>
      </c>
      <c r="K48" s="304" t="inlineStr">
        <is>
          <t>Proveedor B (Orona/Mitsubishi/Hyundai)</t>
        </is>
      </c>
      <c r="L48" s="309">
        <f>F48*G48</f>
        <v/>
      </c>
      <c r="M48" s="310" t="inlineStr">
        <is>
          <t>V-D10-ESM-ESC-1000-30</t>
        </is>
      </c>
      <c r="N48" s="304" t="inlineStr">
        <is>
          <t>Transporte vertical</t>
        </is>
      </c>
      <c r="O48" s="304" t="inlineStr">
        <is>
          <t>Estimado DION · criterio de mercado Guayaquil 2026 (no verificado en tienda)</t>
        </is>
      </c>
      <c r="P48" s="304" t="inlineStr">
        <is>
          <t>oct-2026 (est.)</t>
        </is>
      </c>
      <c r="Q48" s="304" t="n"/>
    </row>
    <row r="49">
      <c r="A49" s="18" t="n">
        <v>29</v>
      </c>
      <c r="B49" s="19" t="inlineStr">
        <is>
          <t xml:space="preserve">        Rampa / Pasillo Móvil 1 000 mm (≤40 m)</t>
        </is>
      </c>
      <c r="C49" s="20" t="inlineStr">
        <is>
          <t>Comercial / Transporte</t>
        </is>
      </c>
      <c r="D49" s="18" t="inlineStr">
        <is>
          <t>Rampas Móviles</t>
        </is>
      </c>
      <c r="E49" s="18" t="inlineStr">
        <is>
          <t>U</t>
        </is>
      </c>
      <c r="F49" s="21" t="n">
        <v>0</v>
      </c>
      <c r="G49" s="22" t="n">
        <v>165000</v>
      </c>
      <c r="H49" s="22" t="n">
        <v>169950</v>
      </c>
      <c r="I49" s="18" t="inlineStr">
        <is>
          <t>Proveedor A (Schindler/Otis/KONE/TK)</t>
        </is>
      </c>
      <c r="J49" s="22" t="n">
        <v>183150</v>
      </c>
      <c r="K49" s="18" t="inlineStr">
        <is>
          <t>Proveedor B (Orona/Mitsubishi/Hyundai)</t>
        </is>
      </c>
      <c r="L49" s="8">
        <f>F49*G49</f>
        <v/>
      </c>
      <c r="M49" s="145" t="inlineStr">
        <is>
          <t>V-D10-ESM-RAM-1000</t>
        </is>
      </c>
      <c r="N49" s="18" t="inlineStr">
        <is>
          <t>Transporte vertical</t>
        </is>
      </c>
      <c r="O49" s="18" t="inlineStr">
        <is>
          <t>Estimado DION · criterio de mercado Guayaquil 2026 (no verificado en tienda)</t>
        </is>
      </c>
      <c r="P49" s="18" t="inlineStr">
        <is>
          <t>oct-2026 (est.)</t>
        </is>
      </c>
      <c r="Q49" s="18" t="n"/>
    </row>
    <row r="50">
      <c r="A50" s="10" t="n"/>
      <c r="B50" s="147" t="inlineStr">
        <is>
          <t>TOTAL BASE DE DATOS ASCENSORES (REFERENCIAL) (ESTIMADO)</t>
        </is>
      </c>
      <c r="C50" s="148" t="n"/>
      <c r="D50" s="148" t="n"/>
      <c r="E50" s="148" t="n"/>
      <c r="F50" s="148" t="n"/>
      <c r="G50" s="148" t="n"/>
      <c r="H50" s="148" t="n"/>
      <c r="I50" s="148" t="n"/>
      <c r="J50" s="148" t="n"/>
      <c r="K50" s="148" t="n"/>
      <c r="L50" s="30">
        <f>SUM(L6:L49)</f>
        <v/>
      </c>
      <c r="M50" s="30" t="n"/>
      <c r="N50" s="30" t="n"/>
      <c r="O50" s="30" t="n"/>
      <c r="P50" s="30" t="n"/>
      <c r="Q50" s="30" t="n"/>
    </row>
  </sheetData>
  <mergeCells count="16">
    <mergeCell ref="A8:Q8"/>
    <mergeCell ref="A14:Q14"/>
    <mergeCell ref="A6:Q6"/>
    <mergeCell ref="B50:K50"/>
    <mergeCell ref="A21:Q21"/>
    <mergeCell ref="A30:Q30"/>
    <mergeCell ref="A29:Q29"/>
    <mergeCell ref="A7:Q7"/>
    <mergeCell ref="A20:Q20"/>
    <mergeCell ref="A43:Q43"/>
    <mergeCell ref="A16:Q16"/>
    <mergeCell ref="A15:Q15"/>
    <mergeCell ref="A28:Q28"/>
    <mergeCell ref="A42:Q42"/>
    <mergeCell ref="A41:Q41"/>
    <mergeCell ref="A19:Q19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2026-07-25T07:00:14Z</dcterms:created>
  <dcterms:modified xmlns:dcterms="http://purl.org/dc/terms/" xmlns:xsi="http://www.w3.org/2001/XMLSchema-instance" xsi:type="dcterms:W3CDTF">2026-10-12T00:06:01Z</dcterms:modified>
</cp:coreProperties>
</file>